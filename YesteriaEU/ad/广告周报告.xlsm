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广告周报表" sheetId="1" r:id="rId1"/>
    <sheet name="公式" sheetId="2" r:id="rId2"/>
  </sheets>
  <externalReferences>
    <externalReference r:id="rId3"/>
    <externalReference r:id="rId4"/>
    <externalReference r:id="rId5"/>
    <externalReference r:id="rId6"/>
    <externalReference r:id="rId7"/>
  </externalReferences>
  <calcPr calcId="144525"/>
</workbook>
</file>

<file path=xl/sharedStrings.xml><?xml version="1.0" encoding="utf-8"?>
<sst xmlns="http://schemas.openxmlformats.org/spreadsheetml/2006/main" count="60">
  <si>
    <t>第一周</t>
  </si>
  <si>
    <t>第二周</t>
  </si>
  <si>
    <t>第三周</t>
  </si>
  <si>
    <t>第四周</t>
  </si>
  <si>
    <t>子SKU</t>
  </si>
  <si>
    <t>曝光量</t>
  </si>
  <si>
    <t>点击量</t>
  </si>
  <si>
    <t>广告费</t>
  </si>
  <si>
    <t>合计</t>
  </si>
  <si>
    <t>DO-YELQ001-PI-22</t>
  </si>
  <si>
    <t>DO-YELQ100-B7-22</t>
  </si>
  <si>
    <t>DO-YELQ161-B7-22</t>
  </si>
  <si>
    <t>DO-YELQ161-PI-22</t>
  </si>
  <si>
    <t>DO-YELQ163-R0-22</t>
  </si>
  <si>
    <t>DO-YELQ601-PI-22</t>
  </si>
  <si>
    <t>DO-YELQ602-PI-22</t>
  </si>
  <si>
    <t>DO-YELQ603-PI-22</t>
  </si>
  <si>
    <t>DO-YELQ904-B7-22</t>
  </si>
  <si>
    <t>YF-YELQ003-PI-XS</t>
  </si>
  <si>
    <t>YF-YELQ003-R2-XS</t>
  </si>
  <si>
    <t>DO-YELQ011-W0-22</t>
  </si>
  <si>
    <t>DO-YELQ152-B7-22</t>
  </si>
  <si>
    <t>DO-YELQ111-PI-22</t>
  </si>
  <si>
    <t>DO-YELQ111-R2-22</t>
  </si>
  <si>
    <t>DO-YELQ603-NZ-22</t>
  </si>
  <si>
    <t>DO-YELQ610-R2-22</t>
  </si>
  <si>
    <t>DO-YELQ638-LGR-20</t>
  </si>
  <si>
    <t>DO-YELQ611-TW-22</t>
  </si>
  <si>
    <t>DO-YELQ638-PI-20</t>
  </si>
  <si>
    <t>DO-YELQ011-PI-22</t>
  </si>
  <si>
    <t>DO-YELQ812-W0-18</t>
  </si>
  <si>
    <t>DO-YELQ018-B0-18</t>
  </si>
  <si>
    <t>DO-YELQ985-B7-20</t>
  </si>
  <si>
    <t>DO-YELQ123-W0-22</t>
  </si>
  <si>
    <t>DO-YELQ073-LGR-22</t>
  </si>
  <si>
    <t>DO-YELQ018-P4-16</t>
  </si>
  <si>
    <t>DO-YELQ101-B7-22</t>
  </si>
  <si>
    <t>DO-YELQ010-PI-22</t>
  </si>
  <si>
    <t>DO-YELQ203-P4-22</t>
  </si>
  <si>
    <t>DO-YELQ070-PI-16</t>
  </si>
  <si>
    <t>DO-YELQ062-PI-22</t>
  </si>
  <si>
    <t>DO-YELQ701-PI-22</t>
  </si>
  <si>
    <t>DO-YELQ012-PI-22</t>
  </si>
  <si>
    <t>DO-YELQ173-B7-21</t>
  </si>
  <si>
    <t>DO-YELQ663-PI-15</t>
  </si>
  <si>
    <t>DO-YELQ150-PI-20</t>
  </si>
  <si>
    <t>DO-YELQ504-PI-22</t>
  </si>
  <si>
    <t>DO-YELQ170-SH-22</t>
  </si>
  <si>
    <t>DO-YELQ039-R0-22</t>
  </si>
  <si>
    <t>DO-YELQ707-PI-24</t>
  </si>
  <si>
    <t>DO-YELQ708-W0-24</t>
  </si>
  <si>
    <t>DO-YELQ539-PI-16</t>
  </si>
  <si>
    <t>DO-YELQ004-B7-10</t>
  </si>
  <si>
    <t>DO-YELQ705-0R-10</t>
  </si>
  <si>
    <t>DO-YELQ705-GR-11</t>
  </si>
  <si>
    <t>DO-YELQ230-PI-16</t>
  </si>
  <si>
    <t>DO-YELQ706-R0-24</t>
  </si>
  <si>
    <t>DO-YELQ705-BR-10</t>
  </si>
  <si>
    <t>DO-YELQ004-PI-10</t>
  </si>
  <si>
    <t>英镑换欧元汇率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</si>
</sst>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2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9" fillId="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8" borderId="6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22" borderId="8" applyNumberFormat="0" applyAlignment="0" applyProtection="0">
      <alignment vertical="center"/>
    </xf>
    <xf numFmtId="0" fontId="21" fillId="22" borderId="4" applyNumberFormat="0" applyAlignment="0" applyProtection="0">
      <alignment vertical="center"/>
    </xf>
    <xf numFmtId="0" fontId="7" fillId="5" borderId="2" applyNumberForma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2" fillId="0" borderId="0" xfId="0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635</xdr:rowOff>
        </xdr:from>
        <xdr:to>
          <xdr:col>15</xdr:col>
          <xdr:colOff>19050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305925" y="635"/>
              <a:ext cx="1381125" cy="3422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ad\de\&#24503;&#22269;&#31449;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ad\es\&#35199;&#29677;&#29273;&#31449;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ad\fr\&#27861;&#22269;&#31449;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ad\it\&#24847;&#22823;&#21033;&#31449;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ad\uk\&#33521;&#22269;&#31449;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DO-YELQ001-PI-22</v>
          </cell>
          <cell r="B3">
            <v>108291</v>
          </cell>
          <cell r="C3">
            <v>555</v>
          </cell>
          <cell r="D3">
            <v>96.13</v>
          </cell>
          <cell r="E3">
            <v>98806</v>
          </cell>
          <cell r="F3">
            <v>482</v>
          </cell>
          <cell r="G3">
            <v>81.36</v>
          </cell>
          <cell r="H3">
            <v>119724</v>
          </cell>
          <cell r="I3">
            <v>487</v>
          </cell>
          <cell r="J3">
            <v>85.56</v>
          </cell>
          <cell r="K3">
            <v>83074</v>
          </cell>
          <cell r="L3">
            <v>397</v>
          </cell>
          <cell r="M3">
            <v>70.51</v>
          </cell>
        </row>
        <row r="4">
          <cell r="A4" t="str">
            <v>DO-YELQ100-B7-22</v>
          </cell>
          <cell r="B4">
            <v>36315</v>
          </cell>
          <cell r="C4">
            <v>72</v>
          </cell>
          <cell r="D4">
            <v>9.7</v>
          </cell>
          <cell r="E4">
            <v>27514</v>
          </cell>
          <cell r="F4">
            <v>54</v>
          </cell>
          <cell r="G4">
            <v>7.66</v>
          </cell>
          <cell r="H4">
            <v>24323</v>
          </cell>
          <cell r="I4">
            <v>50</v>
          </cell>
          <cell r="J4">
            <v>5.66</v>
          </cell>
          <cell r="K4">
            <v>19398</v>
          </cell>
          <cell r="L4">
            <v>49</v>
          </cell>
          <cell r="M4">
            <v>7.36</v>
          </cell>
        </row>
        <row r="5">
          <cell r="A5" t="str">
            <v>DO-YELQ161-B7-22</v>
          </cell>
          <cell r="B5">
            <v>9775</v>
          </cell>
          <cell r="C5">
            <v>48</v>
          </cell>
          <cell r="D5">
            <v>6.92</v>
          </cell>
          <cell r="E5">
            <v>20843</v>
          </cell>
          <cell r="F5">
            <v>150</v>
          </cell>
          <cell r="G5">
            <v>26.01</v>
          </cell>
          <cell r="H5">
            <v>26872</v>
          </cell>
          <cell r="I5">
            <v>114</v>
          </cell>
          <cell r="J5">
            <v>20.29</v>
          </cell>
          <cell r="K5">
            <v>36697</v>
          </cell>
          <cell r="L5">
            <v>154</v>
          </cell>
          <cell r="M5">
            <v>25.26</v>
          </cell>
        </row>
        <row r="6">
          <cell r="A6" t="str">
            <v>DO-YELQ161-PI-22</v>
          </cell>
          <cell r="B6">
            <v>9382</v>
          </cell>
          <cell r="C6">
            <v>28</v>
          </cell>
          <cell r="D6">
            <v>4.4</v>
          </cell>
          <cell r="E6">
            <v>47550</v>
          </cell>
          <cell r="F6">
            <v>153</v>
          </cell>
          <cell r="G6">
            <v>26.25</v>
          </cell>
          <cell r="H6">
            <v>40937</v>
          </cell>
          <cell r="I6">
            <v>150</v>
          </cell>
          <cell r="J6">
            <v>23.74</v>
          </cell>
          <cell r="K6">
            <v>22825</v>
          </cell>
          <cell r="L6">
            <v>75</v>
          </cell>
          <cell r="M6">
            <v>12.67</v>
          </cell>
        </row>
        <row r="7">
          <cell r="A7" t="str">
            <v>DO-YELQ163-R0-22</v>
          </cell>
          <cell r="B7">
            <v>40624</v>
          </cell>
          <cell r="C7">
            <v>168</v>
          </cell>
          <cell r="D7">
            <v>27.54</v>
          </cell>
          <cell r="E7">
            <v>30128</v>
          </cell>
          <cell r="F7">
            <v>133</v>
          </cell>
          <cell r="G7">
            <v>20.45</v>
          </cell>
          <cell r="H7">
            <v>34118</v>
          </cell>
          <cell r="I7">
            <v>167</v>
          </cell>
          <cell r="J7">
            <v>26.24</v>
          </cell>
          <cell r="K7">
            <v>33704</v>
          </cell>
          <cell r="L7">
            <v>168</v>
          </cell>
          <cell r="M7">
            <v>29.33</v>
          </cell>
        </row>
        <row r="8">
          <cell r="A8" t="str">
            <v>DO-YELQ601-PI-22</v>
          </cell>
          <cell r="B8">
            <v>8496</v>
          </cell>
          <cell r="C8">
            <v>57</v>
          </cell>
          <cell r="D8">
            <v>10.6</v>
          </cell>
          <cell r="E8">
            <v>30945</v>
          </cell>
          <cell r="F8">
            <v>169</v>
          </cell>
          <cell r="G8">
            <v>31.63</v>
          </cell>
          <cell r="H8">
            <v>27886</v>
          </cell>
          <cell r="I8">
            <v>119</v>
          </cell>
          <cell r="J8">
            <v>20.96</v>
          </cell>
          <cell r="K8">
            <v>35851</v>
          </cell>
          <cell r="L8">
            <v>171</v>
          </cell>
          <cell r="M8">
            <v>28.1</v>
          </cell>
        </row>
        <row r="9">
          <cell r="A9" t="str">
            <v>DO-YELQ602-PI-22</v>
          </cell>
          <cell r="B9">
            <v>26318</v>
          </cell>
          <cell r="C9">
            <v>124</v>
          </cell>
          <cell r="D9">
            <v>18.05</v>
          </cell>
          <cell r="E9">
            <v>21520</v>
          </cell>
          <cell r="F9">
            <v>109</v>
          </cell>
          <cell r="G9">
            <v>19.2</v>
          </cell>
          <cell r="H9">
            <v>16706</v>
          </cell>
          <cell r="I9">
            <v>83</v>
          </cell>
          <cell r="J9">
            <v>11.89</v>
          </cell>
          <cell r="K9">
            <v>12912</v>
          </cell>
          <cell r="L9">
            <v>48</v>
          </cell>
          <cell r="M9">
            <v>6.51</v>
          </cell>
        </row>
        <row r="10">
          <cell r="A10" t="str">
            <v>DO-YELQ603-PI-22</v>
          </cell>
          <cell r="B10">
            <v>48645</v>
          </cell>
          <cell r="C10">
            <v>201</v>
          </cell>
          <cell r="D10">
            <v>37.2</v>
          </cell>
          <cell r="E10">
            <v>35882</v>
          </cell>
          <cell r="F10">
            <v>147</v>
          </cell>
          <cell r="G10">
            <v>28.27</v>
          </cell>
          <cell r="H10">
            <v>46719</v>
          </cell>
          <cell r="I10">
            <v>154</v>
          </cell>
          <cell r="J10">
            <v>28.95</v>
          </cell>
          <cell r="K10">
            <v>40421</v>
          </cell>
          <cell r="L10">
            <v>150</v>
          </cell>
          <cell r="M10">
            <v>27.82</v>
          </cell>
        </row>
        <row r="11">
          <cell r="A11" t="str">
            <v>DO-YELQ904-B7-22</v>
          </cell>
          <cell r="B11">
            <v>25352</v>
          </cell>
          <cell r="C11">
            <v>95</v>
          </cell>
          <cell r="D11">
            <v>15.72</v>
          </cell>
          <cell r="E11">
            <v>16413</v>
          </cell>
          <cell r="F11">
            <v>72</v>
          </cell>
          <cell r="G11">
            <v>14.42</v>
          </cell>
          <cell r="H11">
            <v>17731</v>
          </cell>
          <cell r="I11">
            <v>71</v>
          </cell>
          <cell r="J11">
            <v>11.5</v>
          </cell>
          <cell r="K11">
            <v>12431</v>
          </cell>
          <cell r="L11">
            <v>64</v>
          </cell>
          <cell r="M11">
            <v>10.77</v>
          </cell>
        </row>
        <row r="12">
          <cell r="A12" t="str">
            <v>YF-YELQ003-PI-XS</v>
          </cell>
          <cell r="B12">
            <v>628</v>
          </cell>
          <cell r="C12">
            <v>3</v>
          </cell>
          <cell r="D12">
            <v>0.41</v>
          </cell>
          <cell r="E12">
            <v>902</v>
          </cell>
          <cell r="F12">
            <v>2</v>
          </cell>
          <cell r="G12">
            <v>0.08</v>
          </cell>
          <cell r="H12">
            <v>364</v>
          </cell>
          <cell r="I12">
            <v>2</v>
          </cell>
          <cell r="J12">
            <v>0.35</v>
          </cell>
          <cell r="K12">
            <v>799</v>
          </cell>
          <cell r="L12">
            <v>3</v>
          </cell>
          <cell r="M12">
            <v>0.46</v>
          </cell>
        </row>
        <row r="13">
          <cell r="A13" t="str">
            <v>YF-YELQ003-R2-XS</v>
          </cell>
          <cell r="B13">
            <v>157</v>
          </cell>
          <cell r="C13">
            <v>1</v>
          </cell>
          <cell r="D13">
            <v>0.15</v>
          </cell>
          <cell r="E13">
            <v>364</v>
          </cell>
          <cell r="F13">
            <v>1</v>
          </cell>
          <cell r="G13">
            <v>0.17</v>
          </cell>
          <cell r="H13">
            <v>142</v>
          </cell>
          <cell r="I13">
            <v>0</v>
          </cell>
          <cell r="J13">
            <v>0</v>
          </cell>
          <cell r="K13">
            <v>277</v>
          </cell>
          <cell r="L13">
            <v>0</v>
          </cell>
          <cell r="M13">
            <v>0</v>
          </cell>
        </row>
        <row r="14">
          <cell r="A14" t="str">
            <v>DO-YELQ011-W0-22</v>
          </cell>
          <cell r="B14">
            <v>71751</v>
          </cell>
          <cell r="C14">
            <v>224</v>
          </cell>
          <cell r="D14">
            <v>33.47</v>
          </cell>
          <cell r="E14">
            <v>50967</v>
          </cell>
          <cell r="F14">
            <v>182</v>
          </cell>
          <cell r="G14">
            <v>25.53</v>
          </cell>
          <cell r="H14">
            <v>61123</v>
          </cell>
          <cell r="I14">
            <v>155</v>
          </cell>
          <cell r="J14">
            <v>27.81</v>
          </cell>
          <cell r="K14">
            <v>50239</v>
          </cell>
          <cell r="L14">
            <v>152</v>
          </cell>
          <cell r="M14">
            <v>24.97</v>
          </cell>
        </row>
        <row r="15">
          <cell r="A15" t="str">
            <v>DO-YELQ152-B7-22</v>
          </cell>
          <cell r="B15">
            <v>16445</v>
          </cell>
          <cell r="C15">
            <v>107</v>
          </cell>
          <cell r="D15">
            <v>16.32</v>
          </cell>
          <cell r="E15">
            <v>12183</v>
          </cell>
          <cell r="F15">
            <v>114</v>
          </cell>
          <cell r="G15">
            <v>18.97</v>
          </cell>
          <cell r="H15">
            <v>11774</v>
          </cell>
          <cell r="I15">
            <v>95</v>
          </cell>
          <cell r="J15">
            <v>15.61</v>
          </cell>
          <cell r="K15">
            <v>19019</v>
          </cell>
          <cell r="L15">
            <v>151</v>
          </cell>
          <cell r="M15">
            <v>28.21</v>
          </cell>
        </row>
        <row r="16">
          <cell r="A16" t="str">
            <v>DO-YELQ111-PI-22</v>
          </cell>
          <cell r="B16">
            <v>8828</v>
          </cell>
          <cell r="C16">
            <v>32</v>
          </cell>
          <cell r="D16">
            <v>4.93</v>
          </cell>
          <cell r="E16">
            <v>4079</v>
          </cell>
          <cell r="F16">
            <v>23</v>
          </cell>
          <cell r="G16">
            <v>3.26</v>
          </cell>
          <cell r="H16">
            <v>4260</v>
          </cell>
          <cell r="I16">
            <v>12</v>
          </cell>
          <cell r="J16">
            <v>2.1</v>
          </cell>
          <cell r="K16">
            <v>4648</v>
          </cell>
          <cell r="L16">
            <v>15</v>
          </cell>
          <cell r="M16">
            <v>3.05</v>
          </cell>
        </row>
        <row r="17">
          <cell r="A17" t="str">
            <v>DO-YELQ111-R2-22</v>
          </cell>
          <cell r="B17">
            <v>23753</v>
          </cell>
          <cell r="C17">
            <v>125</v>
          </cell>
          <cell r="D17">
            <v>20.73</v>
          </cell>
          <cell r="E17">
            <v>18223</v>
          </cell>
          <cell r="F17">
            <v>112</v>
          </cell>
          <cell r="G17">
            <v>18.25</v>
          </cell>
          <cell r="H17">
            <v>24695</v>
          </cell>
          <cell r="I17">
            <v>99</v>
          </cell>
          <cell r="J17">
            <v>16.59</v>
          </cell>
          <cell r="K17">
            <v>27839</v>
          </cell>
          <cell r="L17">
            <v>118</v>
          </cell>
          <cell r="M17">
            <v>18.84</v>
          </cell>
        </row>
        <row r="18">
          <cell r="A18" t="str">
            <v>DO-YELQ603-NZ-22</v>
          </cell>
          <cell r="B18">
            <v>30934</v>
          </cell>
          <cell r="C18">
            <v>111</v>
          </cell>
          <cell r="D18">
            <v>15.97</v>
          </cell>
          <cell r="E18">
            <v>19255</v>
          </cell>
          <cell r="F18">
            <v>68</v>
          </cell>
          <cell r="G18">
            <v>11.46</v>
          </cell>
          <cell r="H18">
            <v>14974</v>
          </cell>
          <cell r="I18">
            <v>63</v>
          </cell>
          <cell r="J18">
            <v>11.75</v>
          </cell>
          <cell r="K18">
            <v>11488</v>
          </cell>
          <cell r="L18">
            <v>67</v>
          </cell>
          <cell r="M18">
            <v>10.83</v>
          </cell>
        </row>
        <row r="19">
          <cell r="A19" t="str">
            <v>DO-YELQ610-R2-22</v>
          </cell>
          <cell r="B19">
            <v>57871</v>
          </cell>
          <cell r="C19">
            <v>195</v>
          </cell>
          <cell r="D19">
            <v>29.1</v>
          </cell>
          <cell r="E19">
            <v>29001</v>
          </cell>
          <cell r="F19">
            <v>109</v>
          </cell>
          <cell r="G19">
            <v>13.6</v>
          </cell>
          <cell r="H19">
            <v>40539</v>
          </cell>
          <cell r="I19">
            <v>108</v>
          </cell>
          <cell r="J19">
            <v>17.63</v>
          </cell>
          <cell r="K19">
            <v>49651</v>
          </cell>
          <cell r="L19">
            <v>139</v>
          </cell>
          <cell r="M19">
            <v>22.83</v>
          </cell>
        </row>
        <row r="20">
          <cell r="A20" t="str">
            <v>DO-YELQ638-LGR-20</v>
          </cell>
          <cell r="B20">
            <v>42645</v>
          </cell>
          <cell r="C20">
            <v>96</v>
          </cell>
          <cell r="D20">
            <v>14.63</v>
          </cell>
          <cell r="E20">
            <v>39205</v>
          </cell>
          <cell r="F20">
            <v>72</v>
          </cell>
          <cell r="G20">
            <v>10.8</v>
          </cell>
          <cell r="H20">
            <v>39733</v>
          </cell>
          <cell r="I20">
            <v>67</v>
          </cell>
          <cell r="J20">
            <v>8.75</v>
          </cell>
          <cell r="K20">
            <v>28110</v>
          </cell>
          <cell r="L20">
            <v>75</v>
          </cell>
          <cell r="M20">
            <v>11.57</v>
          </cell>
        </row>
        <row r="21">
          <cell r="A21" t="str">
            <v>DO-YELQ611-TW-22</v>
          </cell>
          <cell r="B21">
            <v>15136</v>
          </cell>
          <cell r="C21">
            <v>31</v>
          </cell>
          <cell r="D21">
            <v>5.5</v>
          </cell>
          <cell r="E21">
            <v>44685</v>
          </cell>
          <cell r="F21">
            <v>79</v>
          </cell>
          <cell r="G21">
            <v>14.58</v>
          </cell>
          <cell r="H21">
            <v>50284</v>
          </cell>
          <cell r="I21">
            <v>95</v>
          </cell>
          <cell r="J21">
            <v>18.51</v>
          </cell>
          <cell r="K21">
            <v>50175</v>
          </cell>
          <cell r="L21">
            <v>78</v>
          </cell>
          <cell r="M21">
            <v>14.9</v>
          </cell>
        </row>
        <row r="22">
          <cell r="A22" t="str">
            <v>DO-YELQ638-PI-20</v>
          </cell>
          <cell r="B22">
            <v>53606</v>
          </cell>
          <cell r="C22">
            <v>186</v>
          </cell>
          <cell r="D22">
            <v>32.91</v>
          </cell>
          <cell r="E22">
            <v>30633</v>
          </cell>
          <cell r="F22">
            <v>130</v>
          </cell>
          <cell r="G22">
            <v>19.73</v>
          </cell>
          <cell r="H22">
            <v>15474</v>
          </cell>
          <cell r="I22">
            <v>88</v>
          </cell>
          <cell r="J22">
            <v>14.97</v>
          </cell>
          <cell r="K22">
            <v>55524</v>
          </cell>
          <cell r="L22">
            <v>206</v>
          </cell>
          <cell r="M22">
            <v>36.02</v>
          </cell>
        </row>
        <row r="23">
          <cell r="A23" t="str">
            <v>DO-YELQ011-PI-22</v>
          </cell>
          <cell r="B23">
            <v>20453</v>
          </cell>
          <cell r="C23">
            <v>54</v>
          </cell>
          <cell r="D23">
            <v>6.06</v>
          </cell>
          <cell r="E23">
            <v>51909</v>
          </cell>
          <cell r="F23">
            <v>110</v>
          </cell>
          <cell r="G23">
            <v>17.06</v>
          </cell>
          <cell r="H23">
            <v>56936</v>
          </cell>
          <cell r="I23">
            <v>121</v>
          </cell>
          <cell r="J23">
            <v>19.27</v>
          </cell>
          <cell r="K23">
            <v>55624</v>
          </cell>
          <cell r="L23">
            <v>114</v>
          </cell>
          <cell r="M23">
            <v>20.16</v>
          </cell>
        </row>
        <row r="24">
          <cell r="A24" t="str">
            <v>DO-YELQ812-W0-18</v>
          </cell>
          <cell r="B24">
            <v>29089</v>
          </cell>
          <cell r="C24">
            <v>229</v>
          </cell>
          <cell r="D24">
            <v>30.79</v>
          </cell>
          <cell r="E24">
            <v>22401</v>
          </cell>
          <cell r="F24">
            <v>217</v>
          </cell>
          <cell r="G24">
            <v>30.99</v>
          </cell>
          <cell r="H24">
            <v>21691</v>
          </cell>
          <cell r="I24">
            <v>223</v>
          </cell>
          <cell r="J24">
            <v>33.63</v>
          </cell>
          <cell r="K24">
            <v>12955</v>
          </cell>
          <cell r="L24">
            <v>132</v>
          </cell>
          <cell r="M24">
            <v>20.35</v>
          </cell>
        </row>
        <row r="25">
          <cell r="A25" t="str">
            <v>DO-YELQ018-B0-18</v>
          </cell>
          <cell r="B25">
            <v>4112</v>
          </cell>
          <cell r="C25">
            <v>43</v>
          </cell>
          <cell r="D25">
            <v>6.23</v>
          </cell>
          <cell r="E25">
            <v>5982</v>
          </cell>
          <cell r="F25">
            <v>74</v>
          </cell>
          <cell r="G25">
            <v>10.86</v>
          </cell>
          <cell r="H25">
            <v>7511</v>
          </cell>
          <cell r="I25">
            <v>60</v>
          </cell>
          <cell r="J25">
            <v>6.86</v>
          </cell>
          <cell r="K25">
            <v>23504</v>
          </cell>
          <cell r="L25">
            <v>158</v>
          </cell>
          <cell r="M25">
            <v>26.18</v>
          </cell>
        </row>
        <row r="26">
          <cell r="A26" t="str">
            <v>DO-YELQ985-B7-20</v>
          </cell>
          <cell r="B26">
            <v>49751</v>
          </cell>
          <cell r="C26">
            <v>364</v>
          </cell>
          <cell r="D26">
            <v>52.33</v>
          </cell>
          <cell r="E26">
            <v>40960</v>
          </cell>
          <cell r="F26">
            <v>317</v>
          </cell>
          <cell r="G26">
            <v>42.74</v>
          </cell>
          <cell r="H26">
            <v>40761</v>
          </cell>
          <cell r="I26">
            <v>325</v>
          </cell>
          <cell r="J26">
            <v>47.38</v>
          </cell>
          <cell r="K26">
            <v>46255</v>
          </cell>
          <cell r="L26">
            <v>303</v>
          </cell>
          <cell r="M26">
            <v>43.55</v>
          </cell>
        </row>
        <row r="27">
          <cell r="A27" t="str">
            <v>DO-YELQ123-W0-22</v>
          </cell>
          <cell r="B27">
            <v>11758</v>
          </cell>
          <cell r="C27">
            <v>34</v>
          </cell>
          <cell r="D27">
            <v>5.97</v>
          </cell>
          <cell r="E27">
            <v>9767</v>
          </cell>
          <cell r="F27">
            <v>17</v>
          </cell>
          <cell r="G27">
            <v>3.08</v>
          </cell>
          <cell r="H27">
            <v>11634</v>
          </cell>
          <cell r="I27">
            <v>19</v>
          </cell>
          <cell r="J27">
            <v>3.78</v>
          </cell>
          <cell r="K27">
            <v>12765</v>
          </cell>
          <cell r="L27">
            <v>20</v>
          </cell>
          <cell r="M27">
            <v>3.31</v>
          </cell>
        </row>
        <row r="28">
          <cell r="A28" t="str">
            <v>DO-YELQ073-LGR-22</v>
          </cell>
          <cell r="B28">
            <v>9922</v>
          </cell>
          <cell r="C28">
            <v>36</v>
          </cell>
          <cell r="D28">
            <v>5.45</v>
          </cell>
          <cell r="E28">
            <v>6669</v>
          </cell>
          <cell r="F28">
            <v>32</v>
          </cell>
          <cell r="G28">
            <v>5.28</v>
          </cell>
          <cell r="H28">
            <v>6060</v>
          </cell>
          <cell r="I28">
            <v>18</v>
          </cell>
          <cell r="J28">
            <v>3.03</v>
          </cell>
          <cell r="K28">
            <v>2897</v>
          </cell>
          <cell r="L28">
            <v>8</v>
          </cell>
          <cell r="M28">
            <v>1.53</v>
          </cell>
        </row>
        <row r="29">
          <cell r="A29" t="str">
            <v>DO-YELQ018-P4-16</v>
          </cell>
          <cell r="B29">
            <v>969</v>
          </cell>
          <cell r="C29">
            <v>7</v>
          </cell>
          <cell r="D29">
            <v>0.66</v>
          </cell>
          <cell r="E29">
            <v>1082</v>
          </cell>
          <cell r="F29">
            <v>9</v>
          </cell>
          <cell r="G29">
            <v>1.34</v>
          </cell>
          <cell r="H29">
            <v>536</v>
          </cell>
          <cell r="I29">
            <v>4</v>
          </cell>
          <cell r="J29">
            <v>0.54</v>
          </cell>
          <cell r="K29">
            <v>702</v>
          </cell>
          <cell r="L29">
            <v>10</v>
          </cell>
          <cell r="M29">
            <v>0.8</v>
          </cell>
        </row>
        <row r="30">
          <cell r="A30" t="str">
            <v>DO-YELQ101-B7-22</v>
          </cell>
          <cell r="B30">
            <v>17635</v>
          </cell>
          <cell r="C30">
            <v>225</v>
          </cell>
          <cell r="D30">
            <v>31.94</v>
          </cell>
          <cell r="E30">
            <v>17989</v>
          </cell>
          <cell r="F30">
            <v>224</v>
          </cell>
          <cell r="G30">
            <v>29.03</v>
          </cell>
          <cell r="H30">
            <v>15732</v>
          </cell>
          <cell r="I30">
            <v>188</v>
          </cell>
          <cell r="J30">
            <v>26.71</v>
          </cell>
          <cell r="K30">
            <v>15288</v>
          </cell>
          <cell r="L30">
            <v>158</v>
          </cell>
          <cell r="M30">
            <v>22.6</v>
          </cell>
        </row>
        <row r="31">
          <cell r="A31" t="str">
            <v>DO-YELQ010-PI-22</v>
          </cell>
          <cell r="B31">
            <v>4254</v>
          </cell>
          <cell r="C31">
            <v>46</v>
          </cell>
          <cell r="D31">
            <v>7.36</v>
          </cell>
          <cell r="E31">
            <v>1789</v>
          </cell>
          <cell r="F31">
            <v>26</v>
          </cell>
          <cell r="G31">
            <v>4.36</v>
          </cell>
          <cell r="H31">
            <v>1729</v>
          </cell>
          <cell r="I31">
            <v>24</v>
          </cell>
          <cell r="J31">
            <v>3.32</v>
          </cell>
          <cell r="K31">
            <v>1805</v>
          </cell>
          <cell r="L31">
            <v>12</v>
          </cell>
          <cell r="M31">
            <v>2.1</v>
          </cell>
        </row>
        <row r="32">
          <cell r="A32" t="str">
            <v>DO-YELQ203-P4-22</v>
          </cell>
          <cell r="B32">
            <v>4783</v>
          </cell>
          <cell r="C32">
            <v>35</v>
          </cell>
          <cell r="D32">
            <v>4.42</v>
          </cell>
          <cell r="E32">
            <v>6252</v>
          </cell>
          <cell r="F32">
            <v>12</v>
          </cell>
          <cell r="G32">
            <v>1.93</v>
          </cell>
          <cell r="H32">
            <v>9995</v>
          </cell>
          <cell r="I32">
            <v>42</v>
          </cell>
          <cell r="J32">
            <v>6.57</v>
          </cell>
          <cell r="K32">
            <v>3461</v>
          </cell>
          <cell r="L32">
            <v>7</v>
          </cell>
          <cell r="M32">
            <v>1.28</v>
          </cell>
        </row>
        <row r="33">
          <cell r="A33" t="str">
            <v>DO-YELQ070-PI-16</v>
          </cell>
          <cell r="B33">
            <v>1781</v>
          </cell>
          <cell r="C33">
            <v>9</v>
          </cell>
          <cell r="D33">
            <v>1.29</v>
          </cell>
          <cell r="E33">
            <v>1181</v>
          </cell>
          <cell r="F33">
            <v>5</v>
          </cell>
          <cell r="G33">
            <v>1.17</v>
          </cell>
          <cell r="H33">
            <v>756</v>
          </cell>
          <cell r="I33">
            <v>5</v>
          </cell>
          <cell r="J33">
            <v>0.99</v>
          </cell>
          <cell r="K33">
            <v>1282</v>
          </cell>
          <cell r="L33">
            <v>8</v>
          </cell>
          <cell r="M33">
            <v>1.1</v>
          </cell>
        </row>
        <row r="34">
          <cell r="A34" t="str">
            <v>DO-YELQ062-PI-22</v>
          </cell>
          <cell r="B34">
            <v>1198</v>
          </cell>
          <cell r="C34">
            <v>18</v>
          </cell>
          <cell r="D34">
            <v>3.57</v>
          </cell>
          <cell r="E34">
            <v>4021</v>
          </cell>
          <cell r="F34">
            <v>65</v>
          </cell>
          <cell r="G34">
            <v>10.55</v>
          </cell>
          <cell r="H34">
            <v>4837</v>
          </cell>
          <cell r="I34">
            <v>50</v>
          </cell>
          <cell r="J34">
            <v>7.8</v>
          </cell>
          <cell r="K34">
            <v>4529</v>
          </cell>
          <cell r="L34">
            <v>54</v>
          </cell>
          <cell r="M34">
            <v>9.5</v>
          </cell>
        </row>
        <row r="35">
          <cell r="A35" t="str">
            <v>DO-YELQ701-PI-22</v>
          </cell>
          <cell r="B35">
            <v>2960</v>
          </cell>
          <cell r="C35">
            <v>21</v>
          </cell>
          <cell r="D35">
            <v>3.53</v>
          </cell>
          <cell r="E35">
            <v>5333</v>
          </cell>
          <cell r="F35">
            <v>41</v>
          </cell>
          <cell r="G35">
            <v>6.24</v>
          </cell>
          <cell r="H35">
            <v>7188</v>
          </cell>
          <cell r="I35">
            <v>50</v>
          </cell>
          <cell r="J35">
            <v>8.85</v>
          </cell>
          <cell r="K35">
            <v>6114</v>
          </cell>
          <cell r="L35">
            <v>44</v>
          </cell>
          <cell r="M35">
            <v>7.8</v>
          </cell>
        </row>
        <row r="36">
          <cell r="A36" t="str">
            <v>DO-YELQ012-PI-22</v>
          </cell>
          <cell r="B36">
            <v>1319</v>
          </cell>
          <cell r="C36">
            <v>21</v>
          </cell>
          <cell r="D36">
            <v>2.7</v>
          </cell>
          <cell r="E36">
            <v>658</v>
          </cell>
          <cell r="F36">
            <v>9</v>
          </cell>
          <cell r="G36">
            <v>1.32</v>
          </cell>
          <cell r="H36">
            <v>1166</v>
          </cell>
          <cell r="I36">
            <v>7</v>
          </cell>
          <cell r="J36">
            <v>0.5</v>
          </cell>
          <cell r="K36">
            <v>1358</v>
          </cell>
          <cell r="L36">
            <v>8</v>
          </cell>
          <cell r="M36">
            <v>1.19</v>
          </cell>
        </row>
        <row r="37">
          <cell r="A37" t="str">
            <v>DO-YELQ173-B7-21</v>
          </cell>
          <cell r="B37">
            <v>0</v>
          </cell>
          <cell r="C37">
            <v>0</v>
          </cell>
          <cell r="D37">
            <v>0</v>
          </cell>
          <cell r="E37">
            <v>1561</v>
          </cell>
          <cell r="F37">
            <v>35</v>
          </cell>
          <cell r="G37">
            <v>5.04</v>
          </cell>
          <cell r="H37">
            <v>10695</v>
          </cell>
          <cell r="I37">
            <v>94</v>
          </cell>
          <cell r="J37">
            <v>15.46</v>
          </cell>
          <cell r="K37">
            <v>3217</v>
          </cell>
          <cell r="L37">
            <v>35</v>
          </cell>
          <cell r="M37">
            <v>6.59</v>
          </cell>
        </row>
        <row r="38">
          <cell r="A38" t="str">
            <v>DO-YELQ663-PI-15</v>
          </cell>
          <cell r="B38">
            <v>5670</v>
          </cell>
          <cell r="C38">
            <v>9</v>
          </cell>
          <cell r="D38">
            <v>1.74</v>
          </cell>
          <cell r="E38">
            <v>3323</v>
          </cell>
          <cell r="F38">
            <v>3</v>
          </cell>
          <cell r="G38">
            <v>0.21</v>
          </cell>
          <cell r="H38">
            <v>3809</v>
          </cell>
          <cell r="I38">
            <v>5</v>
          </cell>
          <cell r="J38">
            <v>1.3</v>
          </cell>
          <cell r="K38">
            <v>2780</v>
          </cell>
          <cell r="L38">
            <v>8</v>
          </cell>
          <cell r="M38">
            <v>2.01</v>
          </cell>
        </row>
        <row r="39">
          <cell r="A39" t="str">
            <v>DO-YELQ150-PI-20</v>
          </cell>
          <cell r="B39">
            <v>10903</v>
          </cell>
          <cell r="C39">
            <v>86</v>
          </cell>
          <cell r="D39">
            <v>13.32</v>
          </cell>
          <cell r="E39">
            <v>11784</v>
          </cell>
          <cell r="F39">
            <v>82</v>
          </cell>
          <cell r="G39">
            <v>14.16</v>
          </cell>
          <cell r="H39">
            <v>12317</v>
          </cell>
          <cell r="I39">
            <v>68</v>
          </cell>
          <cell r="J39">
            <v>12</v>
          </cell>
          <cell r="K39">
            <v>13172</v>
          </cell>
          <cell r="L39">
            <v>74</v>
          </cell>
          <cell r="M39">
            <v>12.34</v>
          </cell>
        </row>
        <row r="40">
          <cell r="A40" t="str">
            <v>DO-YELQ504-PI-22</v>
          </cell>
          <cell r="B40">
            <v>3434</v>
          </cell>
          <cell r="C40">
            <v>37</v>
          </cell>
          <cell r="D40">
            <v>5.69</v>
          </cell>
          <cell r="E40">
            <v>2195</v>
          </cell>
          <cell r="F40">
            <v>15</v>
          </cell>
          <cell r="G40">
            <v>2.23</v>
          </cell>
          <cell r="H40">
            <v>754</v>
          </cell>
          <cell r="I40">
            <v>10</v>
          </cell>
          <cell r="J40">
            <v>1.81</v>
          </cell>
          <cell r="K40">
            <v>1337</v>
          </cell>
          <cell r="L40">
            <v>8</v>
          </cell>
          <cell r="M40">
            <v>1.02</v>
          </cell>
        </row>
        <row r="41">
          <cell r="A41" t="str">
            <v>DO-YELQ170-SH-22</v>
          </cell>
          <cell r="B41">
            <v>1214</v>
          </cell>
          <cell r="C41">
            <v>12</v>
          </cell>
          <cell r="D41">
            <v>2.05</v>
          </cell>
          <cell r="E41">
            <v>1885</v>
          </cell>
          <cell r="F41">
            <v>4</v>
          </cell>
          <cell r="G41">
            <v>0.55</v>
          </cell>
          <cell r="H41">
            <v>1111</v>
          </cell>
          <cell r="I41">
            <v>14</v>
          </cell>
          <cell r="J41">
            <v>2.15</v>
          </cell>
          <cell r="K41">
            <v>2612</v>
          </cell>
          <cell r="L41">
            <v>8</v>
          </cell>
          <cell r="M41">
            <v>1.53</v>
          </cell>
        </row>
        <row r="42">
          <cell r="A42" t="str">
            <v>DO-YELQ039-R0-22</v>
          </cell>
          <cell r="B42">
            <v>3868</v>
          </cell>
          <cell r="C42">
            <v>24</v>
          </cell>
          <cell r="D42">
            <v>3.78</v>
          </cell>
          <cell r="E42">
            <v>2559</v>
          </cell>
          <cell r="F42">
            <v>15</v>
          </cell>
          <cell r="G42">
            <v>1.91</v>
          </cell>
          <cell r="H42">
            <v>1624</v>
          </cell>
          <cell r="I42">
            <v>13</v>
          </cell>
          <cell r="J42">
            <v>2.42</v>
          </cell>
          <cell r="K42">
            <v>1774</v>
          </cell>
          <cell r="L42">
            <v>12</v>
          </cell>
          <cell r="M42">
            <v>2.38</v>
          </cell>
        </row>
        <row r="43">
          <cell r="A43" t="str">
            <v>DO-YELQ707-PI-24</v>
          </cell>
          <cell r="B43">
            <v>1386</v>
          </cell>
          <cell r="C43">
            <v>13</v>
          </cell>
          <cell r="D43">
            <v>2.01</v>
          </cell>
          <cell r="E43">
            <v>6057</v>
          </cell>
          <cell r="F43">
            <v>51</v>
          </cell>
          <cell r="G43">
            <v>8.4</v>
          </cell>
          <cell r="H43">
            <v>11756</v>
          </cell>
          <cell r="I43">
            <v>63</v>
          </cell>
          <cell r="J43">
            <v>12.21</v>
          </cell>
          <cell r="K43">
            <v>5038</v>
          </cell>
          <cell r="L43">
            <v>30</v>
          </cell>
          <cell r="M43">
            <v>5.63</v>
          </cell>
        </row>
        <row r="44">
          <cell r="A44" t="str">
            <v>DO-YELQ708-W0-24</v>
          </cell>
          <cell r="B44">
            <v>2380</v>
          </cell>
          <cell r="C44">
            <v>17</v>
          </cell>
          <cell r="D44">
            <v>3.33</v>
          </cell>
          <cell r="E44">
            <v>11519</v>
          </cell>
          <cell r="F44">
            <v>55</v>
          </cell>
          <cell r="G44">
            <v>8.85</v>
          </cell>
          <cell r="H44">
            <v>1652</v>
          </cell>
          <cell r="I44">
            <v>14</v>
          </cell>
          <cell r="J44">
            <v>2.5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DO-YELQ539-PI-16</v>
          </cell>
          <cell r="B45">
            <v>2777</v>
          </cell>
          <cell r="C45">
            <v>23</v>
          </cell>
          <cell r="D45">
            <v>5.52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DO-YELQ001-PI-22</v>
          </cell>
          <cell r="B3">
            <v>10612</v>
          </cell>
          <cell r="C3">
            <v>71</v>
          </cell>
          <cell r="D3">
            <v>5.58</v>
          </cell>
          <cell r="E3">
            <v>11910</v>
          </cell>
          <cell r="F3">
            <v>83</v>
          </cell>
          <cell r="G3">
            <v>5.26</v>
          </cell>
          <cell r="H3">
            <v>12788</v>
          </cell>
          <cell r="I3">
            <v>91</v>
          </cell>
          <cell r="J3">
            <v>7.8</v>
          </cell>
          <cell r="K3">
            <v>6393</v>
          </cell>
          <cell r="L3">
            <v>38</v>
          </cell>
          <cell r="M3">
            <v>3.15</v>
          </cell>
        </row>
        <row r="4">
          <cell r="A4" t="str">
            <v>DO-YELQ100-B7-22</v>
          </cell>
          <cell r="B4">
            <v>9121</v>
          </cell>
          <cell r="C4">
            <v>54</v>
          </cell>
          <cell r="D4">
            <v>4.78</v>
          </cell>
          <cell r="E4">
            <v>8362</v>
          </cell>
          <cell r="F4">
            <v>65</v>
          </cell>
          <cell r="G4">
            <v>5.7</v>
          </cell>
          <cell r="H4">
            <v>10871</v>
          </cell>
          <cell r="I4">
            <v>63</v>
          </cell>
          <cell r="J4">
            <v>5.28</v>
          </cell>
          <cell r="K4">
            <v>6072</v>
          </cell>
          <cell r="L4">
            <v>38</v>
          </cell>
          <cell r="M4">
            <v>3.94</v>
          </cell>
        </row>
        <row r="5">
          <cell r="A5" t="str">
            <v>DO-YELQ161-B7-22</v>
          </cell>
          <cell r="B5">
            <v>1817</v>
          </cell>
          <cell r="C5">
            <v>14</v>
          </cell>
          <cell r="D5">
            <v>1.05</v>
          </cell>
          <cell r="E5">
            <v>2082</v>
          </cell>
          <cell r="F5">
            <v>18</v>
          </cell>
          <cell r="G5">
            <v>1.3</v>
          </cell>
          <cell r="H5">
            <v>2514</v>
          </cell>
          <cell r="I5">
            <v>25</v>
          </cell>
          <cell r="J5">
            <v>1.73</v>
          </cell>
          <cell r="K5">
            <v>5061</v>
          </cell>
          <cell r="L5">
            <v>13</v>
          </cell>
          <cell r="M5">
            <v>0.54</v>
          </cell>
        </row>
        <row r="6">
          <cell r="A6" t="str">
            <v>DO-YELQ161-PI-22</v>
          </cell>
          <cell r="B6">
            <v>872</v>
          </cell>
          <cell r="C6">
            <v>4</v>
          </cell>
          <cell r="D6">
            <v>0.29</v>
          </cell>
          <cell r="E6">
            <v>890</v>
          </cell>
          <cell r="F6">
            <v>5</v>
          </cell>
          <cell r="G6">
            <v>0.23</v>
          </cell>
          <cell r="H6">
            <v>853</v>
          </cell>
          <cell r="I6">
            <v>6</v>
          </cell>
          <cell r="J6">
            <v>0.37</v>
          </cell>
          <cell r="K6">
            <v>1670</v>
          </cell>
          <cell r="L6">
            <v>4</v>
          </cell>
          <cell r="M6">
            <v>0.53</v>
          </cell>
        </row>
        <row r="7">
          <cell r="A7" t="str">
            <v>DO-YELQ163-R0-22</v>
          </cell>
          <cell r="B7">
            <v>3131</v>
          </cell>
          <cell r="C7">
            <v>13</v>
          </cell>
          <cell r="D7">
            <v>1.57</v>
          </cell>
          <cell r="E7">
            <v>2590</v>
          </cell>
          <cell r="F7">
            <v>22</v>
          </cell>
          <cell r="G7">
            <v>2.11</v>
          </cell>
          <cell r="H7">
            <v>3332</v>
          </cell>
          <cell r="I7">
            <v>17</v>
          </cell>
          <cell r="J7">
            <v>1.74</v>
          </cell>
          <cell r="K7">
            <v>1749</v>
          </cell>
          <cell r="L7">
            <v>8</v>
          </cell>
          <cell r="M7">
            <v>0.6</v>
          </cell>
        </row>
        <row r="8">
          <cell r="A8" t="str">
            <v>DO-YELQ602-PI-22</v>
          </cell>
          <cell r="B8">
            <v>40546</v>
          </cell>
          <cell r="C8">
            <v>306</v>
          </cell>
          <cell r="D8">
            <v>34.05</v>
          </cell>
          <cell r="E8">
            <v>41807</v>
          </cell>
          <cell r="F8">
            <v>283</v>
          </cell>
          <cell r="G8">
            <v>33.54</v>
          </cell>
          <cell r="H8">
            <v>42948</v>
          </cell>
          <cell r="I8">
            <v>249</v>
          </cell>
          <cell r="J8">
            <v>31.64</v>
          </cell>
          <cell r="K8">
            <v>19509</v>
          </cell>
          <cell r="L8">
            <v>140</v>
          </cell>
          <cell r="M8">
            <v>15.49</v>
          </cell>
        </row>
        <row r="9">
          <cell r="A9" t="str">
            <v>DO-YELQ603-PI-22</v>
          </cell>
          <cell r="B9">
            <v>2100</v>
          </cell>
          <cell r="C9">
            <v>7</v>
          </cell>
          <cell r="D9">
            <v>0.33</v>
          </cell>
          <cell r="E9">
            <v>1888</v>
          </cell>
          <cell r="F9">
            <v>15</v>
          </cell>
          <cell r="G9">
            <v>0.69</v>
          </cell>
          <cell r="H9">
            <v>1355</v>
          </cell>
          <cell r="I9">
            <v>10</v>
          </cell>
          <cell r="J9">
            <v>0.48</v>
          </cell>
          <cell r="K9">
            <v>1339</v>
          </cell>
          <cell r="L9">
            <v>9</v>
          </cell>
          <cell r="M9">
            <v>0.58</v>
          </cell>
        </row>
        <row r="10">
          <cell r="A10" t="str">
            <v>DO-YELQ904-B7-22</v>
          </cell>
          <cell r="B10">
            <v>6906</v>
          </cell>
          <cell r="C10">
            <v>41</v>
          </cell>
          <cell r="D10">
            <v>2.11</v>
          </cell>
          <cell r="E10">
            <v>6540</v>
          </cell>
          <cell r="F10">
            <v>49</v>
          </cell>
          <cell r="G10">
            <v>2.6</v>
          </cell>
          <cell r="H10">
            <v>6211</v>
          </cell>
          <cell r="I10">
            <v>47</v>
          </cell>
          <cell r="J10">
            <v>2.78</v>
          </cell>
          <cell r="K10">
            <v>9735</v>
          </cell>
          <cell r="L10">
            <v>56</v>
          </cell>
          <cell r="M10">
            <v>2.99</v>
          </cell>
        </row>
        <row r="11">
          <cell r="A11" t="str">
            <v>DO-YELQ152-B7-22</v>
          </cell>
          <cell r="B11">
            <v>21039</v>
          </cell>
          <cell r="C11">
            <v>311</v>
          </cell>
          <cell r="D11">
            <v>44.4</v>
          </cell>
          <cell r="E11">
            <v>13187</v>
          </cell>
          <cell r="F11">
            <v>273</v>
          </cell>
          <cell r="G11">
            <v>47.47</v>
          </cell>
          <cell r="H11">
            <v>16257</v>
          </cell>
          <cell r="I11">
            <v>273</v>
          </cell>
          <cell r="J11">
            <v>42.31</v>
          </cell>
          <cell r="K11">
            <v>9710</v>
          </cell>
          <cell r="L11">
            <v>188</v>
          </cell>
          <cell r="M11">
            <v>26.36</v>
          </cell>
        </row>
        <row r="12">
          <cell r="A12" t="str">
            <v>YF-YELQ003-PI-XS</v>
          </cell>
          <cell r="B12">
            <v>0</v>
          </cell>
          <cell r="C12">
            <v>0</v>
          </cell>
          <cell r="D12">
            <v>0</v>
          </cell>
          <cell r="E12">
            <v>3577</v>
          </cell>
          <cell r="F12">
            <v>15</v>
          </cell>
          <cell r="G12">
            <v>3.26</v>
          </cell>
          <cell r="H12">
            <v>9080</v>
          </cell>
          <cell r="I12">
            <v>48</v>
          </cell>
          <cell r="J12">
            <v>8.5</v>
          </cell>
          <cell r="K12">
            <v>6212</v>
          </cell>
          <cell r="L12">
            <v>29</v>
          </cell>
          <cell r="M12">
            <v>6.09</v>
          </cell>
        </row>
        <row r="13">
          <cell r="A13" t="str">
            <v>YF-YELQ003-R2-XS</v>
          </cell>
          <cell r="B13">
            <v>2642</v>
          </cell>
          <cell r="C13">
            <v>13</v>
          </cell>
          <cell r="D13">
            <v>2.41</v>
          </cell>
          <cell r="E13">
            <v>4138</v>
          </cell>
          <cell r="F13">
            <v>19</v>
          </cell>
          <cell r="G13">
            <v>3.51</v>
          </cell>
          <cell r="H13">
            <v>2884</v>
          </cell>
          <cell r="I13">
            <v>10</v>
          </cell>
          <cell r="J13">
            <v>1.42</v>
          </cell>
          <cell r="K13">
            <v>852</v>
          </cell>
          <cell r="L13">
            <v>6</v>
          </cell>
          <cell r="M13">
            <v>1.17</v>
          </cell>
        </row>
        <row r="14">
          <cell r="A14" t="str">
            <v>DO-YELQ011-W0-22</v>
          </cell>
          <cell r="B14">
            <v>59580</v>
          </cell>
          <cell r="C14">
            <v>291</v>
          </cell>
          <cell r="D14">
            <v>47.74</v>
          </cell>
          <cell r="E14">
            <v>53875</v>
          </cell>
          <cell r="F14">
            <v>275</v>
          </cell>
          <cell r="G14">
            <v>44.31</v>
          </cell>
          <cell r="H14">
            <v>60733</v>
          </cell>
          <cell r="I14">
            <v>300</v>
          </cell>
          <cell r="J14">
            <v>46.67</v>
          </cell>
          <cell r="K14">
            <v>46098</v>
          </cell>
          <cell r="L14">
            <v>217</v>
          </cell>
          <cell r="M14">
            <v>32.96</v>
          </cell>
        </row>
        <row r="15">
          <cell r="A15" t="str">
            <v>DO-YELQ638-PI-20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1849</v>
          </cell>
          <cell r="I15">
            <v>14</v>
          </cell>
          <cell r="J15">
            <v>1.86</v>
          </cell>
          <cell r="K15">
            <v>18777</v>
          </cell>
          <cell r="L15">
            <v>192</v>
          </cell>
          <cell r="M15">
            <v>28.99</v>
          </cell>
        </row>
        <row r="16">
          <cell r="A16" t="str">
            <v>DO-YELQ603-NZ-22</v>
          </cell>
          <cell r="B16">
            <v>51474</v>
          </cell>
          <cell r="C16">
            <v>301</v>
          </cell>
          <cell r="D16">
            <v>38.65</v>
          </cell>
          <cell r="E16">
            <v>49532</v>
          </cell>
          <cell r="F16">
            <v>292</v>
          </cell>
          <cell r="G16">
            <v>36.21</v>
          </cell>
          <cell r="H16">
            <v>43745</v>
          </cell>
          <cell r="I16">
            <v>300</v>
          </cell>
          <cell r="J16">
            <v>39.58</v>
          </cell>
          <cell r="K16">
            <v>26843</v>
          </cell>
          <cell r="L16">
            <v>165</v>
          </cell>
          <cell r="M16">
            <v>17.47</v>
          </cell>
        </row>
        <row r="17">
          <cell r="A17" t="str">
            <v>DO-YELQ111-R2-22</v>
          </cell>
          <cell r="B17">
            <v>91058</v>
          </cell>
          <cell r="C17">
            <v>677</v>
          </cell>
          <cell r="D17">
            <v>81.56</v>
          </cell>
          <cell r="E17">
            <v>84334</v>
          </cell>
          <cell r="F17">
            <v>582</v>
          </cell>
          <cell r="G17">
            <v>73.15</v>
          </cell>
          <cell r="H17">
            <v>99776</v>
          </cell>
          <cell r="I17">
            <v>582</v>
          </cell>
          <cell r="J17">
            <v>68.87</v>
          </cell>
          <cell r="K17">
            <v>61215</v>
          </cell>
          <cell r="L17">
            <v>470</v>
          </cell>
          <cell r="M17">
            <v>52.39</v>
          </cell>
        </row>
        <row r="18">
          <cell r="A18" t="str">
            <v>DO-YELQ610-R2-22</v>
          </cell>
          <cell r="B18">
            <v>15342</v>
          </cell>
          <cell r="C18">
            <v>115</v>
          </cell>
          <cell r="D18">
            <v>6.95</v>
          </cell>
          <cell r="E18">
            <v>7776</v>
          </cell>
          <cell r="F18">
            <v>69</v>
          </cell>
          <cell r="G18">
            <v>4.74</v>
          </cell>
          <cell r="H18">
            <v>13458</v>
          </cell>
          <cell r="I18">
            <v>126</v>
          </cell>
          <cell r="J18">
            <v>8.46</v>
          </cell>
          <cell r="K18">
            <v>56780</v>
          </cell>
          <cell r="L18">
            <v>310</v>
          </cell>
          <cell r="M18">
            <v>33.79</v>
          </cell>
        </row>
        <row r="19">
          <cell r="A19" t="str">
            <v>DO-YELQ812-W0-18</v>
          </cell>
          <cell r="B19">
            <v>20350</v>
          </cell>
          <cell r="C19">
            <v>259</v>
          </cell>
          <cell r="D19">
            <v>15.2</v>
          </cell>
          <cell r="E19">
            <v>19899</v>
          </cell>
          <cell r="F19">
            <v>217</v>
          </cell>
          <cell r="G19">
            <v>13.51</v>
          </cell>
          <cell r="H19">
            <v>22193</v>
          </cell>
          <cell r="I19">
            <v>184</v>
          </cell>
          <cell r="J19">
            <v>11.48</v>
          </cell>
          <cell r="K19">
            <v>32693</v>
          </cell>
          <cell r="L19">
            <v>387</v>
          </cell>
          <cell r="M19">
            <v>43.04</v>
          </cell>
        </row>
        <row r="20">
          <cell r="A20" t="str">
            <v>DO-YELQ073-LGR-22</v>
          </cell>
          <cell r="B20">
            <v>59426</v>
          </cell>
          <cell r="C20">
            <v>240</v>
          </cell>
          <cell r="D20">
            <v>27.72</v>
          </cell>
          <cell r="E20">
            <v>63519</v>
          </cell>
          <cell r="F20">
            <v>243</v>
          </cell>
          <cell r="G20">
            <v>25.53</v>
          </cell>
          <cell r="H20">
            <v>62402</v>
          </cell>
          <cell r="I20">
            <v>290</v>
          </cell>
          <cell r="J20">
            <v>31.14</v>
          </cell>
          <cell r="K20">
            <v>36167</v>
          </cell>
          <cell r="L20">
            <v>190</v>
          </cell>
          <cell r="M20">
            <v>17.26</v>
          </cell>
        </row>
        <row r="21">
          <cell r="A21" t="str">
            <v>DO-YELQ018-P4-16</v>
          </cell>
          <cell r="B21">
            <v>38029</v>
          </cell>
          <cell r="C21">
            <v>163</v>
          </cell>
          <cell r="D21">
            <v>14.9</v>
          </cell>
          <cell r="E21">
            <v>31284</v>
          </cell>
          <cell r="F21">
            <v>135</v>
          </cell>
          <cell r="G21">
            <v>11.3</v>
          </cell>
          <cell r="H21">
            <v>17519</v>
          </cell>
          <cell r="I21">
            <v>88</v>
          </cell>
          <cell r="J21">
            <v>7.98</v>
          </cell>
          <cell r="K21">
            <v>20790</v>
          </cell>
          <cell r="L21">
            <v>93</v>
          </cell>
          <cell r="M21">
            <v>7.22</v>
          </cell>
        </row>
        <row r="22">
          <cell r="A22" t="str">
            <v>DO-YELQ018-B0-18</v>
          </cell>
          <cell r="B22">
            <v>29553</v>
          </cell>
          <cell r="C22">
            <v>271</v>
          </cell>
          <cell r="D22">
            <v>15.38</v>
          </cell>
          <cell r="E22">
            <v>23808</v>
          </cell>
          <cell r="F22">
            <v>235</v>
          </cell>
          <cell r="G22">
            <v>12.29</v>
          </cell>
          <cell r="H22">
            <v>22798</v>
          </cell>
          <cell r="I22">
            <v>241</v>
          </cell>
          <cell r="J22">
            <v>14.57</v>
          </cell>
          <cell r="K22">
            <v>26280</v>
          </cell>
          <cell r="L22">
            <v>267</v>
          </cell>
          <cell r="M22">
            <v>16.13</v>
          </cell>
        </row>
        <row r="23">
          <cell r="A23" t="str">
            <v>DO-YELQ011-PI-22</v>
          </cell>
          <cell r="B23">
            <v>13745</v>
          </cell>
          <cell r="C23">
            <v>99</v>
          </cell>
          <cell r="D23">
            <v>6.4</v>
          </cell>
          <cell r="E23">
            <v>15782</v>
          </cell>
          <cell r="F23">
            <v>89</v>
          </cell>
          <cell r="G23">
            <v>5.66</v>
          </cell>
          <cell r="H23">
            <v>12911</v>
          </cell>
          <cell r="I23">
            <v>101</v>
          </cell>
          <cell r="J23">
            <v>7.17</v>
          </cell>
          <cell r="K23">
            <v>10756</v>
          </cell>
          <cell r="L23">
            <v>140</v>
          </cell>
          <cell r="M23">
            <v>8.15</v>
          </cell>
        </row>
        <row r="24">
          <cell r="A24" t="str">
            <v>DO-YELQ111-PI-22</v>
          </cell>
          <cell r="B24">
            <v>2663</v>
          </cell>
          <cell r="C24">
            <v>22</v>
          </cell>
          <cell r="D24">
            <v>1.34</v>
          </cell>
          <cell r="E24">
            <v>2982</v>
          </cell>
          <cell r="F24">
            <v>36</v>
          </cell>
          <cell r="G24">
            <v>2.34</v>
          </cell>
          <cell r="H24">
            <v>2679</v>
          </cell>
          <cell r="I24">
            <v>38</v>
          </cell>
          <cell r="J24">
            <v>2.73</v>
          </cell>
          <cell r="K24">
            <v>3292</v>
          </cell>
          <cell r="L24">
            <v>37</v>
          </cell>
          <cell r="M24">
            <v>2.55</v>
          </cell>
        </row>
        <row r="25">
          <cell r="A25" t="str">
            <v>DO-YELQ123-W0-22</v>
          </cell>
          <cell r="B25">
            <v>34668</v>
          </cell>
          <cell r="C25">
            <v>129</v>
          </cell>
          <cell r="D25">
            <v>7.58</v>
          </cell>
          <cell r="E25">
            <v>24786</v>
          </cell>
          <cell r="F25">
            <v>134</v>
          </cell>
          <cell r="G25">
            <v>7.52</v>
          </cell>
          <cell r="H25">
            <v>7157</v>
          </cell>
          <cell r="I25">
            <v>91</v>
          </cell>
          <cell r="J25">
            <v>5.62</v>
          </cell>
          <cell r="K25">
            <v>6412</v>
          </cell>
          <cell r="L25">
            <v>112</v>
          </cell>
          <cell r="M25">
            <v>7.91</v>
          </cell>
        </row>
        <row r="26">
          <cell r="A26" t="str">
            <v>DO-YELQ601-PI-22</v>
          </cell>
          <cell r="B26">
            <v>26875</v>
          </cell>
          <cell r="C26">
            <v>348</v>
          </cell>
          <cell r="D26">
            <v>22.71</v>
          </cell>
          <cell r="E26">
            <v>15005</v>
          </cell>
          <cell r="F26">
            <v>203</v>
          </cell>
          <cell r="G26">
            <v>12.55</v>
          </cell>
          <cell r="H26">
            <v>21764</v>
          </cell>
          <cell r="I26">
            <v>175</v>
          </cell>
          <cell r="J26">
            <v>11.45</v>
          </cell>
          <cell r="K26">
            <v>19409</v>
          </cell>
          <cell r="L26">
            <v>298</v>
          </cell>
          <cell r="M26">
            <v>19.74</v>
          </cell>
        </row>
        <row r="27">
          <cell r="A27" t="str">
            <v>DO-YELQ070-PI-16</v>
          </cell>
          <cell r="B27">
            <v>70</v>
          </cell>
          <cell r="C27">
            <v>0</v>
          </cell>
          <cell r="D27">
            <v>0</v>
          </cell>
          <cell r="E27">
            <v>67</v>
          </cell>
          <cell r="F27">
            <v>0</v>
          </cell>
          <cell r="G27">
            <v>0</v>
          </cell>
          <cell r="H27">
            <v>68</v>
          </cell>
          <cell r="I27">
            <v>0</v>
          </cell>
          <cell r="J27">
            <v>0</v>
          </cell>
          <cell r="K27">
            <v>64</v>
          </cell>
          <cell r="L27">
            <v>0</v>
          </cell>
          <cell r="M27">
            <v>0</v>
          </cell>
        </row>
        <row r="28">
          <cell r="A28" t="str">
            <v>DO-YELQ012-PI-22</v>
          </cell>
          <cell r="B28">
            <v>300</v>
          </cell>
          <cell r="C28">
            <v>1</v>
          </cell>
          <cell r="D28">
            <v>0.04</v>
          </cell>
          <cell r="E28">
            <v>447</v>
          </cell>
          <cell r="F28">
            <v>0</v>
          </cell>
          <cell r="G28">
            <v>0</v>
          </cell>
          <cell r="H28">
            <v>242</v>
          </cell>
          <cell r="I28">
            <v>0</v>
          </cell>
          <cell r="J28">
            <v>0</v>
          </cell>
          <cell r="K28">
            <v>254</v>
          </cell>
          <cell r="L28">
            <v>0</v>
          </cell>
          <cell r="M28">
            <v>0</v>
          </cell>
        </row>
        <row r="29">
          <cell r="A29" t="str">
            <v>DO-YELQ203-P4-22</v>
          </cell>
          <cell r="B29">
            <v>203</v>
          </cell>
          <cell r="C29">
            <v>1</v>
          </cell>
          <cell r="D29">
            <v>0.08</v>
          </cell>
          <cell r="E29">
            <v>124</v>
          </cell>
          <cell r="F29">
            <v>3</v>
          </cell>
          <cell r="G29">
            <v>0.39</v>
          </cell>
          <cell r="H29">
            <v>134</v>
          </cell>
          <cell r="I29">
            <v>1</v>
          </cell>
          <cell r="J29">
            <v>0.11</v>
          </cell>
          <cell r="K29">
            <v>11</v>
          </cell>
          <cell r="L29">
            <v>0</v>
          </cell>
          <cell r="M29">
            <v>0</v>
          </cell>
        </row>
        <row r="30">
          <cell r="A30" t="str">
            <v>DO-YELQ150-PI-20</v>
          </cell>
          <cell r="B30">
            <v>195</v>
          </cell>
          <cell r="C30">
            <v>1</v>
          </cell>
          <cell r="D30">
            <v>0.23</v>
          </cell>
          <cell r="E30">
            <v>290</v>
          </cell>
          <cell r="F30">
            <v>2</v>
          </cell>
          <cell r="G30">
            <v>0.46</v>
          </cell>
          <cell r="H30">
            <v>326</v>
          </cell>
          <cell r="I30">
            <v>2</v>
          </cell>
          <cell r="J30">
            <v>0.34</v>
          </cell>
          <cell r="K30">
            <v>279</v>
          </cell>
          <cell r="L30">
            <v>3</v>
          </cell>
          <cell r="M30">
            <v>0.59</v>
          </cell>
        </row>
        <row r="31">
          <cell r="A31" t="str">
            <v>DO-YELQ062-PI-22</v>
          </cell>
          <cell r="B31">
            <v>9822</v>
          </cell>
          <cell r="C31">
            <v>141</v>
          </cell>
          <cell r="D31">
            <v>25.58</v>
          </cell>
          <cell r="E31">
            <v>14336</v>
          </cell>
          <cell r="F31">
            <v>190</v>
          </cell>
          <cell r="G31">
            <v>30.48</v>
          </cell>
          <cell r="H31">
            <v>14455</v>
          </cell>
          <cell r="I31">
            <v>149</v>
          </cell>
          <cell r="J31">
            <v>22.9</v>
          </cell>
          <cell r="K31">
            <v>5321</v>
          </cell>
          <cell r="L31">
            <v>63</v>
          </cell>
          <cell r="M31">
            <v>7.88</v>
          </cell>
        </row>
        <row r="32">
          <cell r="A32" t="str">
            <v>DO-YELQ663-PI-15</v>
          </cell>
          <cell r="B32">
            <v>3651</v>
          </cell>
          <cell r="C32">
            <v>27</v>
          </cell>
          <cell r="D32">
            <v>3</v>
          </cell>
          <cell r="E32">
            <v>3826</v>
          </cell>
          <cell r="F32">
            <v>27</v>
          </cell>
          <cell r="G32">
            <v>3.18</v>
          </cell>
          <cell r="H32">
            <v>3726</v>
          </cell>
          <cell r="I32">
            <v>27</v>
          </cell>
          <cell r="J32">
            <v>2.56</v>
          </cell>
          <cell r="K32">
            <v>623</v>
          </cell>
          <cell r="L32">
            <v>8</v>
          </cell>
          <cell r="M32">
            <v>1.07</v>
          </cell>
        </row>
        <row r="33">
          <cell r="A33" t="str">
            <v>DO-YELQ101-B7-22</v>
          </cell>
          <cell r="B33">
            <v>3461</v>
          </cell>
          <cell r="C33">
            <v>57</v>
          </cell>
          <cell r="D33">
            <v>2.84</v>
          </cell>
          <cell r="E33">
            <v>2729</v>
          </cell>
          <cell r="F33">
            <v>44</v>
          </cell>
          <cell r="G33">
            <v>1.87</v>
          </cell>
          <cell r="H33">
            <v>3899</v>
          </cell>
          <cell r="I33">
            <v>58</v>
          </cell>
          <cell r="J33">
            <v>4.84</v>
          </cell>
          <cell r="K33">
            <v>20112</v>
          </cell>
          <cell r="L33">
            <v>217</v>
          </cell>
          <cell r="M33">
            <v>25.12</v>
          </cell>
        </row>
        <row r="34">
          <cell r="A34" t="str">
            <v>DO-YELQ010-PI-22</v>
          </cell>
          <cell r="B34">
            <v>49</v>
          </cell>
          <cell r="C34">
            <v>0</v>
          </cell>
          <cell r="D34">
            <v>0</v>
          </cell>
          <cell r="E34">
            <v>51</v>
          </cell>
          <cell r="F34">
            <v>0</v>
          </cell>
          <cell r="G34">
            <v>0</v>
          </cell>
          <cell r="H34">
            <v>62</v>
          </cell>
          <cell r="I34">
            <v>1</v>
          </cell>
          <cell r="J34">
            <v>0.11</v>
          </cell>
          <cell r="K34">
            <v>25</v>
          </cell>
          <cell r="L34">
            <v>0</v>
          </cell>
          <cell r="M34">
            <v>0</v>
          </cell>
        </row>
        <row r="35">
          <cell r="A35" t="str">
            <v>DO-YELQ230-PI-16</v>
          </cell>
          <cell r="B35">
            <v>51</v>
          </cell>
          <cell r="C35">
            <v>0</v>
          </cell>
          <cell r="D35">
            <v>0</v>
          </cell>
          <cell r="E35">
            <v>44</v>
          </cell>
          <cell r="F35">
            <v>0</v>
          </cell>
          <cell r="G35">
            <v>0</v>
          </cell>
          <cell r="H35">
            <v>42</v>
          </cell>
          <cell r="I35">
            <v>1</v>
          </cell>
          <cell r="J35">
            <v>0.03</v>
          </cell>
          <cell r="K35">
            <v>46</v>
          </cell>
          <cell r="L35">
            <v>1</v>
          </cell>
          <cell r="M35">
            <v>0.17</v>
          </cell>
        </row>
        <row r="36">
          <cell r="A36" t="str">
            <v>DO-YELQ173-B7-21</v>
          </cell>
          <cell r="B36">
            <v>0</v>
          </cell>
          <cell r="C36">
            <v>0</v>
          </cell>
          <cell r="D36">
            <v>0</v>
          </cell>
          <cell r="E36">
            <v>108</v>
          </cell>
          <cell r="F36">
            <v>0</v>
          </cell>
          <cell r="G36">
            <v>0</v>
          </cell>
          <cell r="H36">
            <v>307</v>
          </cell>
          <cell r="I36">
            <v>0</v>
          </cell>
          <cell r="J36">
            <v>0</v>
          </cell>
          <cell r="K36">
            <v>136</v>
          </cell>
          <cell r="L36">
            <v>0</v>
          </cell>
          <cell r="M36">
            <v>0</v>
          </cell>
        </row>
        <row r="37">
          <cell r="A37" t="str">
            <v>DO-YELQ985-B7-20</v>
          </cell>
          <cell r="B37">
            <v>67128</v>
          </cell>
          <cell r="C37">
            <v>543</v>
          </cell>
          <cell r="D37">
            <v>27.99</v>
          </cell>
          <cell r="E37">
            <v>63716</v>
          </cell>
          <cell r="F37">
            <v>521</v>
          </cell>
          <cell r="G37">
            <v>26.31</v>
          </cell>
          <cell r="H37">
            <v>56636</v>
          </cell>
          <cell r="I37">
            <v>476</v>
          </cell>
          <cell r="J37">
            <v>23.66</v>
          </cell>
          <cell r="K37">
            <v>59890</v>
          </cell>
          <cell r="L37">
            <v>564</v>
          </cell>
          <cell r="M37">
            <v>26.87</v>
          </cell>
        </row>
        <row r="38">
          <cell r="A38" t="str">
            <v>DO-YELQ706-R0-24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2296</v>
          </cell>
          <cell r="I38">
            <v>11</v>
          </cell>
          <cell r="J38">
            <v>4.25</v>
          </cell>
          <cell r="K38">
            <v>34037</v>
          </cell>
          <cell r="L38">
            <v>118</v>
          </cell>
          <cell r="M38">
            <v>29.26</v>
          </cell>
        </row>
        <row r="39">
          <cell r="A39" t="str">
            <v>DO-YELQ170-SH-22</v>
          </cell>
          <cell r="B39">
            <v>0</v>
          </cell>
          <cell r="C39">
            <v>0</v>
          </cell>
          <cell r="D39">
            <v>0</v>
          </cell>
          <cell r="E39">
            <v>13234</v>
          </cell>
          <cell r="F39">
            <v>31</v>
          </cell>
          <cell r="G39">
            <v>10.32</v>
          </cell>
          <cell r="H39">
            <v>20510</v>
          </cell>
          <cell r="I39">
            <v>61</v>
          </cell>
          <cell r="J39">
            <v>17.18</v>
          </cell>
          <cell r="K39">
            <v>31286</v>
          </cell>
          <cell r="L39">
            <v>57</v>
          </cell>
          <cell r="M39">
            <v>13.22</v>
          </cell>
        </row>
        <row r="40">
          <cell r="A40" t="str">
            <v>DO-YELQ504-PI-22</v>
          </cell>
          <cell r="B40">
            <v>21333</v>
          </cell>
          <cell r="C40">
            <v>92</v>
          </cell>
          <cell r="D40">
            <v>28.11</v>
          </cell>
          <cell r="E40">
            <v>30116</v>
          </cell>
          <cell r="F40">
            <v>116</v>
          </cell>
          <cell r="G40">
            <v>35.28</v>
          </cell>
          <cell r="H40">
            <v>19806</v>
          </cell>
          <cell r="I40">
            <v>64</v>
          </cell>
          <cell r="J40">
            <v>19.21</v>
          </cell>
          <cell r="K40">
            <v>24714</v>
          </cell>
          <cell r="L40">
            <v>64</v>
          </cell>
          <cell r="M40">
            <v>13.6</v>
          </cell>
        </row>
        <row r="41">
          <cell r="A41" t="str">
            <v>DO-YELQ039-R0-22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2287</v>
          </cell>
          <cell r="I41">
            <v>5</v>
          </cell>
          <cell r="J41">
            <v>1.04</v>
          </cell>
          <cell r="K41">
            <v>14844</v>
          </cell>
          <cell r="L41">
            <v>48</v>
          </cell>
          <cell r="M41">
            <v>13.28</v>
          </cell>
        </row>
        <row r="42">
          <cell r="A42" t="str">
            <v>DO-YELQ707-PI-24</v>
          </cell>
          <cell r="B42">
            <v>305</v>
          </cell>
          <cell r="C42">
            <v>4</v>
          </cell>
          <cell r="D42">
            <v>1.87</v>
          </cell>
          <cell r="E42">
            <v>864</v>
          </cell>
          <cell r="F42">
            <v>9</v>
          </cell>
          <cell r="G42">
            <v>4.87</v>
          </cell>
          <cell r="H42">
            <v>952</v>
          </cell>
          <cell r="I42">
            <v>10</v>
          </cell>
          <cell r="J42">
            <v>3.6</v>
          </cell>
          <cell r="K42">
            <v>410</v>
          </cell>
          <cell r="L42">
            <v>2</v>
          </cell>
          <cell r="M42">
            <v>1.34</v>
          </cell>
        </row>
        <row r="43">
          <cell r="A43" t="str">
            <v>DO-YELQ708-W0-24</v>
          </cell>
          <cell r="B43">
            <v>8657</v>
          </cell>
          <cell r="C43">
            <v>66</v>
          </cell>
          <cell r="D43">
            <v>23.69</v>
          </cell>
          <cell r="E43">
            <v>765</v>
          </cell>
          <cell r="F43">
            <v>7</v>
          </cell>
          <cell r="G43">
            <v>2.61</v>
          </cell>
          <cell r="H43">
            <v>357</v>
          </cell>
          <cell r="I43">
            <v>1</v>
          </cell>
          <cell r="J43">
            <v>0.64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DO-YELQ539-PI-16</v>
          </cell>
          <cell r="B44">
            <v>978</v>
          </cell>
          <cell r="C44">
            <v>12</v>
          </cell>
          <cell r="D44">
            <v>1.2</v>
          </cell>
          <cell r="E44">
            <v>403</v>
          </cell>
          <cell r="F44">
            <v>9</v>
          </cell>
          <cell r="G44">
            <v>0.86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DO-YELQ001-PI-22</v>
          </cell>
          <cell r="B3">
            <v>72309</v>
          </cell>
          <cell r="C3">
            <v>241</v>
          </cell>
          <cell r="D3">
            <v>53.5</v>
          </cell>
          <cell r="E3">
            <v>90473</v>
          </cell>
          <cell r="F3">
            <v>303</v>
          </cell>
          <cell r="G3">
            <v>65.65</v>
          </cell>
          <cell r="H3">
            <v>87653</v>
          </cell>
          <cell r="I3">
            <v>268</v>
          </cell>
          <cell r="J3">
            <v>62.8</v>
          </cell>
          <cell r="K3">
            <v>49769</v>
          </cell>
          <cell r="L3">
            <v>198</v>
          </cell>
          <cell r="M3">
            <v>43.24</v>
          </cell>
        </row>
        <row r="4">
          <cell r="A4" t="str">
            <v>DO-YELQ100-B7-22</v>
          </cell>
          <cell r="B4">
            <v>13420</v>
          </cell>
          <cell r="C4">
            <v>81</v>
          </cell>
          <cell r="D4">
            <v>19.91</v>
          </cell>
          <cell r="E4">
            <v>11849</v>
          </cell>
          <cell r="F4">
            <v>52</v>
          </cell>
          <cell r="G4">
            <v>14.14</v>
          </cell>
          <cell r="H4">
            <v>9070</v>
          </cell>
          <cell r="I4">
            <v>52</v>
          </cell>
          <cell r="J4">
            <v>12.8</v>
          </cell>
          <cell r="K4">
            <v>7168</v>
          </cell>
          <cell r="L4">
            <v>29</v>
          </cell>
          <cell r="M4">
            <v>6.01</v>
          </cell>
        </row>
        <row r="5">
          <cell r="A5" t="str">
            <v>DO-YELQ161-B7-22</v>
          </cell>
          <cell r="B5">
            <v>21334</v>
          </cell>
          <cell r="C5">
            <v>164</v>
          </cell>
          <cell r="D5">
            <v>35.44</v>
          </cell>
          <cell r="E5">
            <v>13104</v>
          </cell>
          <cell r="F5">
            <v>117</v>
          </cell>
          <cell r="G5">
            <v>25.49</v>
          </cell>
          <cell r="H5">
            <v>33968</v>
          </cell>
          <cell r="I5">
            <v>193</v>
          </cell>
          <cell r="J5">
            <v>44.28</v>
          </cell>
          <cell r="K5">
            <v>26517</v>
          </cell>
          <cell r="L5">
            <v>176</v>
          </cell>
          <cell r="M5">
            <v>37.78</v>
          </cell>
        </row>
        <row r="6">
          <cell r="A6" t="str">
            <v>DO-YELQ161-PI-22</v>
          </cell>
          <cell r="B6">
            <v>26231</v>
          </cell>
          <cell r="C6">
            <v>103</v>
          </cell>
          <cell r="D6">
            <v>23.68</v>
          </cell>
          <cell r="E6">
            <v>26097</v>
          </cell>
          <cell r="F6">
            <v>151</v>
          </cell>
          <cell r="G6">
            <v>33.67</v>
          </cell>
          <cell r="H6">
            <v>13282</v>
          </cell>
          <cell r="I6">
            <v>70</v>
          </cell>
          <cell r="J6">
            <v>14.02</v>
          </cell>
          <cell r="K6">
            <v>10241</v>
          </cell>
          <cell r="L6">
            <v>53</v>
          </cell>
          <cell r="M6">
            <v>10.21</v>
          </cell>
        </row>
        <row r="7">
          <cell r="A7" t="str">
            <v>DO-YELQ163-R0-22</v>
          </cell>
          <cell r="B7">
            <v>207</v>
          </cell>
          <cell r="C7">
            <v>2</v>
          </cell>
          <cell r="D7">
            <v>0.07</v>
          </cell>
          <cell r="E7">
            <v>155</v>
          </cell>
          <cell r="F7">
            <v>2</v>
          </cell>
          <cell r="G7">
            <v>0.04</v>
          </cell>
          <cell r="H7">
            <v>1683</v>
          </cell>
          <cell r="I7">
            <v>19</v>
          </cell>
          <cell r="J7">
            <v>3.53</v>
          </cell>
          <cell r="K7">
            <v>24964</v>
          </cell>
          <cell r="L7">
            <v>271</v>
          </cell>
          <cell r="M7">
            <v>52.47</v>
          </cell>
        </row>
        <row r="8">
          <cell r="A8" t="str">
            <v>DO-YELQ601-PI-22</v>
          </cell>
          <cell r="B8">
            <v>421</v>
          </cell>
          <cell r="C8">
            <v>8</v>
          </cell>
          <cell r="D8">
            <v>1.18</v>
          </cell>
          <cell r="E8">
            <v>188</v>
          </cell>
          <cell r="F8">
            <v>2</v>
          </cell>
          <cell r="G8">
            <v>0.06</v>
          </cell>
          <cell r="H8">
            <v>1145</v>
          </cell>
          <cell r="I8">
            <v>6</v>
          </cell>
          <cell r="J8">
            <v>0.8</v>
          </cell>
          <cell r="K8">
            <v>17986</v>
          </cell>
          <cell r="L8">
            <v>181</v>
          </cell>
          <cell r="M8">
            <v>27.78</v>
          </cell>
        </row>
        <row r="9">
          <cell r="A9" t="str">
            <v>DO-YELQ602-PI-22</v>
          </cell>
          <cell r="B9">
            <v>1227</v>
          </cell>
          <cell r="C9">
            <v>13</v>
          </cell>
          <cell r="D9">
            <v>1.34</v>
          </cell>
          <cell r="E9">
            <v>617</v>
          </cell>
          <cell r="F9">
            <v>7</v>
          </cell>
          <cell r="G9">
            <v>0.75</v>
          </cell>
          <cell r="H9">
            <v>3526</v>
          </cell>
          <cell r="I9">
            <v>21</v>
          </cell>
          <cell r="J9">
            <v>2.59</v>
          </cell>
          <cell r="K9">
            <v>32914</v>
          </cell>
          <cell r="L9">
            <v>119</v>
          </cell>
          <cell r="M9">
            <v>23.45</v>
          </cell>
        </row>
        <row r="10">
          <cell r="A10" t="str">
            <v>DO-YELQ603-PI-22</v>
          </cell>
          <cell r="B10">
            <v>47496</v>
          </cell>
          <cell r="C10">
            <v>374</v>
          </cell>
          <cell r="D10">
            <v>84.55</v>
          </cell>
          <cell r="E10">
            <v>50034</v>
          </cell>
          <cell r="F10">
            <v>379</v>
          </cell>
          <cell r="G10">
            <v>87.22</v>
          </cell>
          <cell r="H10">
            <v>49943</v>
          </cell>
          <cell r="I10">
            <v>303</v>
          </cell>
          <cell r="J10">
            <v>66.17</v>
          </cell>
          <cell r="K10">
            <v>46564</v>
          </cell>
          <cell r="L10">
            <v>300</v>
          </cell>
          <cell r="M10">
            <v>55.07</v>
          </cell>
        </row>
        <row r="11">
          <cell r="A11" t="str">
            <v>DO-YELQ904-B7-22</v>
          </cell>
          <cell r="B11">
            <v>29880</v>
          </cell>
          <cell r="C11">
            <v>94</v>
          </cell>
          <cell r="D11">
            <v>22.44</v>
          </cell>
          <cell r="E11">
            <v>21346</v>
          </cell>
          <cell r="F11">
            <v>65</v>
          </cell>
          <cell r="G11">
            <v>15.48</v>
          </cell>
          <cell r="H11">
            <v>21040</v>
          </cell>
          <cell r="I11">
            <v>87</v>
          </cell>
          <cell r="J11">
            <v>17.75</v>
          </cell>
          <cell r="K11">
            <v>10462</v>
          </cell>
          <cell r="L11">
            <v>40</v>
          </cell>
          <cell r="M11">
            <v>9.56</v>
          </cell>
        </row>
        <row r="12">
          <cell r="A12" t="str">
            <v>DO-YELQ004-B7-10</v>
          </cell>
          <cell r="B12">
            <v>9938</v>
          </cell>
          <cell r="C12">
            <v>105</v>
          </cell>
          <cell r="D12">
            <v>19.55</v>
          </cell>
          <cell r="E12">
            <v>20709</v>
          </cell>
          <cell r="F12">
            <v>116</v>
          </cell>
          <cell r="G12">
            <v>20.9</v>
          </cell>
          <cell r="H12">
            <v>12687</v>
          </cell>
          <cell r="I12">
            <v>80</v>
          </cell>
          <cell r="J12">
            <v>15.28</v>
          </cell>
          <cell r="K12">
            <v>8055</v>
          </cell>
          <cell r="L12">
            <v>76</v>
          </cell>
          <cell r="M12">
            <v>12.8</v>
          </cell>
        </row>
        <row r="13">
          <cell r="A13" t="str">
            <v>DO-YELQ705-0R-10</v>
          </cell>
          <cell r="B13">
            <v>9447</v>
          </cell>
          <cell r="C13">
            <v>47</v>
          </cell>
          <cell r="D13">
            <v>9.08</v>
          </cell>
          <cell r="E13">
            <v>9836</v>
          </cell>
          <cell r="F13">
            <v>56</v>
          </cell>
          <cell r="G13">
            <v>8.8</v>
          </cell>
          <cell r="H13">
            <v>10386</v>
          </cell>
          <cell r="I13">
            <v>53</v>
          </cell>
          <cell r="J13">
            <v>8.71</v>
          </cell>
          <cell r="K13">
            <v>7325</v>
          </cell>
          <cell r="L13">
            <v>38</v>
          </cell>
          <cell r="M13">
            <v>5.83</v>
          </cell>
        </row>
        <row r="14">
          <cell r="A14" t="str">
            <v>DO-YELQ705-GR-11</v>
          </cell>
          <cell r="B14">
            <v>578</v>
          </cell>
          <cell r="C14">
            <v>3</v>
          </cell>
          <cell r="D14">
            <v>0.5</v>
          </cell>
          <cell r="E14">
            <v>11152</v>
          </cell>
          <cell r="F14">
            <v>56</v>
          </cell>
          <cell r="G14">
            <v>10.4</v>
          </cell>
          <cell r="H14">
            <v>19965</v>
          </cell>
          <cell r="I14">
            <v>80</v>
          </cell>
          <cell r="J14">
            <v>12.66</v>
          </cell>
          <cell r="K14">
            <v>16375</v>
          </cell>
          <cell r="L14">
            <v>76</v>
          </cell>
          <cell r="M14">
            <v>13.13</v>
          </cell>
        </row>
        <row r="15">
          <cell r="A15" t="str">
            <v>DO-YELQ111-PI-22</v>
          </cell>
          <cell r="B15">
            <v>14745</v>
          </cell>
          <cell r="C15">
            <v>56</v>
          </cell>
          <cell r="D15">
            <v>12.18</v>
          </cell>
          <cell r="E15">
            <v>19277</v>
          </cell>
          <cell r="F15">
            <v>82</v>
          </cell>
          <cell r="G15">
            <v>18.39</v>
          </cell>
          <cell r="H15">
            <v>15108</v>
          </cell>
          <cell r="I15">
            <v>64</v>
          </cell>
          <cell r="J15">
            <v>14.95</v>
          </cell>
          <cell r="K15">
            <v>24073</v>
          </cell>
          <cell r="L15">
            <v>110</v>
          </cell>
          <cell r="M15">
            <v>25.07</v>
          </cell>
        </row>
        <row r="16">
          <cell r="A16" t="str">
            <v>DO-YELQ152-B7-22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846</v>
          </cell>
          <cell r="I16">
            <v>5</v>
          </cell>
          <cell r="J16">
            <v>1.02</v>
          </cell>
          <cell r="K16">
            <v>25383</v>
          </cell>
          <cell r="L16">
            <v>98</v>
          </cell>
          <cell r="M16">
            <v>21.04</v>
          </cell>
        </row>
        <row r="17">
          <cell r="A17" t="str">
            <v>YF-YELQ003-PI-XS</v>
          </cell>
          <cell r="B17">
            <v>3200</v>
          </cell>
          <cell r="C17">
            <v>6</v>
          </cell>
          <cell r="D17">
            <v>1.08</v>
          </cell>
          <cell r="E17">
            <v>10345</v>
          </cell>
          <cell r="F17">
            <v>20</v>
          </cell>
          <cell r="G17">
            <v>3.49</v>
          </cell>
          <cell r="H17">
            <v>10138</v>
          </cell>
          <cell r="I17">
            <v>17</v>
          </cell>
          <cell r="J17">
            <v>3.02</v>
          </cell>
          <cell r="K17">
            <v>10762</v>
          </cell>
          <cell r="L17">
            <v>16</v>
          </cell>
          <cell r="M17">
            <v>2.89</v>
          </cell>
        </row>
        <row r="18">
          <cell r="A18" t="str">
            <v>YF-YELQ003-R2-XS</v>
          </cell>
          <cell r="B18">
            <v>2223</v>
          </cell>
          <cell r="C18">
            <v>1</v>
          </cell>
          <cell r="D18">
            <v>0.21</v>
          </cell>
          <cell r="E18">
            <v>7897</v>
          </cell>
          <cell r="F18">
            <v>23</v>
          </cell>
          <cell r="G18">
            <v>4.36</v>
          </cell>
          <cell r="H18">
            <v>8889</v>
          </cell>
          <cell r="I18">
            <v>19</v>
          </cell>
          <cell r="J18">
            <v>4.11</v>
          </cell>
          <cell r="K18">
            <v>8049</v>
          </cell>
          <cell r="L18">
            <v>9</v>
          </cell>
          <cell r="M18">
            <v>2.71</v>
          </cell>
        </row>
        <row r="19">
          <cell r="A19" t="str">
            <v>DO-YELQ011-W0-22</v>
          </cell>
          <cell r="B19">
            <v>16377</v>
          </cell>
          <cell r="C19">
            <v>132</v>
          </cell>
          <cell r="D19">
            <v>26.9</v>
          </cell>
          <cell r="E19">
            <v>13837</v>
          </cell>
          <cell r="F19">
            <v>146</v>
          </cell>
          <cell r="G19">
            <v>29.03</v>
          </cell>
          <cell r="H19">
            <v>7155</v>
          </cell>
          <cell r="I19">
            <v>101</v>
          </cell>
          <cell r="J19">
            <v>21.79</v>
          </cell>
          <cell r="K19">
            <v>5772</v>
          </cell>
          <cell r="L19">
            <v>63</v>
          </cell>
          <cell r="M19">
            <v>12.61</v>
          </cell>
        </row>
        <row r="20">
          <cell r="A20" t="str">
            <v>DO-YELQ111-R2-22</v>
          </cell>
          <cell r="B20">
            <v>40853</v>
          </cell>
          <cell r="C20">
            <v>146</v>
          </cell>
          <cell r="D20">
            <v>31.63</v>
          </cell>
          <cell r="E20">
            <v>27492</v>
          </cell>
          <cell r="F20">
            <v>115</v>
          </cell>
          <cell r="G20">
            <v>25</v>
          </cell>
          <cell r="H20">
            <v>22553</v>
          </cell>
          <cell r="I20">
            <v>89</v>
          </cell>
          <cell r="J20">
            <v>17.69</v>
          </cell>
          <cell r="K20">
            <v>11977</v>
          </cell>
          <cell r="L20">
            <v>58</v>
          </cell>
          <cell r="M20">
            <v>11.49</v>
          </cell>
        </row>
        <row r="21">
          <cell r="A21" t="str">
            <v>DO-YELQ610-R2-22</v>
          </cell>
          <cell r="B21">
            <v>66000</v>
          </cell>
          <cell r="C21">
            <v>412</v>
          </cell>
          <cell r="D21">
            <v>98.92</v>
          </cell>
          <cell r="E21">
            <v>30155</v>
          </cell>
          <cell r="F21">
            <v>199</v>
          </cell>
          <cell r="G21">
            <v>47.22</v>
          </cell>
          <cell r="H21">
            <v>39191</v>
          </cell>
          <cell r="I21">
            <v>231</v>
          </cell>
          <cell r="J21">
            <v>56.62</v>
          </cell>
          <cell r="K21">
            <v>43943</v>
          </cell>
          <cell r="L21">
            <v>251</v>
          </cell>
          <cell r="M21">
            <v>51.99</v>
          </cell>
        </row>
        <row r="22">
          <cell r="A22" t="str">
            <v>DO-YELQ611-TW-22</v>
          </cell>
          <cell r="B22">
            <v>10132</v>
          </cell>
          <cell r="C22">
            <v>67</v>
          </cell>
          <cell r="D22">
            <v>14.19</v>
          </cell>
          <cell r="E22">
            <v>9565</v>
          </cell>
          <cell r="F22">
            <v>51</v>
          </cell>
          <cell r="G22">
            <v>11.64</v>
          </cell>
          <cell r="H22">
            <v>31007</v>
          </cell>
          <cell r="I22">
            <v>115</v>
          </cell>
          <cell r="J22">
            <v>28.46</v>
          </cell>
          <cell r="K22">
            <v>35173</v>
          </cell>
          <cell r="L22">
            <v>156</v>
          </cell>
          <cell r="M22">
            <v>35.2</v>
          </cell>
        </row>
        <row r="23">
          <cell r="A23" t="str">
            <v>DO-YELQ638-LGR-20</v>
          </cell>
          <cell r="B23">
            <v>9367</v>
          </cell>
          <cell r="C23">
            <v>50</v>
          </cell>
          <cell r="D23">
            <v>11.06</v>
          </cell>
          <cell r="E23">
            <v>21849</v>
          </cell>
          <cell r="F23">
            <v>110</v>
          </cell>
          <cell r="G23">
            <v>27.23</v>
          </cell>
          <cell r="H23">
            <v>17645</v>
          </cell>
          <cell r="I23">
            <v>85</v>
          </cell>
          <cell r="J23">
            <v>21.43</v>
          </cell>
          <cell r="K23">
            <v>9295</v>
          </cell>
          <cell r="L23">
            <v>50</v>
          </cell>
          <cell r="M23">
            <v>11.37</v>
          </cell>
        </row>
        <row r="24">
          <cell r="A24" t="str">
            <v>DO-YELQ603-NZ-22</v>
          </cell>
          <cell r="B24">
            <v>48651</v>
          </cell>
          <cell r="C24">
            <v>111</v>
          </cell>
          <cell r="D24">
            <v>25.68</v>
          </cell>
          <cell r="E24">
            <v>39590</v>
          </cell>
          <cell r="F24">
            <v>86</v>
          </cell>
          <cell r="G24">
            <v>20</v>
          </cell>
          <cell r="H24">
            <v>23626</v>
          </cell>
          <cell r="I24">
            <v>58</v>
          </cell>
          <cell r="J24">
            <v>13.43</v>
          </cell>
          <cell r="K24">
            <v>14455</v>
          </cell>
          <cell r="L24">
            <v>30</v>
          </cell>
          <cell r="M24">
            <v>6.18</v>
          </cell>
        </row>
        <row r="25">
          <cell r="A25" t="str">
            <v>DO-YELQ011-PI-22</v>
          </cell>
          <cell r="B25">
            <v>341</v>
          </cell>
          <cell r="C25">
            <v>2</v>
          </cell>
          <cell r="D25">
            <v>0.3</v>
          </cell>
          <cell r="E25">
            <v>139</v>
          </cell>
          <cell r="F25">
            <v>0</v>
          </cell>
          <cell r="G25">
            <v>0</v>
          </cell>
          <cell r="H25">
            <v>1499</v>
          </cell>
          <cell r="I25">
            <v>5</v>
          </cell>
          <cell r="J25">
            <v>1.76</v>
          </cell>
          <cell r="K25">
            <v>17923</v>
          </cell>
          <cell r="L25">
            <v>83</v>
          </cell>
          <cell r="M25">
            <v>19.61</v>
          </cell>
        </row>
        <row r="26">
          <cell r="A26" t="str">
            <v>DO-YELQ018-B0-18</v>
          </cell>
          <cell r="B26">
            <v>325</v>
          </cell>
          <cell r="C26">
            <v>8</v>
          </cell>
          <cell r="D26">
            <v>0.3</v>
          </cell>
          <cell r="E26">
            <v>250</v>
          </cell>
          <cell r="F26">
            <v>8</v>
          </cell>
          <cell r="G26">
            <v>0.51</v>
          </cell>
          <cell r="H26">
            <v>198</v>
          </cell>
          <cell r="I26">
            <v>6</v>
          </cell>
          <cell r="J26">
            <v>0.36</v>
          </cell>
          <cell r="K26">
            <v>225</v>
          </cell>
          <cell r="L26">
            <v>6</v>
          </cell>
          <cell r="M26">
            <v>0.3</v>
          </cell>
        </row>
        <row r="27">
          <cell r="A27" t="str">
            <v>DO-YELQ073-LGR-22</v>
          </cell>
          <cell r="B27">
            <v>12</v>
          </cell>
          <cell r="C27">
            <v>0</v>
          </cell>
          <cell r="D27">
            <v>0</v>
          </cell>
          <cell r="E27">
            <v>6</v>
          </cell>
          <cell r="F27">
            <v>0</v>
          </cell>
          <cell r="G27">
            <v>0</v>
          </cell>
          <cell r="H27">
            <v>8</v>
          </cell>
          <cell r="I27">
            <v>0</v>
          </cell>
          <cell r="J27">
            <v>0</v>
          </cell>
          <cell r="K27">
            <v>7</v>
          </cell>
          <cell r="L27">
            <v>0</v>
          </cell>
          <cell r="M27">
            <v>0</v>
          </cell>
        </row>
        <row r="28">
          <cell r="A28" t="str">
            <v>DO-YELQ812-W0-18</v>
          </cell>
          <cell r="B28">
            <v>466</v>
          </cell>
          <cell r="C28">
            <v>8</v>
          </cell>
          <cell r="D28">
            <v>0.38</v>
          </cell>
          <cell r="E28">
            <v>300</v>
          </cell>
          <cell r="F28">
            <v>10</v>
          </cell>
          <cell r="G28">
            <v>0.62</v>
          </cell>
          <cell r="H28">
            <v>263</v>
          </cell>
          <cell r="I28">
            <v>8</v>
          </cell>
          <cell r="J28">
            <v>0.47</v>
          </cell>
          <cell r="K28">
            <v>229</v>
          </cell>
          <cell r="L28">
            <v>5</v>
          </cell>
          <cell r="M28">
            <v>0.33</v>
          </cell>
        </row>
        <row r="29">
          <cell r="A29" t="str">
            <v>DO-YELQ985-B7-20</v>
          </cell>
          <cell r="B29">
            <v>556</v>
          </cell>
          <cell r="C29">
            <v>14</v>
          </cell>
          <cell r="D29">
            <v>0.8</v>
          </cell>
          <cell r="E29">
            <v>257</v>
          </cell>
          <cell r="F29">
            <v>9</v>
          </cell>
          <cell r="G29">
            <v>0.54</v>
          </cell>
          <cell r="H29">
            <v>251</v>
          </cell>
          <cell r="I29">
            <v>10</v>
          </cell>
          <cell r="J29">
            <v>0.58</v>
          </cell>
          <cell r="K29">
            <v>398</v>
          </cell>
          <cell r="L29">
            <v>8</v>
          </cell>
          <cell r="M29">
            <v>0.38</v>
          </cell>
        </row>
        <row r="30">
          <cell r="A30" t="str">
            <v>DO-YELQ018-P4-16</v>
          </cell>
          <cell r="B30">
            <v>457</v>
          </cell>
          <cell r="C30">
            <v>2</v>
          </cell>
          <cell r="D30">
            <v>0.29</v>
          </cell>
          <cell r="E30">
            <v>190</v>
          </cell>
          <cell r="F30">
            <v>2</v>
          </cell>
          <cell r="G30">
            <v>0.45</v>
          </cell>
          <cell r="H30">
            <v>139</v>
          </cell>
          <cell r="I30">
            <v>1</v>
          </cell>
          <cell r="J30">
            <v>0.12</v>
          </cell>
          <cell r="K30">
            <v>176</v>
          </cell>
          <cell r="L30">
            <v>4</v>
          </cell>
          <cell r="M30">
            <v>0.77</v>
          </cell>
        </row>
        <row r="31">
          <cell r="A31" t="str">
            <v>DO-YELQ123-W0-22</v>
          </cell>
          <cell r="B31">
            <v>1010</v>
          </cell>
          <cell r="C31">
            <v>7</v>
          </cell>
          <cell r="D31">
            <v>1.09</v>
          </cell>
          <cell r="E31">
            <v>541</v>
          </cell>
          <cell r="F31">
            <v>5</v>
          </cell>
          <cell r="G31">
            <v>0.9</v>
          </cell>
          <cell r="H31">
            <v>282</v>
          </cell>
          <cell r="I31">
            <v>4</v>
          </cell>
          <cell r="J31">
            <v>0.3</v>
          </cell>
          <cell r="K31">
            <v>571</v>
          </cell>
          <cell r="L31">
            <v>6</v>
          </cell>
          <cell r="M31">
            <v>1.48</v>
          </cell>
        </row>
        <row r="32">
          <cell r="A32" t="str">
            <v>DO-YELQ638-PI-20</v>
          </cell>
          <cell r="B32">
            <v>906</v>
          </cell>
          <cell r="C32">
            <v>10</v>
          </cell>
          <cell r="D32">
            <v>1.02</v>
          </cell>
          <cell r="E32">
            <v>768</v>
          </cell>
          <cell r="F32">
            <v>2</v>
          </cell>
          <cell r="G32">
            <v>0.57</v>
          </cell>
          <cell r="H32">
            <v>673</v>
          </cell>
          <cell r="I32">
            <v>6</v>
          </cell>
          <cell r="J32">
            <v>0.76</v>
          </cell>
          <cell r="K32">
            <v>350</v>
          </cell>
          <cell r="L32">
            <v>4</v>
          </cell>
          <cell r="M32">
            <v>1.07</v>
          </cell>
        </row>
        <row r="33">
          <cell r="A33" t="str">
            <v>DO-YELQ663-PI-15</v>
          </cell>
          <cell r="B33">
            <v>2357</v>
          </cell>
          <cell r="C33">
            <v>3</v>
          </cell>
          <cell r="D33">
            <v>0.65</v>
          </cell>
          <cell r="E33">
            <v>1676</v>
          </cell>
          <cell r="F33">
            <v>4</v>
          </cell>
          <cell r="G33">
            <v>0.63</v>
          </cell>
          <cell r="H33">
            <v>895</v>
          </cell>
          <cell r="I33">
            <v>4</v>
          </cell>
          <cell r="J33">
            <v>0.58</v>
          </cell>
          <cell r="K33">
            <v>864</v>
          </cell>
          <cell r="L33">
            <v>3</v>
          </cell>
          <cell r="M33">
            <v>1.1</v>
          </cell>
        </row>
        <row r="34">
          <cell r="A34" t="str">
            <v>DO-YELQ203-P4-22</v>
          </cell>
          <cell r="B34">
            <v>20069</v>
          </cell>
          <cell r="C34">
            <v>131</v>
          </cell>
          <cell r="D34">
            <v>27.74</v>
          </cell>
          <cell r="E34">
            <v>23266</v>
          </cell>
          <cell r="F34">
            <v>125</v>
          </cell>
          <cell r="G34">
            <v>31.1</v>
          </cell>
          <cell r="H34">
            <v>21982</v>
          </cell>
          <cell r="I34">
            <v>124</v>
          </cell>
          <cell r="J34">
            <v>33.84</v>
          </cell>
          <cell r="K34">
            <v>4767</v>
          </cell>
          <cell r="L34">
            <v>24</v>
          </cell>
          <cell r="M34">
            <v>6.23</v>
          </cell>
        </row>
        <row r="35">
          <cell r="A35" t="str">
            <v>DO-YELQ701-PI-22</v>
          </cell>
          <cell r="B35">
            <v>18212</v>
          </cell>
          <cell r="C35">
            <v>94</v>
          </cell>
          <cell r="D35">
            <v>20.65</v>
          </cell>
          <cell r="E35">
            <v>18187</v>
          </cell>
          <cell r="F35">
            <v>127</v>
          </cell>
          <cell r="G35">
            <v>28.86</v>
          </cell>
          <cell r="H35">
            <v>16294</v>
          </cell>
          <cell r="I35">
            <v>102</v>
          </cell>
          <cell r="J35">
            <v>22.34</v>
          </cell>
          <cell r="K35">
            <v>10918</v>
          </cell>
          <cell r="L35">
            <v>99</v>
          </cell>
          <cell r="M35">
            <v>17.8</v>
          </cell>
        </row>
        <row r="36">
          <cell r="A36" t="str">
            <v>DO-YELQ230-PI-16</v>
          </cell>
          <cell r="B36">
            <v>1624</v>
          </cell>
          <cell r="C36">
            <v>11</v>
          </cell>
          <cell r="D36">
            <v>2.12</v>
          </cell>
          <cell r="E36">
            <v>2084</v>
          </cell>
          <cell r="F36">
            <v>7</v>
          </cell>
          <cell r="G36">
            <v>0.94</v>
          </cell>
          <cell r="H36">
            <v>1077</v>
          </cell>
          <cell r="I36">
            <v>9</v>
          </cell>
          <cell r="J36">
            <v>3.11</v>
          </cell>
          <cell r="K36">
            <v>1025</v>
          </cell>
          <cell r="L36">
            <v>4</v>
          </cell>
          <cell r="M36">
            <v>1.23</v>
          </cell>
        </row>
        <row r="37">
          <cell r="A37" t="str">
            <v>DO-YELQ173-B7-21</v>
          </cell>
          <cell r="B37">
            <v>0</v>
          </cell>
          <cell r="C37">
            <v>0</v>
          </cell>
          <cell r="D37">
            <v>0</v>
          </cell>
          <cell r="E37">
            <v>6786</v>
          </cell>
          <cell r="F37">
            <v>50</v>
          </cell>
          <cell r="G37">
            <v>12.78</v>
          </cell>
          <cell r="H37">
            <v>13857</v>
          </cell>
          <cell r="I37">
            <v>134</v>
          </cell>
          <cell r="J37">
            <v>32.61</v>
          </cell>
          <cell r="K37">
            <v>2855</v>
          </cell>
          <cell r="L37">
            <v>40</v>
          </cell>
          <cell r="M37">
            <v>8.42</v>
          </cell>
        </row>
        <row r="38">
          <cell r="A38" t="str">
            <v>DO-YELQ150-PI-20</v>
          </cell>
          <cell r="B38">
            <v>848</v>
          </cell>
          <cell r="C38">
            <v>8</v>
          </cell>
          <cell r="D38">
            <v>1.15</v>
          </cell>
          <cell r="E38">
            <v>621</v>
          </cell>
          <cell r="F38">
            <v>4</v>
          </cell>
          <cell r="G38">
            <v>0.68</v>
          </cell>
          <cell r="H38">
            <v>1182</v>
          </cell>
          <cell r="I38">
            <v>8</v>
          </cell>
          <cell r="J38">
            <v>1.38</v>
          </cell>
          <cell r="K38">
            <v>13378</v>
          </cell>
          <cell r="L38">
            <v>130</v>
          </cell>
          <cell r="M38">
            <v>25.27</v>
          </cell>
        </row>
        <row r="39">
          <cell r="A39" t="str">
            <v>DO-YELQ012-PI-22</v>
          </cell>
          <cell r="B39">
            <v>12285</v>
          </cell>
          <cell r="C39">
            <v>67</v>
          </cell>
          <cell r="D39">
            <v>14.18</v>
          </cell>
          <cell r="E39">
            <v>10944</v>
          </cell>
          <cell r="F39">
            <v>54</v>
          </cell>
          <cell r="G39">
            <v>12.93</v>
          </cell>
          <cell r="H39">
            <v>9659</v>
          </cell>
          <cell r="I39">
            <v>63</v>
          </cell>
          <cell r="J39">
            <v>14.74</v>
          </cell>
          <cell r="K39">
            <v>3797</v>
          </cell>
          <cell r="L39">
            <v>41</v>
          </cell>
          <cell r="M39">
            <v>8.29</v>
          </cell>
        </row>
        <row r="40">
          <cell r="A40" t="str">
            <v>DO-YELQ070-PI-16</v>
          </cell>
          <cell r="B40">
            <v>1112</v>
          </cell>
          <cell r="C40">
            <v>7</v>
          </cell>
          <cell r="D40">
            <v>1.73</v>
          </cell>
          <cell r="E40">
            <v>1916</v>
          </cell>
          <cell r="F40">
            <v>12</v>
          </cell>
          <cell r="G40">
            <v>1.68</v>
          </cell>
          <cell r="H40">
            <v>1024</v>
          </cell>
          <cell r="I40">
            <v>7</v>
          </cell>
          <cell r="J40">
            <v>1.86</v>
          </cell>
          <cell r="K40">
            <v>1195</v>
          </cell>
          <cell r="L40">
            <v>5</v>
          </cell>
          <cell r="M40">
            <v>2.03</v>
          </cell>
        </row>
        <row r="41">
          <cell r="A41" t="str">
            <v>DO-YELQ706-R0-24</v>
          </cell>
          <cell r="B41">
            <v>1701</v>
          </cell>
          <cell r="C41">
            <v>7</v>
          </cell>
          <cell r="D41">
            <v>1.32</v>
          </cell>
          <cell r="E41">
            <v>1051</v>
          </cell>
          <cell r="F41">
            <v>6</v>
          </cell>
          <cell r="G41">
            <v>1.02</v>
          </cell>
          <cell r="H41">
            <v>1233</v>
          </cell>
          <cell r="I41">
            <v>8</v>
          </cell>
          <cell r="J41">
            <v>1.3</v>
          </cell>
          <cell r="K41">
            <v>826</v>
          </cell>
          <cell r="L41">
            <v>5</v>
          </cell>
          <cell r="M41">
            <v>0.99</v>
          </cell>
        </row>
        <row r="42">
          <cell r="A42" t="str">
            <v>DO-YELQ039-R0-22</v>
          </cell>
          <cell r="B42">
            <v>1352</v>
          </cell>
          <cell r="C42">
            <v>11</v>
          </cell>
          <cell r="D42">
            <v>2.88</v>
          </cell>
          <cell r="E42">
            <v>895</v>
          </cell>
          <cell r="F42">
            <v>7</v>
          </cell>
          <cell r="G42">
            <v>1.96</v>
          </cell>
          <cell r="H42">
            <v>383</v>
          </cell>
          <cell r="I42">
            <v>2</v>
          </cell>
          <cell r="J42">
            <v>0.5</v>
          </cell>
          <cell r="K42">
            <v>603</v>
          </cell>
          <cell r="L42">
            <v>4</v>
          </cell>
          <cell r="M42">
            <v>0.91</v>
          </cell>
        </row>
        <row r="43">
          <cell r="A43" t="str">
            <v>DO-YELQ504-PI-22</v>
          </cell>
          <cell r="B43">
            <v>1946</v>
          </cell>
          <cell r="C43">
            <v>6</v>
          </cell>
          <cell r="D43">
            <v>1.04</v>
          </cell>
          <cell r="E43">
            <v>1532</v>
          </cell>
          <cell r="F43">
            <v>10</v>
          </cell>
          <cell r="G43">
            <v>1.16</v>
          </cell>
          <cell r="H43">
            <v>1130</v>
          </cell>
          <cell r="I43">
            <v>2</v>
          </cell>
          <cell r="J43">
            <v>0.33</v>
          </cell>
          <cell r="K43">
            <v>480</v>
          </cell>
          <cell r="L43">
            <v>2</v>
          </cell>
          <cell r="M43">
            <v>0.64</v>
          </cell>
        </row>
        <row r="44">
          <cell r="A44" t="str">
            <v>DO-YELQ170-SH-22</v>
          </cell>
          <cell r="B44">
            <v>716</v>
          </cell>
          <cell r="C44">
            <v>9</v>
          </cell>
          <cell r="D44">
            <v>1.44</v>
          </cell>
          <cell r="E44">
            <v>606</v>
          </cell>
          <cell r="F44">
            <v>4</v>
          </cell>
          <cell r="G44">
            <v>0.67</v>
          </cell>
          <cell r="H44">
            <v>507</v>
          </cell>
          <cell r="I44">
            <v>6</v>
          </cell>
          <cell r="J44">
            <v>1.4</v>
          </cell>
          <cell r="K44">
            <v>273</v>
          </cell>
          <cell r="L44">
            <v>4</v>
          </cell>
          <cell r="M44">
            <v>1.36</v>
          </cell>
        </row>
        <row r="45">
          <cell r="A45" t="str">
            <v>DO-YELQ707-PI-24</v>
          </cell>
          <cell r="B45">
            <v>788</v>
          </cell>
          <cell r="C45">
            <v>4</v>
          </cell>
          <cell r="D45">
            <v>1.19</v>
          </cell>
          <cell r="E45">
            <v>1749</v>
          </cell>
          <cell r="F45">
            <v>12</v>
          </cell>
          <cell r="G45">
            <v>2.08</v>
          </cell>
          <cell r="H45">
            <v>2275</v>
          </cell>
          <cell r="I45">
            <v>6</v>
          </cell>
          <cell r="J45">
            <v>0.74</v>
          </cell>
          <cell r="K45">
            <v>1148</v>
          </cell>
          <cell r="L45">
            <v>5</v>
          </cell>
          <cell r="M45">
            <v>0.92</v>
          </cell>
        </row>
        <row r="46">
          <cell r="A46" t="str">
            <v>DO-YELQ705-BR-10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DO-YELQ708-W0-24</v>
          </cell>
          <cell r="B47">
            <v>1407</v>
          </cell>
          <cell r="C47">
            <v>5</v>
          </cell>
          <cell r="D47">
            <v>1.5</v>
          </cell>
          <cell r="E47">
            <v>965</v>
          </cell>
          <cell r="F47">
            <v>7</v>
          </cell>
          <cell r="G47">
            <v>1.09</v>
          </cell>
          <cell r="H47">
            <v>368</v>
          </cell>
          <cell r="I47">
            <v>4</v>
          </cell>
          <cell r="J47">
            <v>0.26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DO-YELQ539-PI-16</v>
          </cell>
          <cell r="B48">
            <v>6071</v>
          </cell>
          <cell r="C48">
            <v>19</v>
          </cell>
          <cell r="D48">
            <v>3.4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DO-YELQ161-B7-22</v>
          </cell>
          <cell r="B3">
            <v>32653</v>
          </cell>
          <cell r="C3">
            <v>217</v>
          </cell>
          <cell r="D3">
            <v>25.01</v>
          </cell>
          <cell r="E3">
            <v>22935</v>
          </cell>
          <cell r="F3">
            <v>178</v>
          </cell>
          <cell r="G3">
            <v>24.7</v>
          </cell>
          <cell r="H3">
            <v>15046</v>
          </cell>
          <cell r="I3">
            <v>139</v>
          </cell>
          <cell r="J3">
            <v>18.61</v>
          </cell>
          <cell r="K3">
            <v>15859</v>
          </cell>
          <cell r="L3">
            <v>122</v>
          </cell>
          <cell r="M3">
            <v>16.57</v>
          </cell>
        </row>
        <row r="4">
          <cell r="A4" t="str">
            <v>DO-YELQ603-PI-22</v>
          </cell>
          <cell r="B4">
            <v>10434</v>
          </cell>
          <cell r="C4">
            <v>82</v>
          </cell>
          <cell r="D4">
            <v>12.28</v>
          </cell>
          <cell r="E4">
            <v>24896</v>
          </cell>
          <cell r="F4">
            <v>168</v>
          </cell>
          <cell r="G4">
            <v>24.54</v>
          </cell>
          <cell r="H4">
            <v>21328</v>
          </cell>
          <cell r="I4">
            <v>133</v>
          </cell>
          <cell r="J4">
            <v>20.13</v>
          </cell>
          <cell r="K4">
            <v>20371</v>
          </cell>
          <cell r="L4">
            <v>159</v>
          </cell>
          <cell r="M4">
            <v>23.33</v>
          </cell>
        </row>
        <row r="5">
          <cell r="A5" t="str">
            <v>DO-YELQ111-PI-22</v>
          </cell>
          <cell r="B5">
            <v>23884</v>
          </cell>
          <cell r="C5">
            <v>111</v>
          </cell>
          <cell r="D5">
            <v>19.06</v>
          </cell>
          <cell r="E5">
            <v>24022</v>
          </cell>
          <cell r="F5">
            <v>130</v>
          </cell>
          <cell r="G5">
            <v>20.44</v>
          </cell>
          <cell r="H5">
            <v>25330</v>
          </cell>
          <cell r="I5">
            <v>120</v>
          </cell>
          <cell r="J5">
            <v>17.93</v>
          </cell>
          <cell r="K5">
            <v>26473</v>
          </cell>
          <cell r="L5">
            <v>139</v>
          </cell>
          <cell r="M5">
            <v>25.18</v>
          </cell>
        </row>
        <row r="6">
          <cell r="A6" t="str">
            <v>YF-YELQ003-PI-XS</v>
          </cell>
          <cell r="B6">
            <v>17411</v>
          </cell>
          <cell r="C6">
            <v>84</v>
          </cell>
          <cell r="D6">
            <v>10.99</v>
          </cell>
          <cell r="E6">
            <v>21494</v>
          </cell>
          <cell r="F6">
            <v>87</v>
          </cell>
          <cell r="G6">
            <v>11.84</v>
          </cell>
          <cell r="H6">
            <v>17052</v>
          </cell>
          <cell r="I6">
            <v>43</v>
          </cell>
          <cell r="J6">
            <v>5.57</v>
          </cell>
          <cell r="K6">
            <v>17892</v>
          </cell>
          <cell r="L6">
            <v>79</v>
          </cell>
          <cell r="M6">
            <v>9.86</v>
          </cell>
        </row>
        <row r="7">
          <cell r="A7" t="str">
            <v>YF-YELQ003-R2-XS</v>
          </cell>
          <cell r="B7">
            <v>5043</v>
          </cell>
          <cell r="C7">
            <v>13</v>
          </cell>
          <cell r="D7">
            <v>1.74</v>
          </cell>
          <cell r="E7">
            <v>10920</v>
          </cell>
          <cell r="F7">
            <v>38</v>
          </cell>
          <cell r="G7">
            <v>6.07</v>
          </cell>
          <cell r="H7">
            <v>9445</v>
          </cell>
          <cell r="I7">
            <v>30</v>
          </cell>
          <cell r="J7">
            <v>3.53</v>
          </cell>
          <cell r="K7">
            <v>10527</v>
          </cell>
          <cell r="L7">
            <v>30</v>
          </cell>
          <cell r="M7">
            <v>4.77</v>
          </cell>
        </row>
        <row r="8">
          <cell r="A8" t="str">
            <v>DO-YELQ152-B7-22</v>
          </cell>
          <cell r="B8">
            <v>5743</v>
          </cell>
          <cell r="C8">
            <v>56</v>
          </cell>
          <cell r="D8">
            <v>10.78</v>
          </cell>
          <cell r="E8">
            <v>17327</v>
          </cell>
          <cell r="F8">
            <v>176</v>
          </cell>
          <cell r="G8">
            <v>29.37</v>
          </cell>
          <cell r="H8">
            <v>15151</v>
          </cell>
          <cell r="I8">
            <v>173</v>
          </cell>
          <cell r="J8">
            <v>31.3</v>
          </cell>
          <cell r="K8">
            <v>14684</v>
          </cell>
          <cell r="L8">
            <v>121</v>
          </cell>
          <cell r="M8">
            <v>22.22</v>
          </cell>
        </row>
        <row r="9">
          <cell r="A9" t="str">
            <v>DO-YELQ011-W0-22</v>
          </cell>
          <cell r="B9">
            <v>6107</v>
          </cell>
          <cell r="C9">
            <v>69</v>
          </cell>
          <cell r="D9">
            <v>8.81</v>
          </cell>
          <cell r="E9">
            <v>6210</v>
          </cell>
          <cell r="F9">
            <v>74</v>
          </cell>
          <cell r="G9">
            <v>8.75</v>
          </cell>
          <cell r="H9">
            <v>7247</v>
          </cell>
          <cell r="I9">
            <v>88</v>
          </cell>
          <cell r="J9">
            <v>10.44</v>
          </cell>
          <cell r="K9">
            <v>5794</v>
          </cell>
          <cell r="L9">
            <v>57</v>
          </cell>
          <cell r="M9">
            <v>6.88</v>
          </cell>
        </row>
        <row r="10">
          <cell r="A10" t="str">
            <v>DO-YELQ004-PI-10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1086</v>
          </cell>
          <cell r="I10">
            <v>30</v>
          </cell>
          <cell r="J10">
            <v>3.29</v>
          </cell>
          <cell r="K10">
            <v>13963</v>
          </cell>
          <cell r="L10">
            <v>190</v>
          </cell>
          <cell r="M10">
            <v>20.97</v>
          </cell>
        </row>
        <row r="11">
          <cell r="A11" t="str">
            <v>DO-YELQ705-0R-10</v>
          </cell>
          <cell r="B11">
            <v>2773</v>
          </cell>
          <cell r="C11">
            <v>19</v>
          </cell>
          <cell r="D11">
            <v>2.71</v>
          </cell>
          <cell r="E11">
            <v>9986</v>
          </cell>
          <cell r="F11">
            <v>81</v>
          </cell>
          <cell r="G11">
            <v>9.36</v>
          </cell>
          <cell r="H11">
            <v>7343</v>
          </cell>
          <cell r="I11">
            <v>89</v>
          </cell>
          <cell r="J11">
            <v>11.59</v>
          </cell>
          <cell r="K11">
            <v>6197</v>
          </cell>
          <cell r="L11">
            <v>78</v>
          </cell>
          <cell r="M11">
            <v>10.28</v>
          </cell>
        </row>
        <row r="12">
          <cell r="A12" t="str">
            <v>DO-YELQ705-GR-11</v>
          </cell>
          <cell r="B12">
            <v>275</v>
          </cell>
          <cell r="C12">
            <v>0</v>
          </cell>
          <cell r="D12">
            <v>0</v>
          </cell>
          <cell r="E12">
            <v>3957</v>
          </cell>
          <cell r="F12">
            <v>21</v>
          </cell>
          <cell r="G12">
            <v>2.15</v>
          </cell>
          <cell r="H12">
            <v>7079</v>
          </cell>
          <cell r="I12">
            <v>50</v>
          </cell>
          <cell r="J12">
            <v>5.34</v>
          </cell>
          <cell r="K12">
            <v>4284</v>
          </cell>
          <cell r="L12">
            <v>45</v>
          </cell>
          <cell r="M12">
            <v>5.03</v>
          </cell>
        </row>
        <row r="13">
          <cell r="A13" t="str">
            <v>DO-YELQ603-NZ-22</v>
          </cell>
          <cell r="B13">
            <v>51954</v>
          </cell>
          <cell r="C13">
            <v>174</v>
          </cell>
          <cell r="D13">
            <v>22.42</v>
          </cell>
          <cell r="E13">
            <v>42578</v>
          </cell>
          <cell r="F13">
            <v>200</v>
          </cell>
          <cell r="G13">
            <v>25.38</v>
          </cell>
          <cell r="H13">
            <v>34242</v>
          </cell>
          <cell r="I13">
            <v>156</v>
          </cell>
          <cell r="J13">
            <v>19.32</v>
          </cell>
          <cell r="K13">
            <v>35351</v>
          </cell>
          <cell r="L13">
            <v>127</v>
          </cell>
          <cell r="M13">
            <v>18.72</v>
          </cell>
        </row>
        <row r="14">
          <cell r="A14" t="str">
            <v>DO-YELQ011-PI-22</v>
          </cell>
          <cell r="B14">
            <v>19883</v>
          </cell>
          <cell r="C14">
            <v>130</v>
          </cell>
          <cell r="D14">
            <v>21.87</v>
          </cell>
          <cell r="E14">
            <v>51830</v>
          </cell>
          <cell r="F14">
            <v>361</v>
          </cell>
          <cell r="G14">
            <v>50.93</v>
          </cell>
          <cell r="H14">
            <v>49666</v>
          </cell>
          <cell r="I14">
            <v>351</v>
          </cell>
          <cell r="J14">
            <v>50.08</v>
          </cell>
          <cell r="K14">
            <v>60000</v>
          </cell>
          <cell r="L14">
            <v>345</v>
          </cell>
          <cell r="M14">
            <v>54.8</v>
          </cell>
        </row>
        <row r="15">
          <cell r="A15" t="str">
            <v>DO-YELQ123-W0-22</v>
          </cell>
          <cell r="B15">
            <v>29968</v>
          </cell>
          <cell r="C15">
            <v>96</v>
          </cell>
          <cell r="D15">
            <v>11.4</v>
          </cell>
          <cell r="E15">
            <v>30079</v>
          </cell>
          <cell r="F15">
            <v>103</v>
          </cell>
          <cell r="G15">
            <v>11.27</v>
          </cell>
          <cell r="H15">
            <v>24832</v>
          </cell>
          <cell r="I15">
            <v>97</v>
          </cell>
          <cell r="J15">
            <v>12.04</v>
          </cell>
          <cell r="K15">
            <v>31259</v>
          </cell>
          <cell r="L15">
            <v>73</v>
          </cell>
          <cell r="M15">
            <v>9.8</v>
          </cell>
        </row>
        <row r="16">
          <cell r="A16" t="str">
            <v>DO-YELQ018-P4-16</v>
          </cell>
          <cell r="B16">
            <v>45755</v>
          </cell>
          <cell r="C16">
            <v>371</v>
          </cell>
          <cell r="D16">
            <v>58.27</v>
          </cell>
          <cell r="E16">
            <v>38079</v>
          </cell>
          <cell r="F16">
            <v>319</v>
          </cell>
          <cell r="G16">
            <v>43.65</v>
          </cell>
          <cell r="H16">
            <v>22840</v>
          </cell>
          <cell r="I16">
            <v>205</v>
          </cell>
          <cell r="J16">
            <v>32.49</v>
          </cell>
          <cell r="K16">
            <v>31544</v>
          </cell>
          <cell r="L16">
            <v>295</v>
          </cell>
          <cell r="M16">
            <v>43.88</v>
          </cell>
        </row>
        <row r="17">
          <cell r="A17" t="str">
            <v>DO-YELQ001-PI-22</v>
          </cell>
          <cell r="B17">
            <v>30030</v>
          </cell>
          <cell r="C17">
            <v>330</v>
          </cell>
          <cell r="D17">
            <v>48.36</v>
          </cell>
          <cell r="E17">
            <v>845</v>
          </cell>
          <cell r="F17">
            <v>21</v>
          </cell>
          <cell r="G17">
            <v>1.25</v>
          </cell>
          <cell r="H17">
            <v>653</v>
          </cell>
          <cell r="I17">
            <v>24</v>
          </cell>
          <cell r="J17">
            <v>1.43</v>
          </cell>
          <cell r="K17">
            <v>434</v>
          </cell>
          <cell r="L17">
            <v>15</v>
          </cell>
          <cell r="M17">
            <v>0.72</v>
          </cell>
        </row>
        <row r="18">
          <cell r="A18" t="str">
            <v>DO-YELQ111-R2-22</v>
          </cell>
          <cell r="B18">
            <v>1281</v>
          </cell>
          <cell r="C18">
            <v>8</v>
          </cell>
          <cell r="D18">
            <v>0.37</v>
          </cell>
          <cell r="E18">
            <v>910</v>
          </cell>
          <cell r="F18">
            <v>7</v>
          </cell>
          <cell r="G18">
            <v>0.35</v>
          </cell>
          <cell r="H18">
            <v>472</v>
          </cell>
          <cell r="I18">
            <v>5</v>
          </cell>
          <cell r="J18">
            <v>0.31</v>
          </cell>
          <cell r="K18">
            <v>242</v>
          </cell>
          <cell r="L18">
            <v>2</v>
          </cell>
          <cell r="M18">
            <v>0.12</v>
          </cell>
        </row>
        <row r="19">
          <cell r="A19" t="str">
            <v>DO-YELQ161-PI-22</v>
          </cell>
          <cell r="B19">
            <v>219</v>
          </cell>
          <cell r="C19">
            <v>3</v>
          </cell>
          <cell r="D19">
            <v>0.2</v>
          </cell>
          <cell r="E19">
            <v>410</v>
          </cell>
          <cell r="F19">
            <v>2</v>
          </cell>
          <cell r="G19">
            <v>0.06</v>
          </cell>
          <cell r="H19">
            <v>148</v>
          </cell>
          <cell r="I19">
            <v>2</v>
          </cell>
          <cell r="J19">
            <v>0.09</v>
          </cell>
          <cell r="K19">
            <v>102</v>
          </cell>
          <cell r="L19">
            <v>0</v>
          </cell>
          <cell r="M19">
            <v>0</v>
          </cell>
        </row>
        <row r="20">
          <cell r="A20" t="str">
            <v>DO-YELQ601-PI-22</v>
          </cell>
          <cell r="B20">
            <v>24652</v>
          </cell>
          <cell r="C20">
            <v>269</v>
          </cell>
          <cell r="D20">
            <v>40.09</v>
          </cell>
          <cell r="E20">
            <v>711</v>
          </cell>
          <cell r="F20">
            <v>9</v>
          </cell>
          <cell r="G20">
            <v>0.66</v>
          </cell>
          <cell r="H20">
            <v>428</v>
          </cell>
          <cell r="I20">
            <v>4</v>
          </cell>
          <cell r="J20">
            <v>0.29</v>
          </cell>
          <cell r="K20">
            <v>373</v>
          </cell>
          <cell r="L20">
            <v>2</v>
          </cell>
          <cell r="M20">
            <v>0.1</v>
          </cell>
        </row>
        <row r="21">
          <cell r="A21" t="str">
            <v>DO-YELQ602-PI-22</v>
          </cell>
          <cell r="B21">
            <v>359</v>
          </cell>
          <cell r="C21">
            <v>4</v>
          </cell>
          <cell r="D21">
            <v>0.14</v>
          </cell>
          <cell r="E21">
            <v>209</v>
          </cell>
          <cell r="F21">
            <v>0</v>
          </cell>
          <cell r="G21">
            <v>0</v>
          </cell>
          <cell r="H21">
            <v>176</v>
          </cell>
          <cell r="I21">
            <v>3</v>
          </cell>
          <cell r="J21">
            <v>0.12</v>
          </cell>
          <cell r="K21">
            <v>88</v>
          </cell>
          <cell r="L21">
            <v>0</v>
          </cell>
          <cell r="M21">
            <v>0</v>
          </cell>
        </row>
        <row r="22">
          <cell r="A22" t="str">
            <v>DO-YELQ610-R2-22</v>
          </cell>
          <cell r="B22">
            <v>1900</v>
          </cell>
          <cell r="C22">
            <v>27</v>
          </cell>
          <cell r="D22">
            <v>1.57</v>
          </cell>
          <cell r="E22">
            <v>1106</v>
          </cell>
          <cell r="F22">
            <v>11</v>
          </cell>
          <cell r="G22">
            <v>0.56</v>
          </cell>
          <cell r="H22">
            <v>635</v>
          </cell>
          <cell r="I22">
            <v>16</v>
          </cell>
          <cell r="J22">
            <v>0.85</v>
          </cell>
          <cell r="K22">
            <v>474</v>
          </cell>
          <cell r="L22">
            <v>9</v>
          </cell>
          <cell r="M22">
            <v>0.55</v>
          </cell>
        </row>
        <row r="23">
          <cell r="A23" t="str">
            <v>DO-YELQ018-B0-18</v>
          </cell>
          <cell r="B23">
            <v>22798</v>
          </cell>
          <cell r="C23">
            <v>181</v>
          </cell>
          <cell r="D23">
            <v>11.44</v>
          </cell>
          <cell r="E23">
            <v>12865</v>
          </cell>
          <cell r="F23">
            <v>94</v>
          </cell>
          <cell r="G23">
            <v>5.28</v>
          </cell>
          <cell r="H23">
            <v>10846</v>
          </cell>
          <cell r="I23">
            <v>75</v>
          </cell>
          <cell r="J23">
            <v>4.66</v>
          </cell>
          <cell r="K23">
            <v>6057</v>
          </cell>
          <cell r="L23">
            <v>51</v>
          </cell>
          <cell r="M23">
            <v>3.42</v>
          </cell>
        </row>
        <row r="24">
          <cell r="A24" t="str">
            <v>DO-YELQ073-LGR-22</v>
          </cell>
          <cell r="B24">
            <v>4456</v>
          </cell>
          <cell r="C24">
            <v>33</v>
          </cell>
          <cell r="D24">
            <v>1.84</v>
          </cell>
          <cell r="E24">
            <v>3146</v>
          </cell>
          <cell r="F24">
            <v>19</v>
          </cell>
          <cell r="G24">
            <v>1.03</v>
          </cell>
          <cell r="H24">
            <v>4153</v>
          </cell>
          <cell r="I24">
            <v>22</v>
          </cell>
          <cell r="J24">
            <v>1.38</v>
          </cell>
          <cell r="K24">
            <v>1350</v>
          </cell>
          <cell r="L24">
            <v>6</v>
          </cell>
          <cell r="M24">
            <v>0.32</v>
          </cell>
        </row>
        <row r="25">
          <cell r="A25" t="str">
            <v>DO-YELQ100-B7-22</v>
          </cell>
          <cell r="B25">
            <v>5251</v>
          </cell>
          <cell r="C25">
            <v>77</v>
          </cell>
          <cell r="D25">
            <v>5.37</v>
          </cell>
          <cell r="E25">
            <v>3558</v>
          </cell>
          <cell r="F25">
            <v>49</v>
          </cell>
          <cell r="G25">
            <v>3.2</v>
          </cell>
          <cell r="H25">
            <v>3524</v>
          </cell>
          <cell r="I25">
            <v>51</v>
          </cell>
          <cell r="J25">
            <v>3.63</v>
          </cell>
          <cell r="K25">
            <v>3577</v>
          </cell>
          <cell r="L25">
            <v>38</v>
          </cell>
          <cell r="M25">
            <v>2.46</v>
          </cell>
        </row>
        <row r="26">
          <cell r="A26" t="str">
            <v>DO-YELQ163-R0-22</v>
          </cell>
          <cell r="B26">
            <v>56752</v>
          </cell>
          <cell r="C26">
            <v>399</v>
          </cell>
          <cell r="D26">
            <v>26.15</v>
          </cell>
          <cell r="E26">
            <v>25117</v>
          </cell>
          <cell r="F26">
            <v>212</v>
          </cell>
          <cell r="G26">
            <v>11.79</v>
          </cell>
          <cell r="H26">
            <v>25543</v>
          </cell>
          <cell r="I26">
            <v>174</v>
          </cell>
          <cell r="J26">
            <v>10</v>
          </cell>
          <cell r="K26">
            <v>14231</v>
          </cell>
          <cell r="L26">
            <v>118</v>
          </cell>
          <cell r="M26">
            <v>6.17</v>
          </cell>
        </row>
        <row r="27">
          <cell r="A27" t="str">
            <v>DO-YELQ638-LGR-20</v>
          </cell>
          <cell r="B27">
            <v>24995</v>
          </cell>
          <cell r="C27">
            <v>81</v>
          </cell>
          <cell r="D27">
            <v>4.4</v>
          </cell>
          <cell r="E27">
            <v>14734</v>
          </cell>
          <cell r="F27">
            <v>40</v>
          </cell>
          <cell r="G27">
            <v>2.65</v>
          </cell>
          <cell r="H27">
            <v>15703</v>
          </cell>
          <cell r="I27">
            <v>52</v>
          </cell>
          <cell r="J27">
            <v>2.97</v>
          </cell>
          <cell r="K27">
            <v>7475</v>
          </cell>
          <cell r="L27">
            <v>31</v>
          </cell>
          <cell r="M27">
            <v>1.65</v>
          </cell>
        </row>
        <row r="28">
          <cell r="A28" t="str">
            <v>DO-YELQ812-W0-18</v>
          </cell>
          <cell r="B28">
            <v>23918</v>
          </cell>
          <cell r="C28">
            <v>227</v>
          </cell>
          <cell r="D28">
            <v>13.74</v>
          </cell>
          <cell r="E28">
            <v>11891</v>
          </cell>
          <cell r="F28">
            <v>120</v>
          </cell>
          <cell r="G28">
            <v>6.52</v>
          </cell>
          <cell r="H28">
            <v>9032</v>
          </cell>
          <cell r="I28">
            <v>76</v>
          </cell>
          <cell r="J28">
            <v>4.34</v>
          </cell>
          <cell r="K28">
            <v>4625</v>
          </cell>
          <cell r="L28">
            <v>45</v>
          </cell>
          <cell r="M28">
            <v>2.34</v>
          </cell>
        </row>
        <row r="29">
          <cell r="A29" t="str">
            <v>DO-YELQ904-B7-22</v>
          </cell>
          <cell r="B29">
            <v>11483</v>
          </cell>
          <cell r="C29">
            <v>71</v>
          </cell>
          <cell r="D29">
            <v>5.07</v>
          </cell>
          <cell r="E29">
            <v>6535</v>
          </cell>
          <cell r="F29">
            <v>35</v>
          </cell>
          <cell r="G29">
            <v>2.76</v>
          </cell>
          <cell r="H29">
            <v>5877</v>
          </cell>
          <cell r="I29">
            <v>32</v>
          </cell>
          <cell r="J29">
            <v>2.37</v>
          </cell>
          <cell r="K29">
            <v>3094</v>
          </cell>
          <cell r="L29">
            <v>19</v>
          </cell>
          <cell r="M29">
            <v>1.57</v>
          </cell>
        </row>
        <row r="30">
          <cell r="A30" t="str">
            <v>DO-YELQ985-B7-20</v>
          </cell>
          <cell r="B30">
            <v>82700</v>
          </cell>
          <cell r="C30">
            <v>683</v>
          </cell>
          <cell r="D30">
            <v>41.9</v>
          </cell>
          <cell r="E30">
            <v>46098</v>
          </cell>
          <cell r="F30">
            <v>409</v>
          </cell>
          <cell r="G30">
            <v>23.93</v>
          </cell>
          <cell r="H30">
            <v>47112</v>
          </cell>
          <cell r="I30">
            <v>357</v>
          </cell>
          <cell r="J30">
            <v>20.92</v>
          </cell>
          <cell r="K30">
            <v>33065</v>
          </cell>
          <cell r="L30">
            <v>245</v>
          </cell>
          <cell r="M30">
            <v>14.09</v>
          </cell>
        </row>
        <row r="31">
          <cell r="A31" t="str">
            <v>DO-YELQ173-B7-21</v>
          </cell>
          <cell r="B31">
            <v>0</v>
          </cell>
          <cell r="C31">
            <v>0</v>
          </cell>
          <cell r="D31">
            <v>0</v>
          </cell>
          <cell r="E31">
            <v>19081</v>
          </cell>
          <cell r="F31">
            <v>130</v>
          </cell>
          <cell r="G31">
            <v>19.16</v>
          </cell>
          <cell r="H31">
            <v>42229</v>
          </cell>
          <cell r="I31">
            <v>394</v>
          </cell>
          <cell r="J31">
            <v>53.29</v>
          </cell>
          <cell r="K31">
            <v>7516</v>
          </cell>
          <cell r="L31">
            <v>122</v>
          </cell>
          <cell r="M31">
            <v>18</v>
          </cell>
        </row>
        <row r="32">
          <cell r="A32" t="str">
            <v>DO-YELQ070-PI-16</v>
          </cell>
          <cell r="B32">
            <v>24044</v>
          </cell>
          <cell r="C32">
            <v>98</v>
          </cell>
          <cell r="D32">
            <v>14.45</v>
          </cell>
          <cell r="E32">
            <v>27932</v>
          </cell>
          <cell r="F32">
            <v>110</v>
          </cell>
          <cell r="G32">
            <v>15.05</v>
          </cell>
          <cell r="H32">
            <v>18465</v>
          </cell>
          <cell r="I32">
            <v>150</v>
          </cell>
          <cell r="J32">
            <v>23.71</v>
          </cell>
          <cell r="K32">
            <v>21276</v>
          </cell>
          <cell r="L32">
            <v>137</v>
          </cell>
          <cell r="M32">
            <v>22.38</v>
          </cell>
        </row>
        <row r="33">
          <cell r="A33" t="str">
            <v>DO-YELQ101-B7-22</v>
          </cell>
          <cell r="B33">
            <v>3831</v>
          </cell>
          <cell r="C33">
            <v>41</v>
          </cell>
          <cell r="D33">
            <v>4.72</v>
          </cell>
          <cell r="E33">
            <v>2907</v>
          </cell>
          <cell r="F33">
            <v>32</v>
          </cell>
          <cell r="G33">
            <v>3.33</v>
          </cell>
          <cell r="H33">
            <v>2737</v>
          </cell>
          <cell r="I33">
            <v>26</v>
          </cell>
          <cell r="J33">
            <v>3.78</v>
          </cell>
          <cell r="K33">
            <v>3406</v>
          </cell>
          <cell r="L33">
            <v>27</v>
          </cell>
          <cell r="M33">
            <v>3.25</v>
          </cell>
        </row>
        <row r="34">
          <cell r="A34" t="str">
            <v>DO-YELQ062-PI-22</v>
          </cell>
          <cell r="B34">
            <v>1469</v>
          </cell>
          <cell r="C34">
            <v>9</v>
          </cell>
          <cell r="D34">
            <v>0.92</v>
          </cell>
          <cell r="E34">
            <v>1346</v>
          </cell>
          <cell r="F34">
            <v>10</v>
          </cell>
          <cell r="G34">
            <v>0.93</v>
          </cell>
          <cell r="H34">
            <v>1793</v>
          </cell>
          <cell r="I34">
            <v>16</v>
          </cell>
          <cell r="J34">
            <v>2.33</v>
          </cell>
          <cell r="K34">
            <v>1210</v>
          </cell>
          <cell r="L34">
            <v>10</v>
          </cell>
          <cell r="M34">
            <v>1.03</v>
          </cell>
        </row>
        <row r="35">
          <cell r="A35" t="str">
            <v>DO-YELQ663-PI-15</v>
          </cell>
          <cell r="B35">
            <v>847</v>
          </cell>
          <cell r="C35">
            <v>4</v>
          </cell>
          <cell r="D35">
            <v>0.72</v>
          </cell>
          <cell r="E35">
            <v>388</v>
          </cell>
          <cell r="F35">
            <v>1</v>
          </cell>
          <cell r="G35">
            <v>0.1</v>
          </cell>
          <cell r="H35">
            <v>876</v>
          </cell>
          <cell r="I35">
            <v>3</v>
          </cell>
          <cell r="J35">
            <v>0.52</v>
          </cell>
          <cell r="K35">
            <v>878</v>
          </cell>
          <cell r="L35">
            <v>6</v>
          </cell>
          <cell r="M35">
            <v>1.47</v>
          </cell>
        </row>
        <row r="36">
          <cell r="A36" t="str">
            <v>DO-YELQ230-PI-16</v>
          </cell>
          <cell r="B36">
            <v>722</v>
          </cell>
          <cell r="C36">
            <v>2</v>
          </cell>
          <cell r="D36">
            <v>0.18</v>
          </cell>
          <cell r="E36">
            <v>519</v>
          </cell>
          <cell r="F36">
            <v>4</v>
          </cell>
          <cell r="G36">
            <v>0.54</v>
          </cell>
          <cell r="H36">
            <v>646</v>
          </cell>
          <cell r="I36">
            <v>2</v>
          </cell>
          <cell r="J36">
            <v>0.25</v>
          </cell>
          <cell r="K36">
            <v>1296</v>
          </cell>
          <cell r="L36">
            <v>7</v>
          </cell>
          <cell r="M36">
            <v>1.22</v>
          </cell>
        </row>
        <row r="37">
          <cell r="A37" t="str">
            <v>DO-YELQ012-PI-22</v>
          </cell>
          <cell r="B37">
            <v>592</v>
          </cell>
          <cell r="C37">
            <v>3</v>
          </cell>
          <cell r="D37">
            <v>0.57</v>
          </cell>
          <cell r="E37">
            <v>574</v>
          </cell>
          <cell r="F37">
            <v>5</v>
          </cell>
          <cell r="G37">
            <v>0.7</v>
          </cell>
          <cell r="H37">
            <v>434</v>
          </cell>
          <cell r="I37">
            <v>3</v>
          </cell>
          <cell r="J37">
            <v>0.64</v>
          </cell>
          <cell r="K37">
            <v>442</v>
          </cell>
          <cell r="L37">
            <v>5</v>
          </cell>
          <cell r="M37">
            <v>0.75</v>
          </cell>
        </row>
        <row r="38">
          <cell r="A38" t="str">
            <v>DO-YELQ010-PI-22</v>
          </cell>
          <cell r="B38">
            <v>1135</v>
          </cell>
          <cell r="C38">
            <v>8</v>
          </cell>
          <cell r="D38">
            <v>0.9</v>
          </cell>
          <cell r="E38">
            <v>1008</v>
          </cell>
          <cell r="F38">
            <v>4</v>
          </cell>
          <cell r="G38">
            <v>0.65</v>
          </cell>
          <cell r="H38">
            <v>1464</v>
          </cell>
          <cell r="I38">
            <v>12</v>
          </cell>
          <cell r="J38">
            <v>1.38</v>
          </cell>
          <cell r="K38">
            <v>1006</v>
          </cell>
          <cell r="L38">
            <v>7</v>
          </cell>
          <cell r="M38">
            <v>0.86</v>
          </cell>
        </row>
        <row r="39">
          <cell r="A39" t="str">
            <v>DO-YELQ203-P4-22</v>
          </cell>
          <cell r="B39">
            <v>5012</v>
          </cell>
          <cell r="C39">
            <v>67</v>
          </cell>
          <cell r="D39">
            <v>3.88</v>
          </cell>
          <cell r="E39">
            <v>1964</v>
          </cell>
          <cell r="F39">
            <v>24</v>
          </cell>
          <cell r="G39">
            <v>1.42</v>
          </cell>
          <cell r="H39">
            <v>1710</v>
          </cell>
          <cell r="I39">
            <v>27</v>
          </cell>
          <cell r="J39">
            <v>1.4</v>
          </cell>
          <cell r="K39">
            <v>239</v>
          </cell>
          <cell r="L39">
            <v>5</v>
          </cell>
          <cell r="M39">
            <v>0.35</v>
          </cell>
        </row>
        <row r="40">
          <cell r="A40" t="str">
            <v>DO-YELQ701-PI-22</v>
          </cell>
          <cell r="B40">
            <v>816</v>
          </cell>
          <cell r="C40">
            <v>6</v>
          </cell>
          <cell r="D40">
            <v>0.33</v>
          </cell>
          <cell r="E40">
            <v>325</v>
          </cell>
          <cell r="F40">
            <v>8</v>
          </cell>
          <cell r="G40">
            <v>0.47</v>
          </cell>
          <cell r="H40">
            <v>252</v>
          </cell>
          <cell r="I40">
            <v>5</v>
          </cell>
          <cell r="J40">
            <v>0.17</v>
          </cell>
          <cell r="K40">
            <v>152</v>
          </cell>
          <cell r="L40">
            <v>1</v>
          </cell>
          <cell r="M40">
            <v>0.02</v>
          </cell>
        </row>
        <row r="41">
          <cell r="A41" t="str">
            <v>DO-YELQ611-TW-22</v>
          </cell>
          <cell r="B41">
            <v>24413</v>
          </cell>
          <cell r="C41">
            <v>297</v>
          </cell>
          <cell r="D41">
            <v>22.8</v>
          </cell>
          <cell r="E41">
            <v>9208</v>
          </cell>
          <cell r="F41">
            <v>139</v>
          </cell>
          <cell r="G41">
            <v>11.23</v>
          </cell>
          <cell r="H41">
            <v>9906</v>
          </cell>
          <cell r="I41">
            <v>91</v>
          </cell>
          <cell r="J41">
            <v>5.51</v>
          </cell>
          <cell r="K41">
            <v>5436</v>
          </cell>
          <cell r="L41">
            <v>74</v>
          </cell>
          <cell r="M41">
            <v>5.94</v>
          </cell>
        </row>
        <row r="42">
          <cell r="A42" t="str">
            <v>DO-YELQ706-R0-24</v>
          </cell>
          <cell r="B42">
            <v>978</v>
          </cell>
          <cell r="C42">
            <v>2</v>
          </cell>
          <cell r="D42">
            <v>0.28</v>
          </cell>
          <cell r="E42">
            <v>446</v>
          </cell>
          <cell r="F42">
            <v>7</v>
          </cell>
          <cell r="G42">
            <v>1.36</v>
          </cell>
          <cell r="H42">
            <v>1302</v>
          </cell>
          <cell r="I42">
            <v>3</v>
          </cell>
          <cell r="J42">
            <v>0.57</v>
          </cell>
          <cell r="K42">
            <v>685</v>
          </cell>
          <cell r="L42">
            <v>1</v>
          </cell>
          <cell r="M42">
            <v>0.17</v>
          </cell>
        </row>
        <row r="43">
          <cell r="A43" t="str">
            <v>DO-YELQ170-SH-22</v>
          </cell>
          <cell r="B43">
            <v>7605</v>
          </cell>
          <cell r="C43">
            <v>53</v>
          </cell>
          <cell r="D43">
            <v>8.03</v>
          </cell>
          <cell r="E43">
            <v>5520</v>
          </cell>
          <cell r="F43">
            <v>40</v>
          </cell>
          <cell r="G43">
            <v>5.83</v>
          </cell>
          <cell r="H43">
            <v>19268</v>
          </cell>
          <cell r="I43">
            <v>43</v>
          </cell>
          <cell r="J43">
            <v>5.46</v>
          </cell>
          <cell r="K43">
            <v>12142</v>
          </cell>
          <cell r="L43">
            <v>62</v>
          </cell>
          <cell r="M43">
            <v>9.64</v>
          </cell>
        </row>
        <row r="44">
          <cell r="A44" t="str">
            <v>DO-YELQ504-PI-22</v>
          </cell>
          <cell r="B44">
            <v>14263</v>
          </cell>
          <cell r="C44">
            <v>58</v>
          </cell>
          <cell r="D44">
            <v>7.83</v>
          </cell>
          <cell r="E44">
            <v>31911</v>
          </cell>
          <cell r="F44">
            <v>143</v>
          </cell>
          <cell r="G44">
            <v>22.06</v>
          </cell>
          <cell r="H44">
            <v>29501</v>
          </cell>
          <cell r="I44">
            <v>109</v>
          </cell>
          <cell r="J44">
            <v>16.41</v>
          </cell>
          <cell r="K44">
            <v>14500</v>
          </cell>
          <cell r="L44">
            <v>96</v>
          </cell>
          <cell r="M44">
            <v>13.64</v>
          </cell>
        </row>
        <row r="45">
          <cell r="A45" t="str">
            <v>DO-YELQ707-PI-24</v>
          </cell>
          <cell r="B45">
            <v>302</v>
          </cell>
          <cell r="C45">
            <v>6</v>
          </cell>
          <cell r="D45">
            <v>1.6</v>
          </cell>
          <cell r="E45">
            <v>806</v>
          </cell>
          <cell r="F45">
            <v>10</v>
          </cell>
          <cell r="G45">
            <v>1.69</v>
          </cell>
          <cell r="H45">
            <v>2147</v>
          </cell>
          <cell r="I45">
            <v>9</v>
          </cell>
          <cell r="J45">
            <v>1.84</v>
          </cell>
          <cell r="K45">
            <v>635</v>
          </cell>
          <cell r="L45">
            <v>1</v>
          </cell>
          <cell r="M45">
            <v>0.09</v>
          </cell>
        </row>
        <row r="46">
          <cell r="A46" t="str">
            <v>DO-YELQ039-R0-22</v>
          </cell>
          <cell r="B46">
            <v>6556</v>
          </cell>
          <cell r="C46">
            <v>57</v>
          </cell>
          <cell r="D46">
            <v>8.11</v>
          </cell>
          <cell r="E46">
            <v>6782</v>
          </cell>
          <cell r="F46">
            <v>86</v>
          </cell>
          <cell r="G46">
            <v>13.03</v>
          </cell>
          <cell r="H46">
            <v>5833</v>
          </cell>
          <cell r="I46">
            <v>10</v>
          </cell>
          <cell r="J46">
            <v>1.9</v>
          </cell>
          <cell r="K46">
            <v>7237</v>
          </cell>
          <cell r="L46">
            <v>49</v>
          </cell>
          <cell r="M46">
            <v>6.46</v>
          </cell>
        </row>
        <row r="47">
          <cell r="A47" t="str">
            <v>DO-YELQ708-W0-24</v>
          </cell>
          <cell r="B47">
            <v>1550</v>
          </cell>
          <cell r="C47">
            <v>5</v>
          </cell>
          <cell r="D47">
            <v>0.87</v>
          </cell>
          <cell r="E47">
            <v>572</v>
          </cell>
          <cell r="F47">
            <v>5</v>
          </cell>
          <cell r="G47">
            <v>0.67</v>
          </cell>
          <cell r="H47">
            <v>611</v>
          </cell>
          <cell r="I47">
            <v>3</v>
          </cell>
          <cell r="J47">
            <v>0.46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DO-YELQ638-PI-20</v>
          </cell>
          <cell r="B48">
            <v>17892</v>
          </cell>
          <cell r="C48">
            <v>122</v>
          </cell>
          <cell r="D48">
            <v>20.66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DO-YELQ539-PI-16</v>
          </cell>
          <cell r="B49">
            <v>712</v>
          </cell>
          <cell r="C49">
            <v>5</v>
          </cell>
          <cell r="D49">
            <v>0.75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DO-YELQ100-B7-22</v>
          </cell>
          <cell r="B3">
            <v>9754</v>
          </cell>
          <cell r="C3">
            <v>33</v>
          </cell>
          <cell r="D3">
            <v>4.81</v>
          </cell>
          <cell r="E3">
            <v>9123</v>
          </cell>
          <cell r="F3">
            <v>33</v>
          </cell>
          <cell r="G3">
            <v>4.09</v>
          </cell>
          <cell r="H3">
            <v>8205</v>
          </cell>
          <cell r="I3">
            <v>20</v>
          </cell>
          <cell r="J3">
            <v>2.65</v>
          </cell>
          <cell r="K3">
            <v>11634</v>
          </cell>
          <cell r="L3">
            <v>30</v>
          </cell>
          <cell r="M3">
            <v>4.66</v>
          </cell>
        </row>
        <row r="4">
          <cell r="A4" t="str">
            <v>DO-YELQ602-PI-22</v>
          </cell>
          <cell r="B4">
            <v>49671</v>
          </cell>
          <cell r="C4">
            <v>129</v>
          </cell>
          <cell r="D4">
            <v>16.39</v>
          </cell>
          <cell r="E4">
            <v>45433</v>
          </cell>
          <cell r="F4">
            <v>155</v>
          </cell>
          <cell r="G4">
            <v>22.08</v>
          </cell>
          <cell r="H4">
            <v>50044</v>
          </cell>
          <cell r="I4">
            <v>119</v>
          </cell>
          <cell r="J4">
            <v>16.96</v>
          </cell>
          <cell r="K4">
            <v>44441</v>
          </cell>
          <cell r="L4">
            <v>88</v>
          </cell>
          <cell r="M4">
            <v>12.81</v>
          </cell>
        </row>
        <row r="5">
          <cell r="A5" t="str">
            <v>DO-YELQ904-B7-22</v>
          </cell>
          <cell r="B5">
            <v>5720</v>
          </cell>
          <cell r="C5">
            <v>17</v>
          </cell>
          <cell r="D5">
            <v>2.81</v>
          </cell>
          <cell r="E5">
            <v>17272</v>
          </cell>
          <cell r="F5">
            <v>68</v>
          </cell>
          <cell r="G5">
            <v>11.06</v>
          </cell>
          <cell r="H5">
            <v>13000</v>
          </cell>
          <cell r="I5">
            <v>47</v>
          </cell>
          <cell r="J5">
            <v>7.27</v>
          </cell>
          <cell r="K5">
            <v>8586</v>
          </cell>
          <cell r="L5">
            <v>19</v>
          </cell>
          <cell r="M5">
            <v>3.07</v>
          </cell>
        </row>
        <row r="6">
          <cell r="A6" t="str">
            <v>DO-YELQ011-W0-22</v>
          </cell>
          <cell r="B6">
            <v>60330</v>
          </cell>
          <cell r="C6">
            <v>237</v>
          </cell>
          <cell r="D6">
            <v>30.75</v>
          </cell>
          <cell r="E6">
            <v>41207</v>
          </cell>
          <cell r="F6">
            <v>236</v>
          </cell>
          <cell r="G6">
            <v>34.05</v>
          </cell>
          <cell r="H6">
            <v>33000</v>
          </cell>
          <cell r="I6">
            <v>140</v>
          </cell>
          <cell r="J6">
            <v>20.17</v>
          </cell>
          <cell r="K6">
            <v>26426</v>
          </cell>
          <cell r="L6">
            <v>129</v>
          </cell>
          <cell r="M6">
            <v>16.99</v>
          </cell>
        </row>
        <row r="7">
          <cell r="A7" t="str">
            <v>YF-YELQ003-R2-XS</v>
          </cell>
          <cell r="B7">
            <v>1642</v>
          </cell>
          <cell r="C7">
            <v>6</v>
          </cell>
          <cell r="D7">
            <v>0.6</v>
          </cell>
          <cell r="E7">
            <v>1497</v>
          </cell>
          <cell r="F7">
            <v>7</v>
          </cell>
          <cell r="G7">
            <v>0.82</v>
          </cell>
          <cell r="H7">
            <v>1342</v>
          </cell>
          <cell r="I7">
            <v>3</v>
          </cell>
          <cell r="J7">
            <v>0.26</v>
          </cell>
          <cell r="K7">
            <v>1465</v>
          </cell>
          <cell r="L7">
            <v>3</v>
          </cell>
          <cell r="M7">
            <v>0.25</v>
          </cell>
        </row>
        <row r="8">
          <cell r="A8" t="str">
            <v>DO-YELQ603-NZ-22</v>
          </cell>
          <cell r="B8">
            <v>5645</v>
          </cell>
          <cell r="C8">
            <v>53</v>
          </cell>
          <cell r="D8">
            <v>7.75</v>
          </cell>
          <cell r="E8">
            <v>3506</v>
          </cell>
          <cell r="F8">
            <v>28</v>
          </cell>
          <cell r="G8">
            <v>3.89</v>
          </cell>
          <cell r="H8">
            <v>3367</v>
          </cell>
          <cell r="I8">
            <v>22</v>
          </cell>
          <cell r="J8">
            <v>2.79</v>
          </cell>
          <cell r="K8">
            <v>3465</v>
          </cell>
          <cell r="L8">
            <v>15</v>
          </cell>
          <cell r="M8">
            <v>2.06</v>
          </cell>
        </row>
        <row r="9">
          <cell r="A9" t="str">
            <v>DO-YELQ638-LGR-20</v>
          </cell>
          <cell r="B9">
            <v>6582</v>
          </cell>
          <cell r="C9">
            <v>23</v>
          </cell>
          <cell r="D9">
            <v>3.57</v>
          </cell>
          <cell r="E9">
            <v>5841</v>
          </cell>
          <cell r="F9">
            <v>20</v>
          </cell>
          <cell r="G9">
            <v>3.69</v>
          </cell>
          <cell r="H9">
            <v>4731</v>
          </cell>
          <cell r="I9">
            <v>10</v>
          </cell>
          <cell r="J9">
            <v>1.19</v>
          </cell>
          <cell r="K9">
            <v>6144</v>
          </cell>
          <cell r="L9">
            <v>7</v>
          </cell>
          <cell r="M9">
            <v>0.82</v>
          </cell>
        </row>
        <row r="10">
          <cell r="A10" t="str">
            <v>DO-YELQ018-P4-16</v>
          </cell>
          <cell r="B10">
            <v>907</v>
          </cell>
          <cell r="C10">
            <v>3</v>
          </cell>
          <cell r="D10">
            <v>0.41</v>
          </cell>
          <cell r="E10">
            <v>1305</v>
          </cell>
          <cell r="F10">
            <v>7</v>
          </cell>
          <cell r="G10">
            <v>1.36</v>
          </cell>
          <cell r="H10">
            <v>479</v>
          </cell>
          <cell r="I10">
            <v>4</v>
          </cell>
          <cell r="J10">
            <v>0.33</v>
          </cell>
          <cell r="K10">
            <v>1401</v>
          </cell>
          <cell r="L10">
            <v>10</v>
          </cell>
          <cell r="M10">
            <v>0.96</v>
          </cell>
        </row>
        <row r="11">
          <cell r="A11" t="str">
            <v>DO-YELQ610-R2-22</v>
          </cell>
          <cell r="B11">
            <v>5194</v>
          </cell>
          <cell r="C11">
            <v>49</v>
          </cell>
          <cell r="D11">
            <v>8.99</v>
          </cell>
          <cell r="E11">
            <v>2655</v>
          </cell>
          <cell r="F11">
            <v>32</v>
          </cell>
          <cell r="G11">
            <v>4.97</v>
          </cell>
          <cell r="H11">
            <v>4436</v>
          </cell>
          <cell r="I11">
            <v>19</v>
          </cell>
          <cell r="J11">
            <v>3.37</v>
          </cell>
          <cell r="K11">
            <v>4980</v>
          </cell>
          <cell r="L11">
            <v>27</v>
          </cell>
          <cell r="M11">
            <v>4.45</v>
          </cell>
        </row>
        <row r="12">
          <cell r="A12" t="str">
            <v>DO-YELQ018-B0-18</v>
          </cell>
          <cell r="B12">
            <v>11645</v>
          </cell>
          <cell r="C12">
            <v>82</v>
          </cell>
          <cell r="D12">
            <v>10.59</v>
          </cell>
          <cell r="E12">
            <v>6698</v>
          </cell>
          <cell r="F12">
            <v>68</v>
          </cell>
          <cell r="G12">
            <v>10.18</v>
          </cell>
          <cell r="H12">
            <v>5289</v>
          </cell>
          <cell r="I12">
            <v>30</v>
          </cell>
          <cell r="J12">
            <v>4.33</v>
          </cell>
          <cell r="K12">
            <v>10425</v>
          </cell>
          <cell r="L12">
            <v>47</v>
          </cell>
          <cell r="M12">
            <v>7.93</v>
          </cell>
        </row>
        <row r="13">
          <cell r="A13" t="str">
            <v>DO-YELQ812-W0-18</v>
          </cell>
          <cell r="B13">
            <v>11568</v>
          </cell>
          <cell r="C13">
            <v>135</v>
          </cell>
          <cell r="D13">
            <v>17.32</v>
          </cell>
          <cell r="E13">
            <v>8499</v>
          </cell>
          <cell r="F13">
            <v>137</v>
          </cell>
          <cell r="G13">
            <v>19.19</v>
          </cell>
          <cell r="H13">
            <v>5582</v>
          </cell>
          <cell r="I13">
            <v>69</v>
          </cell>
          <cell r="J13">
            <v>9.64</v>
          </cell>
          <cell r="K13">
            <v>6185</v>
          </cell>
          <cell r="L13">
            <v>29</v>
          </cell>
          <cell r="M13">
            <v>4.36</v>
          </cell>
        </row>
        <row r="14">
          <cell r="A14" t="str">
            <v>DO-YELQ073-LGR-22</v>
          </cell>
          <cell r="B14">
            <v>302</v>
          </cell>
          <cell r="C14">
            <v>2</v>
          </cell>
          <cell r="D14">
            <v>0.44</v>
          </cell>
          <cell r="E14">
            <v>285</v>
          </cell>
          <cell r="F14">
            <v>2</v>
          </cell>
          <cell r="G14">
            <v>0.19</v>
          </cell>
          <cell r="H14">
            <v>370</v>
          </cell>
          <cell r="I14">
            <v>1</v>
          </cell>
          <cell r="J14">
            <v>0.24</v>
          </cell>
          <cell r="K14">
            <v>304</v>
          </cell>
          <cell r="L14">
            <v>2</v>
          </cell>
          <cell r="M14">
            <v>0.38</v>
          </cell>
        </row>
        <row r="15">
          <cell r="A15" t="str">
            <v>DO-YELQ123-W0-22</v>
          </cell>
          <cell r="B15">
            <v>1999</v>
          </cell>
          <cell r="C15">
            <v>19</v>
          </cell>
          <cell r="D15">
            <v>2.22</v>
          </cell>
          <cell r="E15">
            <v>2266</v>
          </cell>
          <cell r="F15">
            <v>22</v>
          </cell>
          <cell r="G15">
            <v>2.8</v>
          </cell>
          <cell r="H15">
            <v>2087</v>
          </cell>
          <cell r="I15">
            <v>16</v>
          </cell>
          <cell r="J15">
            <v>2.25</v>
          </cell>
          <cell r="K15">
            <v>4747</v>
          </cell>
          <cell r="L15">
            <v>19</v>
          </cell>
          <cell r="M15">
            <v>2.87</v>
          </cell>
        </row>
        <row r="16">
          <cell r="A16" t="str">
            <v>DO-YELQ161-B7-22</v>
          </cell>
          <cell r="B16">
            <v>810</v>
          </cell>
          <cell r="C16">
            <v>10</v>
          </cell>
          <cell r="D16">
            <v>1.82</v>
          </cell>
          <cell r="E16">
            <v>1815</v>
          </cell>
          <cell r="F16">
            <v>7</v>
          </cell>
          <cell r="G16">
            <v>1.22</v>
          </cell>
          <cell r="H16">
            <v>1636</v>
          </cell>
          <cell r="I16">
            <v>8</v>
          </cell>
          <cell r="J16">
            <v>1.88</v>
          </cell>
          <cell r="K16">
            <v>1143</v>
          </cell>
          <cell r="L16">
            <v>3</v>
          </cell>
          <cell r="M16">
            <v>0.99</v>
          </cell>
        </row>
        <row r="17">
          <cell r="A17" t="str">
            <v>DO-YELQ011-PI-22</v>
          </cell>
          <cell r="B17">
            <v>417</v>
          </cell>
          <cell r="C17">
            <v>4</v>
          </cell>
          <cell r="D17">
            <v>0.79</v>
          </cell>
          <cell r="E17">
            <v>931</v>
          </cell>
          <cell r="F17">
            <v>4</v>
          </cell>
          <cell r="G17">
            <v>0.68</v>
          </cell>
          <cell r="H17">
            <v>608</v>
          </cell>
          <cell r="I17">
            <v>5</v>
          </cell>
          <cell r="J17">
            <v>0.87</v>
          </cell>
          <cell r="K17">
            <v>788</v>
          </cell>
          <cell r="L17">
            <v>2</v>
          </cell>
          <cell r="M17">
            <v>0.44</v>
          </cell>
        </row>
        <row r="18">
          <cell r="A18" t="str">
            <v>DO-YELQ111-PI-22</v>
          </cell>
          <cell r="B18">
            <v>458</v>
          </cell>
          <cell r="C18">
            <v>0</v>
          </cell>
          <cell r="D18">
            <v>0</v>
          </cell>
          <cell r="E18">
            <v>770</v>
          </cell>
          <cell r="F18">
            <v>3</v>
          </cell>
          <cell r="G18">
            <v>0.39</v>
          </cell>
          <cell r="H18">
            <v>590</v>
          </cell>
          <cell r="I18">
            <v>5</v>
          </cell>
          <cell r="J18">
            <v>0.69</v>
          </cell>
          <cell r="K18">
            <v>674</v>
          </cell>
          <cell r="L18">
            <v>0</v>
          </cell>
          <cell r="M18">
            <v>0</v>
          </cell>
        </row>
        <row r="19">
          <cell r="A19" t="str">
            <v>DO-YELQ161-PI-22</v>
          </cell>
          <cell r="B19">
            <v>1471</v>
          </cell>
          <cell r="C19">
            <v>8</v>
          </cell>
          <cell r="D19">
            <v>1.33</v>
          </cell>
          <cell r="E19">
            <v>3273</v>
          </cell>
          <cell r="F19">
            <v>13</v>
          </cell>
          <cell r="G19">
            <v>2.47</v>
          </cell>
          <cell r="H19">
            <v>1872</v>
          </cell>
          <cell r="I19">
            <v>6</v>
          </cell>
          <cell r="J19">
            <v>1.41</v>
          </cell>
          <cell r="K19">
            <v>2220</v>
          </cell>
          <cell r="L19">
            <v>16</v>
          </cell>
          <cell r="M19">
            <v>3.34</v>
          </cell>
        </row>
        <row r="20">
          <cell r="A20" t="str">
            <v>DO-YELQ663-PI-15</v>
          </cell>
          <cell r="B20">
            <v>556</v>
          </cell>
          <cell r="C20">
            <v>2</v>
          </cell>
          <cell r="D20">
            <v>0.29</v>
          </cell>
          <cell r="E20">
            <v>536</v>
          </cell>
          <cell r="F20">
            <v>3</v>
          </cell>
          <cell r="G20">
            <v>0.45</v>
          </cell>
          <cell r="H20">
            <v>394</v>
          </cell>
          <cell r="I20">
            <v>3</v>
          </cell>
          <cell r="J20">
            <v>0.33</v>
          </cell>
          <cell r="K20">
            <v>477</v>
          </cell>
          <cell r="L20">
            <v>2</v>
          </cell>
          <cell r="M20">
            <v>0.26</v>
          </cell>
        </row>
        <row r="21">
          <cell r="A21" t="str">
            <v>DO-YELQ150-PI-20</v>
          </cell>
          <cell r="B21">
            <v>12875</v>
          </cell>
          <cell r="C21">
            <v>37</v>
          </cell>
          <cell r="D21">
            <v>4.59</v>
          </cell>
          <cell r="E21">
            <v>18342</v>
          </cell>
          <cell r="F21">
            <v>80</v>
          </cell>
          <cell r="G21">
            <v>11.45</v>
          </cell>
          <cell r="H21">
            <v>5491</v>
          </cell>
          <cell r="I21">
            <v>46</v>
          </cell>
          <cell r="J21">
            <v>7.76</v>
          </cell>
          <cell r="K21">
            <v>7799</v>
          </cell>
          <cell r="L21">
            <v>70</v>
          </cell>
          <cell r="M21">
            <v>10.75</v>
          </cell>
        </row>
        <row r="22">
          <cell r="A22" t="str">
            <v>DO-YELQ062-PI-22</v>
          </cell>
          <cell r="B22">
            <v>18653</v>
          </cell>
          <cell r="C22">
            <v>97</v>
          </cell>
          <cell r="D22">
            <v>12.28</v>
          </cell>
          <cell r="E22">
            <v>23431</v>
          </cell>
          <cell r="F22">
            <v>97</v>
          </cell>
          <cell r="G22">
            <v>12.46</v>
          </cell>
          <cell r="H22">
            <v>6208</v>
          </cell>
          <cell r="I22">
            <v>54</v>
          </cell>
          <cell r="J22">
            <v>7.7</v>
          </cell>
          <cell r="K22">
            <v>5606</v>
          </cell>
          <cell r="L22">
            <v>29</v>
          </cell>
          <cell r="M22">
            <v>3.63</v>
          </cell>
        </row>
        <row r="23">
          <cell r="A23" t="str">
            <v>DO-YELQ173-B7-21</v>
          </cell>
          <cell r="B23">
            <v>0</v>
          </cell>
          <cell r="C23">
            <v>0</v>
          </cell>
          <cell r="D23">
            <v>0</v>
          </cell>
          <cell r="E23">
            <v>683</v>
          </cell>
          <cell r="F23">
            <v>6</v>
          </cell>
          <cell r="G23">
            <v>0.99</v>
          </cell>
          <cell r="H23">
            <v>2517</v>
          </cell>
          <cell r="I23">
            <v>25</v>
          </cell>
          <cell r="J23">
            <v>3.57</v>
          </cell>
          <cell r="K23">
            <v>2609</v>
          </cell>
          <cell r="L23">
            <v>13</v>
          </cell>
          <cell r="M23">
            <v>1.91</v>
          </cell>
        </row>
        <row r="24">
          <cell r="A24" t="str">
            <v>DO-YELQ701-PI-22</v>
          </cell>
          <cell r="B24">
            <v>6213</v>
          </cell>
          <cell r="C24">
            <v>20</v>
          </cell>
          <cell r="D24">
            <v>2.59</v>
          </cell>
          <cell r="E24">
            <v>3025</v>
          </cell>
          <cell r="F24">
            <v>16</v>
          </cell>
          <cell r="G24">
            <v>2.34</v>
          </cell>
          <cell r="H24">
            <v>7815</v>
          </cell>
          <cell r="I24">
            <v>19</v>
          </cell>
          <cell r="J24">
            <v>3.08</v>
          </cell>
          <cell r="K24">
            <v>6941</v>
          </cell>
          <cell r="L24">
            <v>29</v>
          </cell>
          <cell r="M24">
            <v>4.1</v>
          </cell>
        </row>
        <row r="25">
          <cell r="A25" t="str">
            <v>DO-YELQ230-PI-16</v>
          </cell>
          <cell r="B25">
            <v>2631</v>
          </cell>
          <cell r="C25">
            <v>13</v>
          </cell>
          <cell r="D25">
            <v>1.57</v>
          </cell>
          <cell r="E25">
            <v>2106</v>
          </cell>
          <cell r="F25">
            <v>10</v>
          </cell>
          <cell r="G25">
            <v>1.46</v>
          </cell>
          <cell r="H25">
            <v>2671</v>
          </cell>
          <cell r="I25">
            <v>8</v>
          </cell>
          <cell r="J25">
            <v>1.37</v>
          </cell>
          <cell r="K25">
            <v>3666</v>
          </cell>
          <cell r="L25">
            <v>8</v>
          </cell>
          <cell r="M25">
            <v>0.98</v>
          </cell>
        </row>
        <row r="26">
          <cell r="A26" t="str">
            <v>DO-YELQ070-PI-16</v>
          </cell>
          <cell r="B26">
            <v>1442</v>
          </cell>
          <cell r="C26">
            <v>7</v>
          </cell>
          <cell r="D26">
            <v>1</v>
          </cell>
          <cell r="E26">
            <v>1433</v>
          </cell>
          <cell r="F26">
            <v>6</v>
          </cell>
          <cell r="G26">
            <v>0.9</v>
          </cell>
          <cell r="H26">
            <v>991</v>
          </cell>
          <cell r="I26">
            <v>5</v>
          </cell>
          <cell r="J26">
            <v>0.66</v>
          </cell>
          <cell r="K26">
            <v>1696</v>
          </cell>
          <cell r="L26">
            <v>3</v>
          </cell>
          <cell r="M26">
            <v>0.35</v>
          </cell>
        </row>
        <row r="27">
          <cell r="A27" t="str">
            <v>DO-YELQ203-P4-22</v>
          </cell>
          <cell r="B27">
            <v>4562</v>
          </cell>
          <cell r="C27">
            <v>26</v>
          </cell>
          <cell r="D27">
            <v>3.85</v>
          </cell>
          <cell r="E27">
            <v>3934</v>
          </cell>
          <cell r="F27">
            <v>15</v>
          </cell>
          <cell r="G27">
            <v>2.06</v>
          </cell>
          <cell r="H27">
            <v>2993</v>
          </cell>
          <cell r="I27">
            <v>23</v>
          </cell>
          <cell r="J27">
            <v>3.35</v>
          </cell>
          <cell r="K27">
            <v>1065</v>
          </cell>
          <cell r="L27">
            <v>6</v>
          </cell>
          <cell r="M27">
            <v>0.49</v>
          </cell>
        </row>
        <row r="28">
          <cell r="A28" t="str">
            <v>DO-YELQ010-PI-22</v>
          </cell>
          <cell r="B28">
            <v>7428</v>
          </cell>
          <cell r="C28">
            <v>75</v>
          </cell>
          <cell r="D28">
            <v>9.53</v>
          </cell>
          <cell r="E28">
            <v>9813</v>
          </cell>
          <cell r="F28">
            <v>73</v>
          </cell>
          <cell r="G28">
            <v>10.45</v>
          </cell>
          <cell r="H28">
            <v>6453</v>
          </cell>
          <cell r="I28">
            <v>52</v>
          </cell>
          <cell r="J28">
            <v>8.32</v>
          </cell>
          <cell r="K28">
            <v>4694</v>
          </cell>
          <cell r="L28">
            <v>31</v>
          </cell>
          <cell r="M28">
            <v>4.05</v>
          </cell>
        </row>
        <row r="29">
          <cell r="A29" t="str">
            <v>DO-YELQ012-PI-22</v>
          </cell>
          <cell r="B29">
            <v>17951</v>
          </cell>
          <cell r="C29">
            <v>31</v>
          </cell>
          <cell r="D29">
            <v>4.18</v>
          </cell>
          <cell r="E29">
            <v>19843</v>
          </cell>
          <cell r="F29">
            <v>15</v>
          </cell>
          <cell r="G29">
            <v>1.92</v>
          </cell>
          <cell r="H29">
            <v>12503</v>
          </cell>
          <cell r="I29">
            <v>16</v>
          </cell>
          <cell r="J29">
            <v>2.15</v>
          </cell>
          <cell r="K29">
            <v>18119</v>
          </cell>
          <cell r="L29">
            <v>22</v>
          </cell>
          <cell r="M29">
            <v>3.17</v>
          </cell>
        </row>
        <row r="30">
          <cell r="A30" t="str">
            <v>DO-YELQ101-B7-22</v>
          </cell>
          <cell r="B30">
            <v>16441</v>
          </cell>
          <cell r="C30">
            <v>249</v>
          </cell>
          <cell r="D30">
            <v>35.86</v>
          </cell>
          <cell r="E30">
            <v>9035</v>
          </cell>
          <cell r="F30">
            <v>202</v>
          </cell>
          <cell r="G30">
            <v>26.36</v>
          </cell>
          <cell r="H30">
            <v>5318</v>
          </cell>
          <cell r="I30">
            <v>96</v>
          </cell>
          <cell r="J30">
            <v>12.78</v>
          </cell>
          <cell r="K30">
            <v>6097</v>
          </cell>
          <cell r="L30">
            <v>72</v>
          </cell>
          <cell r="M30">
            <v>10.66</v>
          </cell>
        </row>
        <row r="31">
          <cell r="A31" t="str">
            <v>DO-YELQ611-TW-22</v>
          </cell>
          <cell r="B31">
            <v>201</v>
          </cell>
          <cell r="C31">
            <v>2</v>
          </cell>
          <cell r="D31">
            <v>0.62</v>
          </cell>
          <cell r="E31">
            <v>377</v>
          </cell>
          <cell r="F31">
            <v>8</v>
          </cell>
          <cell r="G31">
            <v>1.57</v>
          </cell>
          <cell r="H31">
            <v>230</v>
          </cell>
          <cell r="I31">
            <v>2</v>
          </cell>
          <cell r="J31">
            <v>0.24</v>
          </cell>
          <cell r="K31">
            <v>644</v>
          </cell>
          <cell r="L31">
            <v>9</v>
          </cell>
          <cell r="M31">
            <v>1.84</v>
          </cell>
        </row>
        <row r="32">
          <cell r="A32" t="str">
            <v>DO-YELQ985-B7-20</v>
          </cell>
          <cell r="B32">
            <v>3755</v>
          </cell>
          <cell r="C32">
            <v>32</v>
          </cell>
          <cell r="D32">
            <v>5.33</v>
          </cell>
          <cell r="E32">
            <v>4594</v>
          </cell>
          <cell r="F32">
            <v>32</v>
          </cell>
          <cell r="G32">
            <v>4.58</v>
          </cell>
          <cell r="H32">
            <v>3936</v>
          </cell>
          <cell r="I32">
            <v>25</v>
          </cell>
          <cell r="J32">
            <v>3.35</v>
          </cell>
          <cell r="K32">
            <v>2899</v>
          </cell>
          <cell r="L32">
            <v>8</v>
          </cell>
          <cell r="M32">
            <v>1.29</v>
          </cell>
        </row>
        <row r="33">
          <cell r="A33" t="str">
            <v>DO-YELQ152-B7-22</v>
          </cell>
          <cell r="B33">
            <v>528</v>
          </cell>
          <cell r="C33">
            <v>6</v>
          </cell>
          <cell r="D33">
            <v>0.81</v>
          </cell>
          <cell r="E33">
            <v>932</v>
          </cell>
          <cell r="F33">
            <v>5</v>
          </cell>
          <cell r="G33">
            <v>0.7</v>
          </cell>
          <cell r="H33">
            <v>639</v>
          </cell>
          <cell r="I33">
            <v>5</v>
          </cell>
          <cell r="J33">
            <v>0.59</v>
          </cell>
          <cell r="K33">
            <v>972</v>
          </cell>
          <cell r="L33">
            <v>11</v>
          </cell>
          <cell r="M33">
            <v>1.72</v>
          </cell>
        </row>
        <row r="34">
          <cell r="A34" t="str">
            <v>DO-YELQ163-R0-22</v>
          </cell>
          <cell r="B34">
            <v>2226</v>
          </cell>
          <cell r="C34">
            <v>21</v>
          </cell>
          <cell r="D34">
            <v>4.04</v>
          </cell>
          <cell r="E34">
            <v>2725</v>
          </cell>
          <cell r="F34">
            <v>11</v>
          </cell>
          <cell r="G34">
            <v>1.98</v>
          </cell>
          <cell r="H34">
            <v>3506</v>
          </cell>
          <cell r="I34">
            <v>16</v>
          </cell>
          <cell r="J34">
            <v>3.59</v>
          </cell>
          <cell r="K34">
            <v>2013</v>
          </cell>
          <cell r="L34">
            <v>19</v>
          </cell>
          <cell r="M34">
            <v>4.27</v>
          </cell>
        </row>
        <row r="35">
          <cell r="A35" t="str">
            <v>DO-YELQ708-W0-24</v>
          </cell>
          <cell r="B35">
            <v>11206</v>
          </cell>
          <cell r="C35">
            <v>80</v>
          </cell>
          <cell r="D35">
            <v>14.51</v>
          </cell>
          <cell r="E35">
            <v>7843</v>
          </cell>
          <cell r="F35">
            <v>32</v>
          </cell>
          <cell r="G35">
            <v>5.25</v>
          </cell>
          <cell r="H35">
            <v>2997</v>
          </cell>
          <cell r="I35">
            <v>10</v>
          </cell>
          <cell r="J35">
            <v>1.71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DO-YELQ504-PI-22</v>
          </cell>
          <cell r="B36">
            <v>9185</v>
          </cell>
          <cell r="C36">
            <v>22</v>
          </cell>
          <cell r="D36">
            <v>3.02</v>
          </cell>
          <cell r="E36">
            <v>37407</v>
          </cell>
          <cell r="F36">
            <v>79</v>
          </cell>
          <cell r="G36">
            <v>16.44</v>
          </cell>
          <cell r="H36">
            <v>25365</v>
          </cell>
          <cell r="I36">
            <v>55</v>
          </cell>
          <cell r="J36">
            <v>11.39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DO-YELQ706-R0-24</v>
          </cell>
          <cell r="B37">
            <v>21599</v>
          </cell>
          <cell r="C37">
            <v>71</v>
          </cell>
          <cell r="D37">
            <v>13.29</v>
          </cell>
          <cell r="E37">
            <v>11884</v>
          </cell>
          <cell r="F37">
            <v>37</v>
          </cell>
          <cell r="G37">
            <v>7.05</v>
          </cell>
          <cell r="H37">
            <v>5827</v>
          </cell>
          <cell r="I37">
            <v>25</v>
          </cell>
          <cell r="J37">
            <v>4.75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DO-YELQ707-PI-24</v>
          </cell>
          <cell r="B38">
            <v>9045</v>
          </cell>
          <cell r="C38">
            <v>49</v>
          </cell>
          <cell r="D38">
            <v>10.09</v>
          </cell>
          <cell r="E38">
            <v>45319</v>
          </cell>
          <cell r="F38">
            <v>231</v>
          </cell>
          <cell r="G38">
            <v>45.49</v>
          </cell>
          <cell r="H38">
            <v>19629</v>
          </cell>
          <cell r="I38">
            <v>107</v>
          </cell>
          <cell r="J38">
            <v>23.13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DO-YELQ039-R0-22</v>
          </cell>
          <cell r="B39">
            <v>27935</v>
          </cell>
          <cell r="C39">
            <v>114</v>
          </cell>
          <cell r="D39">
            <v>23.15</v>
          </cell>
          <cell r="E39">
            <v>14005</v>
          </cell>
          <cell r="F39">
            <v>58</v>
          </cell>
          <cell r="G39">
            <v>11.7</v>
          </cell>
          <cell r="H39">
            <v>7438</v>
          </cell>
          <cell r="I39">
            <v>12</v>
          </cell>
          <cell r="J39">
            <v>2.15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DO-YELQ539-PI-16</v>
          </cell>
          <cell r="B40">
            <v>366</v>
          </cell>
          <cell r="C40">
            <v>5</v>
          </cell>
          <cell r="D40">
            <v>0.38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DO-YELQ170-SH-22</v>
          </cell>
          <cell r="B41">
            <v>18739</v>
          </cell>
          <cell r="C41">
            <v>39</v>
          </cell>
          <cell r="D41">
            <v>7.49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919"/>
  <sheetViews>
    <sheetView tabSelected="1" topLeftCell="A2" workbookViewId="0">
      <selection activeCell="N23" sqref="N23"/>
    </sheetView>
  </sheetViews>
  <sheetFormatPr defaultColWidth="9" defaultRowHeight="13.5"/>
  <cols>
    <col min="4" max="4" width="11.5"/>
    <col min="13" max="13" width="11.5"/>
  </cols>
  <sheetData>
    <row r="1" spans="1:13">
      <c r="A1" s="2"/>
      <c r="B1" s="3" t="s">
        <v>0</v>
      </c>
      <c r="C1" s="3"/>
      <c r="D1" s="3"/>
      <c r="E1" s="3" t="s">
        <v>1</v>
      </c>
      <c r="F1" s="3"/>
      <c r="G1" s="3"/>
      <c r="H1" s="3" t="s">
        <v>2</v>
      </c>
      <c r="I1" s="3"/>
      <c r="J1" s="3"/>
      <c r="K1" s="3" t="s">
        <v>3</v>
      </c>
      <c r="L1" s="3"/>
      <c r="M1" s="3"/>
    </row>
    <row r="2" spans="1:13">
      <c r="A2" s="2" t="s">
        <v>4</v>
      </c>
      <c r="B2" s="2" t="s">
        <v>5</v>
      </c>
      <c r="C2" s="2" t="s">
        <v>6</v>
      </c>
      <c r="D2" s="2" t="s">
        <v>7</v>
      </c>
      <c r="E2" s="2" t="s">
        <v>5</v>
      </c>
      <c r="F2" s="2" t="s">
        <v>6</v>
      </c>
      <c r="G2" s="2" t="s">
        <v>7</v>
      </c>
      <c r="H2" s="2" t="s">
        <v>5</v>
      </c>
      <c r="I2" s="2" t="s">
        <v>6</v>
      </c>
      <c r="J2" s="2" t="s">
        <v>7</v>
      </c>
      <c r="K2" s="2" t="s">
        <v>5</v>
      </c>
      <c r="L2" s="2" t="s">
        <v>6</v>
      </c>
      <c r="M2" s="2" t="s">
        <v>7</v>
      </c>
    </row>
    <row r="3" spans="1:13">
      <c r="A3" s="4" t="s">
        <v>8</v>
      </c>
      <c r="B3" s="4"/>
      <c r="C3" s="4"/>
      <c r="D3" s="4">
        <f ca="1">SUM(D4:D19997)</f>
        <v>2520.6325</v>
      </c>
      <c r="E3" s="4"/>
      <c r="F3" s="4"/>
      <c r="G3" s="4">
        <f ca="1">SUM(G4:G19997)</f>
        <v>1785.83</v>
      </c>
      <c r="H3" s="4"/>
      <c r="I3" s="4"/>
      <c r="J3" s="4">
        <f ca="1">SUM(J4:J19997)</f>
        <v>1642.95</v>
      </c>
      <c r="K3" s="4"/>
      <c r="L3" s="4"/>
      <c r="M3" s="4">
        <f ca="1">SUM(M4:M19997)</f>
        <v>1571.32</v>
      </c>
    </row>
    <row r="4" spans="1:13">
      <c r="A4" s="5" t="s">
        <v>9</v>
      </c>
      <c r="B4" s="2">
        <f>IFERROR(VLOOKUP(A4,[1]库存使用数据!$A:$B,2,0),0)+IFERROR(VLOOKUP(A4,[2]库存使用数据!$A:$B,2,0),0)+IFERROR(VLOOKUP(,[3]库存使用数据!$A:$B,2,0),0)+IFERROR(VLOOKUP(A4,[4]库存使用数据!$A:$B,2,0),0)+IFERROR(VLOOKUP(A4,[5]库存使用数据!$A:$B,2,0),0)</f>
        <v>148933</v>
      </c>
      <c r="C4" s="1">
        <f>IFERROR(VLOOKUP($A4,[1]库存使用数据!$A:$C,3,0),0)+IFERROR(VLOOKUP($A4,[2]库存使用数据!$A:$C,3,0),0)+IFERROR(VLOOKUP($A4,[3]库存使用数据!$A:$C,3,0),0)+IFERROR(VLOOKUP($A4,[4]库存使用数据!$A:$C,3,0),0)+IFERROR(VLOOKUP($A4,[5]库存使用数据!$A:$C,3,0),0)</f>
        <v>1197</v>
      </c>
      <c r="D4" s="1">
        <f>IFERROR(VLOOKUP($A4,[1]库存使用数据!$A:$D,4,0),0)+IFERROR(VLOOKUP($A4,[2]库存使用数据!$A:$D,4,0),0)+公式!$B$1*IFERROR(VLOOKUP($A4,[3]库存使用数据!$A:$D,4,0),0)+IFERROR(VLOOKUP($A4,[4]库存使用数据!$A:$D,4,0),0)+IFERROR(VLOOKUP($A4,[5]库存使用数据!$A:$D,4,0),0)</f>
        <v>210.2575</v>
      </c>
      <c r="E4" s="1">
        <f>IFERROR(VLOOKUP($A4,[1]库存使用数据!$A:$E,5,0),0)+IFERROR(VLOOKUP($A4,[2]库存使用数据!$A:$E,5,0),0)+IFERROR(VLOOKUP($A4,[3]库存使用数据!$A:$E,5,0),0)+IFERROR(VLOOKUP($A4,[4]库存使用数据!$A:$E,5,0),0)+IFERROR(VLOOKUP($A4,[5]库存使用数据!$A:$E,5,0),0)</f>
        <v>202034</v>
      </c>
      <c r="F4" s="1">
        <f>IFERROR(VLOOKUP($A4,[1]库存使用数据!$A:$F,6,0),0)+IFERROR(VLOOKUP($A4,[2]库存使用数据!$A:$F,6,0),0)+IFERROR(VLOOKUP($A4,[4]库存使用数据!$A:$F,6,0),0)+IFERROR(VLOOKUP($A4,[3]库存使用数据!$A:$F,6,0),0)+IFERROR(VLOOKUP($A4,[5]库存使用数据!$A:$F,6,0),0)</f>
        <v>889</v>
      </c>
      <c r="G4" s="1">
        <f>IFERROR(VLOOKUP($A4,[1]库存使用数据!$A:$G,7,0),0)+IFERROR(VLOOKUP($A4,[2]库存使用数据!$A:$G,7,0),0)+公式!$B$14*IFERROR(VLOOKUP($A4,[3]库存使用数据!$A:$G,7,0),0)+IFERROR(VLOOKUP($A4,[4]库存使用数据!$A:$G,7,0),0)+IFERROR(VLOOKUP($A4,[5]库存使用数据!$A:$G,7,0),0)</f>
        <v>87.87</v>
      </c>
      <c r="H4" s="1">
        <f>IFERROR(VLOOKUP($A4,[1]库存使用数据!$A:$H,8,0),0)+IFERROR(VLOOKUP($A4,[2]库存使用数据!$A:$H,8,0),0)+IFERROR(VLOOKUP($A4,[3]库存使用数据!$A:$H,8,0),0)+IFERROR(VLOOKUP($A4,[4]库存使用数据!$A:$H,8,0),0)+IFERROR(VLOOKUP($A4,[5]库存使用数据!$A:$H,8,0),0)</f>
        <v>220818</v>
      </c>
      <c r="I4" s="1">
        <f>IFERROR(VLOOKUP($A4,[1]库存使用数据!$A:$I,9,0),0)+IFERROR(VLOOKUP($A4,[2]库存使用数据!$A:$I,9,0),0)+IFERROR(VLOOKUP($A4,[3]库存使用数据!$A:$I,9,0),0)+IFERROR(VLOOKUP($A4,[4]库存使用数据!$A:$I,9,0),0)+IFERROR(VLOOKUP($A4,[5]库存使用数据!$A:$I,9,0),0)</f>
        <v>870</v>
      </c>
      <c r="J4" s="1">
        <f>IFERROR(VLOOKUP($A4,[1]库存使用数据!$A:$J,10,0),0)+IFERROR(VLOOKUP($A4,[2]库存使用数据!$A:$J,10,0),0)+公式!$B$14*IFERROR(VLOOKUP($A4,[3]库存使用数据!$A:$J,10,0),0)+IFERROR(VLOOKUP($A4,[4]库存使用数据!$A:$J,10,0),0)+IFERROR(VLOOKUP($A4,[5]库存使用数据!$A:$J,10,0),0)</f>
        <v>94.79</v>
      </c>
      <c r="K4" s="1">
        <f>IFERROR(VLOOKUP($A4,[1]库存使用数据!$A:$K,11,0),0)+IFERROR(VLOOKUP($A4,[2]库存使用数据!$A:$K,11,0),0)+IFERROR(VLOOKUP($A4,[3]库存使用数据!$A:$K,11,0),0)+IFERROR(VLOOKUP($A4,[4]库存使用数据!$A:$K,11,0),0)+IFERROR(VLOOKUP($A4,[5]库存使用数据!$A:$K,11,0),0)</f>
        <v>139670</v>
      </c>
      <c r="L4" s="1">
        <f>IFERROR(VLOOKUP($A4,[1]库存使用数据!$A:$L,12,0),0)+IFERROR(VLOOKUP($A4,[2]库存使用数据!$A:$L,12,0),0)+IFERROR(VLOOKUP($A4,[3]库存使用数据!$A:$L,12,0),0)+IFERROR(VLOOKUP($A4,[4]库存使用数据!$A:$L,12,0),0)+IFERROR(VLOOKUP($A4,[5]库存使用数据!$A:$L,12,0),0)</f>
        <v>648</v>
      </c>
      <c r="M4" s="1">
        <f>IFERROR(VLOOKUP($A4,[1]库存使用数据!$A:$M,13,0),0)+IFERROR(VLOOKUP($A4,[2]库存使用数据!$A:$M,13,0),0)+公式!$B$14*IFERROR(VLOOKUP($A4,[3]库存使用数据!$A:$M,13,0),0)+IFERROR(VLOOKUP($A4,[4]库存使用数据!$A:$M,13,0),0)+IFERROR(VLOOKUP($A4,[5]库存使用数据!$A:$M,13,0),0)</f>
        <v>74.38</v>
      </c>
    </row>
    <row r="5" spans="1:13">
      <c r="A5" s="5" t="s">
        <v>10</v>
      </c>
      <c r="B5" s="2">
        <f>IFERROR(VLOOKUP(A5,[1]库存使用数据!$A:$B,2,0),0)+IFERROR(VLOOKUP(A5,[2]库存使用数据!$A:$B,2,0),0)+IFERROR(VLOOKUP(,[3]库存使用数据!$A:$B,2,0),0)+IFERROR(VLOOKUP(A5,[4]库存使用数据!$A:$B,2,0),0)+IFERROR(VLOOKUP(A5,[5]库存使用数据!$A:$B,2,0),0)</f>
        <v>60441</v>
      </c>
      <c r="C5" s="1">
        <f>IFERROR(VLOOKUP($A5,[1]库存使用数据!$A:$C,3,0),0)+IFERROR(VLOOKUP($A5,[2]库存使用数据!$A:$C,3,0),0)+IFERROR(VLOOKUP($A5,[3]库存使用数据!$A:$C,3,0),0)+IFERROR(VLOOKUP($A5,[4]库存使用数据!$A:$C,3,0),0)+IFERROR(VLOOKUP($A5,[5]库存使用数据!$A:$C,3,0),0)</f>
        <v>317</v>
      </c>
      <c r="D5" s="1">
        <f>IFERROR(VLOOKUP($A5,[1]库存使用数据!$A:$D,4,0),0)+IFERROR(VLOOKUP($A5,[2]库存使用数据!$A:$D,4,0),0)+公式!$B$1*IFERROR(VLOOKUP($A5,[3]库存使用数据!$A:$D,4,0),0)+IFERROR(VLOOKUP($A5,[4]库存使用数据!$A:$D,4,0),0)+IFERROR(VLOOKUP($A5,[5]库存使用数据!$A:$D,4,0),0)</f>
        <v>47.05875</v>
      </c>
      <c r="E5" s="1">
        <f>IFERROR(VLOOKUP($A5,[1]库存使用数据!$A:$E,5,0),0)+IFERROR(VLOOKUP($A5,[2]库存使用数据!$A:$E,5,0),0)+IFERROR(VLOOKUP($A5,[3]库存使用数据!$A:$E,5,0),0)+IFERROR(VLOOKUP($A5,[4]库存使用数据!$A:$E,5,0),0)+IFERROR(VLOOKUP($A5,[5]库存使用数据!$A:$E,5,0),0)</f>
        <v>60406</v>
      </c>
      <c r="F5" s="1">
        <f>IFERROR(VLOOKUP($A5,[1]库存使用数据!$A:$F,6,0),0)+IFERROR(VLOOKUP($A5,[2]库存使用数据!$A:$F,6,0),0)+IFERROR(VLOOKUP($A5,[4]库存使用数据!$A:$F,6,0),0)+IFERROR(VLOOKUP($A5,[3]库存使用数据!$A:$F,6,0),0)+IFERROR(VLOOKUP($A5,[5]库存使用数据!$A:$F,6,0),0)</f>
        <v>253</v>
      </c>
      <c r="G5" s="1">
        <f>IFERROR(VLOOKUP($A5,[1]库存使用数据!$A:$G,7,0),0)+IFERROR(VLOOKUP($A5,[2]库存使用数据!$A:$G,7,0),0)+公式!$B$14*IFERROR(VLOOKUP($A5,[3]库存使用数据!$A:$G,7,0),0)+IFERROR(VLOOKUP($A5,[4]库存使用数据!$A:$G,7,0),0)+IFERROR(VLOOKUP($A5,[5]库存使用数据!$A:$G,7,0),0)</f>
        <v>20.65</v>
      </c>
      <c r="H5" s="1">
        <f>IFERROR(VLOOKUP($A5,[1]库存使用数据!$A:$H,8,0),0)+IFERROR(VLOOKUP($A5,[2]库存使用数据!$A:$H,8,0),0)+IFERROR(VLOOKUP($A5,[3]库存使用数据!$A:$H,8,0),0)+IFERROR(VLOOKUP($A5,[4]库存使用数据!$A:$H,8,0),0)+IFERROR(VLOOKUP($A5,[5]库存使用数据!$A:$H,8,0),0)</f>
        <v>55993</v>
      </c>
      <c r="I5" s="1">
        <f>IFERROR(VLOOKUP($A5,[1]库存使用数据!$A:$I,9,0),0)+IFERROR(VLOOKUP($A5,[2]库存使用数据!$A:$I,9,0),0)+IFERROR(VLOOKUP($A5,[3]库存使用数据!$A:$I,9,0),0)+IFERROR(VLOOKUP($A5,[4]库存使用数据!$A:$I,9,0),0)+IFERROR(VLOOKUP($A5,[5]库存使用数据!$A:$I,9,0),0)</f>
        <v>236</v>
      </c>
      <c r="J5" s="1">
        <f>IFERROR(VLOOKUP($A5,[1]库存使用数据!$A:$J,10,0),0)+IFERROR(VLOOKUP($A5,[2]库存使用数据!$A:$J,10,0),0)+公式!$B$14*IFERROR(VLOOKUP($A5,[3]库存使用数据!$A:$J,10,0),0)+IFERROR(VLOOKUP($A5,[4]库存使用数据!$A:$J,10,0),0)+IFERROR(VLOOKUP($A5,[5]库存使用数据!$A:$J,10,0),0)</f>
        <v>17.22</v>
      </c>
      <c r="K5" s="1">
        <f>IFERROR(VLOOKUP($A5,[1]库存使用数据!$A:$K,11,0),0)+IFERROR(VLOOKUP($A5,[2]库存使用数据!$A:$K,11,0),0)+IFERROR(VLOOKUP($A5,[3]库存使用数据!$A:$K,11,0),0)+IFERROR(VLOOKUP($A5,[4]库存使用数据!$A:$K,11,0),0)+IFERROR(VLOOKUP($A5,[5]库存使用数据!$A:$K,11,0),0)</f>
        <v>47849</v>
      </c>
      <c r="L5" s="1">
        <f>IFERROR(VLOOKUP($A5,[1]库存使用数据!$A:$L,12,0),0)+IFERROR(VLOOKUP($A5,[2]库存使用数据!$A:$L,12,0),0)+IFERROR(VLOOKUP($A5,[3]库存使用数据!$A:$L,12,0),0)+IFERROR(VLOOKUP($A5,[4]库存使用数据!$A:$L,12,0),0)+IFERROR(VLOOKUP($A5,[5]库存使用数据!$A:$L,12,0),0)</f>
        <v>184</v>
      </c>
      <c r="M5" s="1">
        <f>IFERROR(VLOOKUP($A5,[1]库存使用数据!$A:$M,13,0),0)+IFERROR(VLOOKUP($A5,[2]库存使用数据!$A:$M,13,0),0)+公式!$B$14*IFERROR(VLOOKUP($A5,[3]库存使用数据!$A:$M,13,0),0)+IFERROR(VLOOKUP($A5,[4]库存使用数据!$A:$M,13,0),0)+IFERROR(VLOOKUP($A5,[5]库存使用数据!$A:$M,13,0),0)</f>
        <v>18.42</v>
      </c>
    </row>
    <row r="6" spans="1:13">
      <c r="A6" s="5" t="s">
        <v>11</v>
      </c>
      <c r="B6" s="2">
        <f>IFERROR(VLOOKUP(A6,[1]库存使用数据!$A:$B,2,0),0)+IFERROR(VLOOKUP(A6,[2]库存使用数据!$A:$B,2,0),0)+IFERROR(VLOOKUP(,[3]库存使用数据!$A:$B,2,0),0)+IFERROR(VLOOKUP(A6,[4]库存使用数据!$A:$B,2,0),0)+IFERROR(VLOOKUP(A6,[5]库存使用数据!$A:$B,2,0),0)</f>
        <v>45055</v>
      </c>
      <c r="C6" s="1">
        <f>IFERROR(VLOOKUP($A6,[1]库存使用数据!$A:$C,3,0),0)+IFERROR(VLOOKUP($A6,[2]库存使用数据!$A:$C,3,0),0)+IFERROR(VLOOKUP($A6,[3]库存使用数据!$A:$C,3,0),0)+IFERROR(VLOOKUP($A6,[4]库存使用数据!$A:$C,3,0),0)+IFERROR(VLOOKUP($A6,[5]库存使用数据!$A:$C,3,0),0)</f>
        <v>453</v>
      </c>
      <c r="D6" s="1">
        <f>IFERROR(VLOOKUP($A6,[1]库存使用数据!$A:$D,4,0),0)+IFERROR(VLOOKUP($A6,[2]库存使用数据!$A:$D,4,0),0)+公式!$B$1*IFERROR(VLOOKUP($A6,[3]库存使用数据!$A:$D,4,0),0)+IFERROR(VLOOKUP($A6,[4]库存使用数据!$A:$D,4,0),0)+IFERROR(VLOOKUP($A6,[5]库存使用数据!$A:$D,4,0),0)</f>
        <v>74.67</v>
      </c>
      <c r="E6" s="1">
        <f>IFERROR(VLOOKUP($A6,[1]库存使用数据!$A:$E,5,0),0)+IFERROR(VLOOKUP($A6,[2]库存使用数据!$A:$E,5,0),0)+IFERROR(VLOOKUP($A6,[3]库存使用数据!$A:$E,5,0),0)+IFERROR(VLOOKUP($A6,[4]库存使用数据!$A:$E,5,0),0)+IFERROR(VLOOKUP($A6,[5]库存使用数据!$A:$E,5,0),0)</f>
        <v>60779</v>
      </c>
      <c r="F6" s="1">
        <f>IFERROR(VLOOKUP($A6,[1]库存使用数据!$A:$F,6,0),0)+IFERROR(VLOOKUP($A6,[2]库存使用数据!$A:$F,6,0),0)+IFERROR(VLOOKUP($A6,[4]库存使用数据!$A:$F,6,0),0)+IFERROR(VLOOKUP($A6,[3]库存使用数据!$A:$F,6,0),0)+IFERROR(VLOOKUP($A6,[5]库存使用数据!$A:$F,6,0),0)</f>
        <v>470</v>
      </c>
      <c r="G6" s="1">
        <f>IFERROR(VLOOKUP($A6,[1]库存使用数据!$A:$G,7,0),0)+IFERROR(VLOOKUP($A6,[2]库存使用数据!$A:$G,7,0),0)+公式!$B$14*IFERROR(VLOOKUP($A6,[3]库存使用数据!$A:$G,7,0),0)+IFERROR(VLOOKUP($A6,[4]库存使用数据!$A:$G,7,0),0)+IFERROR(VLOOKUP($A6,[5]库存使用数据!$A:$G,7,0),0)</f>
        <v>53.23</v>
      </c>
      <c r="H6" s="1">
        <f>IFERROR(VLOOKUP($A6,[1]库存使用数据!$A:$H,8,0),0)+IFERROR(VLOOKUP($A6,[2]库存使用数据!$A:$H,8,0),0)+IFERROR(VLOOKUP($A6,[3]库存使用数据!$A:$H,8,0),0)+IFERROR(VLOOKUP($A6,[4]库存使用数据!$A:$H,8,0),0)+IFERROR(VLOOKUP($A6,[5]库存使用数据!$A:$H,8,0),0)</f>
        <v>80036</v>
      </c>
      <c r="I6" s="1">
        <f>IFERROR(VLOOKUP($A6,[1]库存使用数据!$A:$I,9,0),0)+IFERROR(VLOOKUP($A6,[2]库存使用数据!$A:$I,9,0),0)+IFERROR(VLOOKUP($A6,[3]库存使用数据!$A:$I,9,0),0)+IFERROR(VLOOKUP($A6,[4]库存使用数据!$A:$I,9,0),0)+IFERROR(VLOOKUP($A6,[5]库存使用数据!$A:$I,9,0),0)</f>
        <v>479</v>
      </c>
      <c r="J6" s="1">
        <f>IFERROR(VLOOKUP($A6,[1]库存使用数据!$A:$J,10,0),0)+IFERROR(VLOOKUP($A6,[2]库存使用数据!$A:$J,10,0),0)+公式!$B$14*IFERROR(VLOOKUP($A6,[3]库存使用数据!$A:$J,10,0),0)+IFERROR(VLOOKUP($A6,[4]库存使用数据!$A:$J,10,0),0)+IFERROR(VLOOKUP($A6,[5]库存使用数据!$A:$J,10,0),0)</f>
        <v>42.51</v>
      </c>
      <c r="K6" s="1">
        <f>IFERROR(VLOOKUP($A6,[1]库存使用数据!$A:$K,11,0),0)+IFERROR(VLOOKUP($A6,[2]库存使用数据!$A:$K,11,0),0)+IFERROR(VLOOKUP($A6,[3]库存使用数据!$A:$K,11,0),0)+IFERROR(VLOOKUP($A6,[4]库存使用数据!$A:$K,11,0),0)+IFERROR(VLOOKUP($A6,[5]库存使用数据!$A:$K,11,0),0)</f>
        <v>85277</v>
      </c>
      <c r="L6" s="1">
        <f>IFERROR(VLOOKUP($A6,[1]库存使用数据!$A:$L,12,0),0)+IFERROR(VLOOKUP($A6,[2]库存使用数据!$A:$L,12,0),0)+IFERROR(VLOOKUP($A6,[3]库存使用数据!$A:$L,12,0),0)+IFERROR(VLOOKUP($A6,[4]库存使用数据!$A:$L,12,0),0)+IFERROR(VLOOKUP($A6,[5]库存使用数据!$A:$L,12,0),0)</f>
        <v>468</v>
      </c>
      <c r="M6" s="1">
        <f>IFERROR(VLOOKUP($A6,[1]库存使用数据!$A:$M,13,0),0)+IFERROR(VLOOKUP($A6,[2]库存使用数据!$A:$M,13,0),0)+公式!$B$14*IFERROR(VLOOKUP($A6,[3]库存使用数据!$A:$M,13,0),0)+IFERROR(VLOOKUP($A6,[4]库存使用数据!$A:$M,13,0),0)+IFERROR(VLOOKUP($A6,[5]库存使用数据!$A:$M,13,0),0)</f>
        <v>43.36</v>
      </c>
    </row>
    <row r="7" spans="1:13">
      <c r="A7" s="5" t="s">
        <v>12</v>
      </c>
      <c r="B7" s="2">
        <f>IFERROR(VLOOKUP(A7,[1]库存使用数据!$A:$B,2,0),0)+IFERROR(VLOOKUP(A7,[2]库存使用数据!$A:$B,2,0),0)+IFERROR(VLOOKUP(,[3]库存使用数据!$A:$B,2,0),0)+IFERROR(VLOOKUP(A7,[4]库存使用数据!$A:$B,2,0),0)+IFERROR(VLOOKUP(A7,[5]库存使用数据!$A:$B,2,0),0)</f>
        <v>11944</v>
      </c>
      <c r="C7" s="1">
        <f>IFERROR(VLOOKUP($A7,[1]库存使用数据!$A:$C,3,0),0)+IFERROR(VLOOKUP($A7,[2]库存使用数据!$A:$C,3,0),0)+IFERROR(VLOOKUP($A7,[3]库存使用数据!$A:$C,3,0),0)+IFERROR(VLOOKUP($A7,[4]库存使用数据!$A:$C,3,0),0)+IFERROR(VLOOKUP($A7,[5]库存使用数据!$A:$C,3,0),0)</f>
        <v>146</v>
      </c>
      <c r="D7" s="1">
        <f>IFERROR(VLOOKUP($A7,[1]库存使用数据!$A:$D,4,0),0)+IFERROR(VLOOKUP($A7,[2]库存使用数据!$A:$D,4,0),0)+公式!$B$1*IFERROR(VLOOKUP($A7,[3]库存使用数据!$A:$D,4,0),0)+IFERROR(VLOOKUP($A7,[4]库存使用数据!$A:$D,4,0),0)+IFERROR(VLOOKUP($A7,[5]库存使用数据!$A:$D,4,0),0)</f>
        <v>32.86</v>
      </c>
      <c r="E7" s="1">
        <f>IFERROR(VLOOKUP($A7,[1]库存使用数据!$A:$E,5,0),0)+IFERROR(VLOOKUP($A7,[2]库存使用数据!$A:$E,5,0),0)+IFERROR(VLOOKUP($A7,[3]库存使用数据!$A:$E,5,0),0)+IFERROR(VLOOKUP($A7,[4]库存使用数据!$A:$E,5,0),0)+IFERROR(VLOOKUP($A7,[5]库存使用数据!$A:$E,5,0),0)</f>
        <v>78220</v>
      </c>
      <c r="F7" s="1">
        <f>IFERROR(VLOOKUP($A7,[1]库存使用数据!$A:$F,6,0),0)+IFERROR(VLOOKUP($A7,[2]库存使用数据!$A:$F,6,0),0)+IFERROR(VLOOKUP($A7,[4]库存使用数据!$A:$F,6,0),0)+IFERROR(VLOOKUP($A7,[3]库存使用数据!$A:$F,6,0),0)+IFERROR(VLOOKUP($A7,[5]库存使用数据!$A:$F,6,0),0)</f>
        <v>324</v>
      </c>
      <c r="G7" s="1">
        <f>IFERROR(VLOOKUP($A7,[1]库存使用数据!$A:$G,7,0),0)+IFERROR(VLOOKUP($A7,[2]库存使用数据!$A:$G,7,0),0)+公式!$B$14*IFERROR(VLOOKUP($A7,[3]库存使用数据!$A:$G,7,0),0)+IFERROR(VLOOKUP($A7,[4]库存使用数据!$A:$G,7,0),0)+IFERROR(VLOOKUP($A7,[5]库存使用数据!$A:$G,7,0),0)</f>
        <v>29.01</v>
      </c>
      <c r="H7" s="1">
        <f>IFERROR(VLOOKUP($A7,[1]库存使用数据!$A:$H,8,0),0)+IFERROR(VLOOKUP($A7,[2]库存使用数据!$A:$H,8,0),0)+IFERROR(VLOOKUP($A7,[3]库存使用数据!$A:$H,8,0),0)+IFERROR(VLOOKUP($A7,[4]库存使用数据!$A:$H,8,0),0)+IFERROR(VLOOKUP($A7,[5]库存使用数据!$A:$H,8,0),0)</f>
        <v>57092</v>
      </c>
      <c r="I7" s="1">
        <f>IFERROR(VLOOKUP($A7,[1]库存使用数据!$A:$I,9,0),0)+IFERROR(VLOOKUP($A7,[2]库存使用数据!$A:$I,9,0),0)+IFERROR(VLOOKUP($A7,[3]库存使用数据!$A:$I,9,0),0)+IFERROR(VLOOKUP($A7,[4]库存使用数据!$A:$I,9,0),0)+IFERROR(VLOOKUP($A7,[5]库存使用数据!$A:$I,9,0),0)</f>
        <v>234</v>
      </c>
      <c r="J7" s="1">
        <f>IFERROR(VLOOKUP($A7,[1]库存使用数据!$A:$J,10,0),0)+IFERROR(VLOOKUP($A7,[2]库存使用数据!$A:$J,10,0),0)+公式!$B$14*IFERROR(VLOOKUP($A7,[3]库存使用数据!$A:$J,10,0),0)+IFERROR(VLOOKUP($A7,[4]库存使用数据!$A:$J,10,0),0)+IFERROR(VLOOKUP($A7,[5]库存使用数据!$A:$J,10,0),0)</f>
        <v>25.61</v>
      </c>
      <c r="K7" s="1">
        <f>IFERROR(VLOOKUP($A7,[1]库存使用数据!$A:$K,11,0),0)+IFERROR(VLOOKUP($A7,[2]库存使用数据!$A:$K,11,0),0)+IFERROR(VLOOKUP($A7,[3]库存使用数据!$A:$K,11,0),0)+IFERROR(VLOOKUP($A7,[4]库存使用数据!$A:$K,11,0),0)+IFERROR(VLOOKUP($A7,[5]库存使用数据!$A:$K,11,0),0)</f>
        <v>37058</v>
      </c>
      <c r="L7" s="1">
        <f>IFERROR(VLOOKUP($A7,[1]库存使用数据!$A:$L,12,0),0)+IFERROR(VLOOKUP($A7,[2]库存使用数据!$A:$L,12,0),0)+IFERROR(VLOOKUP($A7,[3]库存使用数据!$A:$L,12,0),0)+IFERROR(VLOOKUP($A7,[4]库存使用数据!$A:$L,12,0),0)+IFERROR(VLOOKUP($A7,[5]库存使用数据!$A:$L,12,0),0)</f>
        <v>148</v>
      </c>
      <c r="M7" s="1">
        <f>IFERROR(VLOOKUP($A7,[1]库存使用数据!$A:$M,13,0),0)+IFERROR(VLOOKUP($A7,[2]库存使用数据!$A:$M,13,0),0)+公式!$B$14*IFERROR(VLOOKUP($A7,[3]库存使用数据!$A:$M,13,0),0)+IFERROR(VLOOKUP($A7,[4]库存使用数据!$A:$M,13,0),0)+IFERROR(VLOOKUP($A7,[5]库存使用数据!$A:$M,13,0),0)</f>
        <v>16.54</v>
      </c>
    </row>
    <row r="8" spans="1:13">
      <c r="A8" s="5" t="s">
        <v>13</v>
      </c>
      <c r="B8" s="2">
        <f>IFERROR(VLOOKUP(A8,[1]库存使用数据!$A:$B,2,0),0)+IFERROR(VLOOKUP(A8,[2]库存使用数据!$A:$B,2,0),0)+IFERROR(VLOOKUP(,[3]库存使用数据!$A:$B,2,0),0)+IFERROR(VLOOKUP(A8,[4]库存使用数据!$A:$B,2,0),0)+IFERROR(VLOOKUP(A8,[5]库存使用数据!$A:$B,2,0),0)</f>
        <v>102733</v>
      </c>
      <c r="C8" s="1">
        <f>IFERROR(VLOOKUP($A8,[1]库存使用数据!$A:$C,3,0),0)+IFERROR(VLOOKUP($A8,[2]库存使用数据!$A:$C,3,0),0)+IFERROR(VLOOKUP($A8,[3]库存使用数据!$A:$C,3,0),0)+IFERROR(VLOOKUP($A8,[4]库存使用数据!$A:$C,3,0),0)+IFERROR(VLOOKUP($A8,[5]库存使用数据!$A:$C,3,0),0)</f>
        <v>603</v>
      </c>
      <c r="D8" s="1">
        <f>IFERROR(VLOOKUP($A8,[1]库存使用数据!$A:$D,4,0),0)+IFERROR(VLOOKUP($A8,[2]库存使用数据!$A:$D,4,0),0)+公式!$B$1*IFERROR(VLOOKUP($A8,[3]库存使用数据!$A:$D,4,0),0)+IFERROR(VLOOKUP($A8,[4]库存使用数据!$A:$D,4,0),0)+IFERROR(VLOOKUP($A8,[5]库存使用数据!$A:$D,4,0),0)</f>
        <v>59.37875</v>
      </c>
      <c r="E8" s="1">
        <f>IFERROR(VLOOKUP($A8,[1]库存使用数据!$A:$E,5,0),0)+IFERROR(VLOOKUP($A8,[2]库存使用数据!$A:$E,5,0),0)+IFERROR(VLOOKUP($A8,[3]库存使用数据!$A:$E,5,0),0)+IFERROR(VLOOKUP($A8,[4]库存使用数据!$A:$E,5,0),0)+IFERROR(VLOOKUP($A8,[5]库存使用数据!$A:$E,5,0),0)</f>
        <v>60715</v>
      </c>
      <c r="F8" s="1">
        <f>IFERROR(VLOOKUP($A8,[1]库存使用数据!$A:$F,6,0),0)+IFERROR(VLOOKUP($A8,[2]库存使用数据!$A:$F,6,0),0)+IFERROR(VLOOKUP($A8,[4]库存使用数据!$A:$F,6,0),0)+IFERROR(VLOOKUP($A8,[3]库存使用数据!$A:$F,6,0),0)+IFERROR(VLOOKUP($A8,[5]库存使用数据!$A:$F,6,0),0)</f>
        <v>380</v>
      </c>
      <c r="G8" s="1">
        <f>IFERROR(VLOOKUP($A8,[1]库存使用数据!$A:$G,7,0),0)+IFERROR(VLOOKUP($A8,[2]库存使用数据!$A:$G,7,0),0)+公式!$B$14*IFERROR(VLOOKUP($A8,[3]库存使用数据!$A:$G,7,0),0)+IFERROR(VLOOKUP($A8,[4]库存使用数据!$A:$G,7,0),0)+IFERROR(VLOOKUP($A8,[5]库存使用数据!$A:$G,7,0),0)</f>
        <v>36.33</v>
      </c>
      <c r="H8" s="1">
        <f>IFERROR(VLOOKUP($A8,[1]库存使用数据!$A:$H,8,0),0)+IFERROR(VLOOKUP($A8,[2]库存使用数据!$A:$H,8,0),0)+IFERROR(VLOOKUP($A8,[3]库存使用数据!$A:$H,8,0),0)+IFERROR(VLOOKUP($A8,[4]库存使用数据!$A:$H,8,0),0)+IFERROR(VLOOKUP($A8,[5]库存使用数据!$A:$H,8,0),0)</f>
        <v>68182</v>
      </c>
      <c r="I8" s="1">
        <f>IFERROR(VLOOKUP($A8,[1]库存使用数据!$A:$I,9,0),0)+IFERROR(VLOOKUP($A8,[2]库存使用数据!$A:$I,9,0),0)+IFERROR(VLOOKUP($A8,[3]库存使用数据!$A:$I,9,0),0)+IFERROR(VLOOKUP($A8,[4]库存使用数据!$A:$I,9,0),0)+IFERROR(VLOOKUP($A8,[5]库存使用数据!$A:$I,9,0),0)</f>
        <v>393</v>
      </c>
      <c r="J8" s="1">
        <f>IFERROR(VLOOKUP($A8,[1]库存使用数据!$A:$J,10,0),0)+IFERROR(VLOOKUP($A8,[2]库存使用数据!$A:$J,10,0),0)+公式!$B$14*IFERROR(VLOOKUP($A8,[3]库存使用数据!$A:$J,10,0),0)+IFERROR(VLOOKUP($A8,[4]库存使用数据!$A:$J,10,0),0)+IFERROR(VLOOKUP($A8,[5]库存使用数据!$A:$J,10,0),0)</f>
        <v>41.57</v>
      </c>
      <c r="K8" s="1">
        <f>IFERROR(VLOOKUP($A8,[1]库存使用数据!$A:$K,11,0),0)+IFERROR(VLOOKUP($A8,[2]库存使用数据!$A:$K,11,0),0)+IFERROR(VLOOKUP($A8,[3]库存使用数据!$A:$K,11,0),0)+IFERROR(VLOOKUP($A8,[4]库存使用数据!$A:$K,11,0),0)+IFERROR(VLOOKUP($A8,[5]库存使用数据!$A:$K,11,0),0)</f>
        <v>76661</v>
      </c>
      <c r="L8" s="1">
        <f>IFERROR(VLOOKUP($A8,[1]库存使用数据!$A:$L,12,0),0)+IFERROR(VLOOKUP($A8,[2]库存使用数据!$A:$L,12,0),0)+IFERROR(VLOOKUP($A8,[3]库存使用数据!$A:$L,12,0),0)+IFERROR(VLOOKUP($A8,[4]库存使用数据!$A:$L,12,0),0)+IFERROR(VLOOKUP($A8,[5]库存使用数据!$A:$L,12,0),0)</f>
        <v>584</v>
      </c>
      <c r="M8" s="1">
        <f>IFERROR(VLOOKUP($A8,[1]库存使用数据!$A:$M,13,0),0)+IFERROR(VLOOKUP($A8,[2]库存使用数据!$A:$M,13,0),0)+公式!$B$14*IFERROR(VLOOKUP($A8,[3]库存使用数据!$A:$M,13,0),0)+IFERROR(VLOOKUP($A8,[4]库存使用数据!$A:$M,13,0),0)+IFERROR(VLOOKUP($A8,[5]库存使用数据!$A:$M,13,0),0)</f>
        <v>40.37</v>
      </c>
    </row>
    <row r="9" spans="1:13">
      <c r="A9" s="5" t="s">
        <v>14</v>
      </c>
      <c r="B9" s="2">
        <f>IFERROR(VLOOKUP(A9,[1]库存使用数据!$A:$B,2,0),0)+IFERROR(VLOOKUP(A9,[2]库存使用数据!$A:$B,2,0),0)+IFERROR(VLOOKUP(,[3]库存使用数据!$A:$B,2,0),0)+IFERROR(VLOOKUP(A9,[4]库存使用数据!$A:$B,2,0),0)+IFERROR(VLOOKUP(A9,[5]库存使用数据!$A:$B,2,0),0)</f>
        <v>60023</v>
      </c>
      <c r="C9" s="1">
        <f>IFERROR(VLOOKUP($A9,[1]库存使用数据!$A:$C,3,0),0)+IFERROR(VLOOKUP($A9,[2]库存使用数据!$A:$C,3,0),0)+IFERROR(VLOOKUP($A9,[3]库存使用数据!$A:$C,3,0),0)+IFERROR(VLOOKUP($A9,[4]库存使用数据!$A:$C,3,0),0)+IFERROR(VLOOKUP($A9,[5]库存使用数据!$A:$C,3,0),0)</f>
        <v>682</v>
      </c>
      <c r="D9" s="1">
        <f>IFERROR(VLOOKUP($A9,[1]库存使用数据!$A:$D,4,0),0)+IFERROR(VLOOKUP($A9,[2]库存使用数据!$A:$D,4,0),0)+公式!$B$1*IFERROR(VLOOKUP($A9,[3]库存使用数据!$A:$D,4,0),0)+IFERROR(VLOOKUP($A9,[4]库存使用数据!$A:$D,4,0),0)+IFERROR(VLOOKUP($A9,[5]库存使用数据!$A:$D,4,0),0)</f>
        <v>74.7275</v>
      </c>
      <c r="E9" s="1">
        <f>IFERROR(VLOOKUP($A9,[1]库存使用数据!$A:$E,5,0),0)+IFERROR(VLOOKUP($A9,[2]库存使用数据!$A:$E,5,0),0)+IFERROR(VLOOKUP($A9,[3]库存使用数据!$A:$E,5,0),0)+IFERROR(VLOOKUP($A9,[4]库存使用数据!$A:$E,5,0),0)+IFERROR(VLOOKUP($A9,[5]库存使用数据!$A:$E,5,0),0)</f>
        <v>46849</v>
      </c>
      <c r="F9" s="1">
        <f>IFERROR(VLOOKUP($A9,[1]库存使用数据!$A:$F,6,0),0)+IFERROR(VLOOKUP($A9,[2]库存使用数据!$A:$F,6,0),0)+IFERROR(VLOOKUP($A9,[4]库存使用数据!$A:$F,6,0),0)+IFERROR(VLOOKUP($A9,[3]库存使用数据!$A:$F,6,0),0)+IFERROR(VLOOKUP($A9,[5]库存使用数据!$A:$F,6,0),0)</f>
        <v>383</v>
      </c>
      <c r="G9" s="1">
        <f>IFERROR(VLOOKUP($A9,[1]库存使用数据!$A:$G,7,0),0)+IFERROR(VLOOKUP($A9,[2]库存使用数据!$A:$G,7,0),0)+公式!$B$14*IFERROR(VLOOKUP($A9,[3]库存使用数据!$A:$G,7,0),0)+IFERROR(VLOOKUP($A9,[4]库存使用数据!$A:$G,7,0),0)+IFERROR(VLOOKUP($A9,[5]库存使用数据!$A:$G,7,0),0)</f>
        <v>44.84</v>
      </c>
      <c r="H9" s="1">
        <f>IFERROR(VLOOKUP($A9,[1]库存使用数据!$A:$H,8,0),0)+IFERROR(VLOOKUP($A9,[2]库存使用数据!$A:$H,8,0),0)+IFERROR(VLOOKUP($A9,[3]库存使用数据!$A:$H,8,0),0)+IFERROR(VLOOKUP($A9,[4]库存使用数据!$A:$H,8,0),0)+IFERROR(VLOOKUP($A9,[5]库存使用数据!$A:$H,8,0),0)</f>
        <v>51223</v>
      </c>
      <c r="I9" s="1">
        <f>IFERROR(VLOOKUP($A9,[1]库存使用数据!$A:$I,9,0),0)+IFERROR(VLOOKUP($A9,[2]库存使用数据!$A:$I,9,0),0)+IFERROR(VLOOKUP($A9,[3]库存使用数据!$A:$I,9,0),0)+IFERROR(VLOOKUP($A9,[4]库存使用数据!$A:$I,9,0),0)+IFERROR(VLOOKUP($A9,[5]库存使用数据!$A:$I,9,0),0)</f>
        <v>304</v>
      </c>
      <c r="J9" s="1">
        <f>IFERROR(VLOOKUP($A9,[1]库存使用数据!$A:$J,10,0),0)+IFERROR(VLOOKUP($A9,[2]库存使用数据!$A:$J,10,0),0)+公式!$B$14*IFERROR(VLOOKUP($A9,[3]库存使用数据!$A:$J,10,0),0)+IFERROR(VLOOKUP($A9,[4]库存使用数据!$A:$J,10,0),0)+IFERROR(VLOOKUP($A9,[5]库存使用数据!$A:$J,10,0),0)</f>
        <v>32.7</v>
      </c>
      <c r="K9" s="1">
        <f>IFERROR(VLOOKUP($A9,[1]库存使用数据!$A:$K,11,0),0)+IFERROR(VLOOKUP($A9,[2]库存使用数据!$A:$K,11,0),0)+IFERROR(VLOOKUP($A9,[3]库存使用数据!$A:$K,11,0),0)+IFERROR(VLOOKUP($A9,[4]库存使用数据!$A:$K,11,0),0)+IFERROR(VLOOKUP($A9,[5]库存使用数据!$A:$K,11,0),0)</f>
        <v>73619</v>
      </c>
      <c r="L9" s="1">
        <f>IFERROR(VLOOKUP($A9,[1]库存使用数据!$A:$L,12,0),0)+IFERROR(VLOOKUP($A9,[2]库存使用数据!$A:$L,12,0),0)+IFERROR(VLOOKUP($A9,[3]库存使用数据!$A:$L,12,0),0)+IFERROR(VLOOKUP($A9,[4]库存使用数据!$A:$L,12,0),0)+IFERROR(VLOOKUP($A9,[5]库存使用数据!$A:$L,12,0),0)</f>
        <v>652</v>
      </c>
      <c r="M9" s="1">
        <f>IFERROR(VLOOKUP($A9,[1]库存使用数据!$A:$M,13,0),0)+IFERROR(VLOOKUP($A9,[2]库存使用数据!$A:$M,13,0),0)+公式!$B$14*IFERROR(VLOOKUP($A9,[3]库存使用数据!$A:$M,13,0),0)+IFERROR(VLOOKUP($A9,[4]库存使用数据!$A:$M,13,0),0)+IFERROR(VLOOKUP($A9,[5]库存使用数据!$A:$M,13,0),0)</f>
        <v>47.94</v>
      </c>
    </row>
    <row r="10" spans="1:13">
      <c r="A10" s="5" t="s">
        <v>15</v>
      </c>
      <c r="B10" s="2">
        <f>IFERROR(VLOOKUP(A10,[1]库存使用数据!$A:$B,2,0),0)+IFERROR(VLOOKUP(A10,[2]库存使用数据!$A:$B,2,0),0)+IFERROR(VLOOKUP(,[3]库存使用数据!$A:$B,2,0),0)+IFERROR(VLOOKUP(A10,[4]库存使用数据!$A:$B,2,0),0)+IFERROR(VLOOKUP(A10,[5]库存使用数据!$A:$B,2,0),0)</f>
        <v>116894</v>
      </c>
      <c r="C10" s="1">
        <f>IFERROR(VLOOKUP($A10,[1]库存使用数据!$A:$C,3,0),0)+IFERROR(VLOOKUP($A10,[2]库存使用数据!$A:$C,3,0),0)+IFERROR(VLOOKUP($A10,[3]库存使用数据!$A:$C,3,0),0)+IFERROR(VLOOKUP($A10,[4]库存使用数据!$A:$C,3,0),0)+IFERROR(VLOOKUP($A10,[5]库存使用数据!$A:$C,3,0),0)</f>
        <v>576</v>
      </c>
      <c r="D10" s="1">
        <f>IFERROR(VLOOKUP($A10,[1]库存使用数据!$A:$D,4,0),0)+IFERROR(VLOOKUP($A10,[2]库存使用数据!$A:$D,4,0),0)+公式!$B$1*IFERROR(VLOOKUP($A10,[3]库存使用数据!$A:$D,4,0),0)+IFERROR(VLOOKUP($A10,[4]库存使用数据!$A:$D,4,0),0)+IFERROR(VLOOKUP($A10,[5]库存使用数据!$A:$D,4,0),0)</f>
        <v>70.1375</v>
      </c>
      <c r="E10" s="1">
        <f>IFERROR(VLOOKUP($A10,[1]库存使用数据!$A:$E,5,0),0)+IFERROR(VLOOKUP($A10,[2]库存使用数据!$A:$E,5,0),0)+IFERROR(VLOOKUP($A10,[3]库存使用数据!$A:$E,5,0),0)+IFERROR(VLOOKUP($A10,[4]库存使用数据!$A:$E,5,0),0)+IFERROR(VLOOKUP($A10,[5]库存使用数据!$A:$E,5,0),0)</f>
        <v>109586</v>
      </c>
      <c r="F10" s="1">
        <f>IFERROR(VLOOKUP($A10,[1]库存使用数据!$A:$F,6,0),0)+IFERROR(VLOOKUP($A10,[2]库存使用数据!$A:$F,6,0),0)+IFERROR(VLOOKUP($A10,[4]库存使用数据!$A:$F,6,0),0)+IFERROR(VLOOKUP($A10,[3]库存使用数据!$A:$F,6,0),0)+IFERROR(VLOOKUP($A10,[5]库存使用数据!$A:$F,6,0),0)</f>
        <v>554</v>
      </c>
      <c r="G10" s="1">
        <f>IFERROR(VLOOKUP($A10,[1]库存使用数据!$A:$G,7,0),0)+IFERROR(VLOOKUP($A10,[2]库存使用数据!$A:$G,7,0),0)+公式!$B$14*IFERROR(VLOOKUP($A10,[3]库存使用数据!$A:$G,7,0),0)+IFERROR(VLOOKUP($A10,[4]库存使用数据!$A:$G,7,0),0)+IFERROR(VLOOKUP($A10,[5]库存使用数据!$A:$G,7,0),0)</f>
        <v>74.82</v>
      </c>
      <c r="H10" s="1">
        <f>IFERROR(VLOOKUP($A10,[1]库存使用数据!$A:$H,8,0),0)+IFERROR(VLOOKUP($A10,[2]库存使用数据!$A:$H,8,0),0)+IFERROR(VLOOKUP($A10,[3]库存使用数据!$A:$H,8,0),0)+IFERROR(VLOOKUP($A10,[4]库存使用数据!$A:$H,8,0),0)+IFERROR(VLOOKUP($A10,[5]库存使用数据!$A:$H,8,0),0)</f>
        <v>113400</v>
      </c>
      <c r="I10" s="1">
        <f>IFERROR(VLOOKUP($A10,[1]库存使用数据!$A:$I,9,0),0)+IFERROR(VLOOKUP($A10,[2]库存使用数据!$A:$I,9,0),0)+IFERROR(VLOOKUP($A10,[3]库存使用数据!$A:$I,9,0),0)+IFERROR(VLOOKUP($A10,[4]库存使用数据!$A:$I,9,0),0)+IFERROR(VLOOKUP($A10,[5]库存使用数据!$A:$I,9,0),0)</f>
        <v>475</v>
      </c>
      <c r="J10" s="1">
        <f>IFERROR(VLOOKUP($A10,[1]库存使用数据!$A:$J,10,0),0)+IFERROR(VLOOKUP($A10,[2]库存使用数据!$A:$J,10,0),0)+公式!$B$14*IFERROR(VLOOKUP($A10,[3]库存使用数据!$A:$J,10,0),0)+IFERROR(VLOOKUP($A10,[4]库存使用数据!$A:$J,10,0),0)+IFERROR(VLOOKUP($A10,[5]库存使用数据!$A:$J,10,0),0)</f>
        <v>60.61</v>
      </c>
      <c r="K10" s="1">
        <f>IFERROR(VLOOKUP($A10,[1]库存使用数据!$A:$K,11,0),0)+IFERROR(VLOOKUP($A10,[2]库存使用数据!$A:$K,11,0),0)+IFERROR(VLOOKUP($A10,[3]库存使用数据!$A:$K,11,0),0)+IFERROR(VLOOKUP($A10,[4]库存使用数据!$A:$K,11,0),0)+IFERROR(VLOOKUP($A10,[5]库存使用数据!$A:$K,11,0),0)</f>
        <v>109864</v>
      </c>
      <c r="L10" s="1">
        <f>IFERROR(VLOOKUP($A10,[1]库存使用数据!$A:$L,12,0),0)+IFERROR(VLOOKUP($A10,[2]库存使用数据!$A:$L,12,0),0)+IFERROR(VLOOKUP($A10,[3]库存使用数据!$A:$L,12,0),0)+IFERROR(VLOOKUP($A10,[4]库存使用数据!$A:$L,12,0),0)+IFERROR(VLOOKUP($A10,[5]库存使用数据!$A:$L,12,0),0)</f>
        <v>395</v>
      </c>
      <c r="M10" s="1">
        <f>IFERROR(VLOOKUP($A10,[1]库存使用数据!$A:$M,13,0),0)+IFERROR(VLOOKUP($A10,[2]库存使用数据!$A:$M,13,0),0)+公式!$B$14*IFERROR(VLOOKUP($A10,[3]库存使用数据!$A:$M,13,0),0)+IFERROR(VLOOKUP($A10,[4]库存使用数据!$A:$M,13,0),0)+IFERROR(VLOOKUP($A10,[5]库存使用数据!$A:$M,13,0),0)</f>
        <v>34.81</v>
      </c>
    </row>
    <row r="11" spans="1:13">
      <c r="A11" s="5" t="s">
        <v>16</v>
      </c>
      <c r="B11" s="2">
        <f>IFERROR(VLOOKUP(A11,[1]库存使用数据!$A:$B,2,0),0)+IFERROR(VLOOKUP(A11,[2]库存使用数据!$A:$B,2,0),0)+IFERROR(VLOOKUP(,[3]库存使用数据!$A:$B,2,0),0)+IFERROR(VLOOKUP(A11,[4]库存使用数据!$A:$B,2,0),0)+IFERROR(VLOOKUP(A11,[5]库存使用数据!$A:$B,2,0),0)</f>
        <v>61179</v>
      </c>
      <c r="C11" s="1">
        <f>IFERROR(VLOOKUP($A11,[1]库存使用数据!$A:$C,3,0),0)+IFERROR(VLOOKUP($A11,[2]库存使用数据!$A:$C,3,0),0)+IFERROR(VLOOKUP($A11,[3]库存使用数据!$A:$C,3,0),0)+IFERROR(VLOOKUP($A11,[4]库存使用数据!$A:$C,3,0),0)+IFERROR(VLOOKUP($A11,[5]库存使用数据!$A:$C,3,0),0)</f>
        <v>664</v>
      </c>
      <c r="D11" s="1">
        <f>IFERROR(VLOOKUP($A11,[1]库存使用数据!$A:$D,4,0),0)+IFERROR(VLOOKUP($A11,[2]库存使用数据!$A:$D,4,0),0)+公式!$B$1*IFERROR(VLOOKUP($A11,[3]库存使用数据!$A:$D,4,0),0)+IFERROR(VLOOKUP($A11,[4]库存使用数据!$A:$D,4,0),0)+IFERROR(VLOOKUP($A11,[5]库存使用数据!$A:$D,4,0),0)</f>
        <v>144.92875</v>
      </c>
      <c r="E11" s="1">
        <f>IFERROR(VLOOKUP($A11,[1]库存使用数据!$A:$E,5,0),0)+IFERROR(VLOOKUP($A11,[2]库存使用数据!$A:$E,5,0),0)+IFERROR(VLOOKUP($A11,[3]库存使用数据!$A:$E,5,0),0)+IFERROR(VLOOKUP($A11,[4]库存使用数据!$A:$E,5,0),0)+IFERROR(VLOOKUP($A11,[5]库存使用数据!$A:$E,5,0),0)</f>
        <v>112700</v>
      </c>
      <c r="F11" s="1">
        <f>IFERROR(VLOOKUP($A11,[1]库存使用数据!$A:$F,6,0),0)+IFERROR(VLOOKUP($A11,[2]库存使用数据!$A:$F,6,0),0)+IFERROR(VLOOKUP($A11,[4]库存使用数据!$A:$F,6,0),0)+IFERROR(VLOOKUP($A11,[3]库存使用数据!$A:$F,6,0),0)+IFERROR(VLOOKUP($A11,[5]库存使用数据!$A:$F,6,0),0)</f>
        <v>709</v>
      </c>
      <c r="G11" s="1">
        <f>IFERROR(VLOOKUP($A11,[1]库存使用数据!$A:$G,7,0),0)+IFERROR(VLOOKUP($A11,[2]库存使用数据!$A:$G,7,0),0)+公式!$B$14*IFERROR(VLOOKUP($A11,[3]库存使用数据!$A:$G,7,0),0)+IFERROR(VLOOKUP($A11,[4]库存使用数据!$A:$G,7,0),0)+IFERROR(VLOOKUP($A11,[5]库存使用数据!$A:$G,7,0),0)</f>
        <v>53.5</v>
      </c>
      <c r="H11" s="1">
        <f>IFERROR(VLOOKUP($A11,[1]库存使用数据!$A:$H,8,0),0)+IFERROR(VLOOKUP($A11,[2]库存使用数据!$A:$H,8,0),0)+IFERROR(VLOOKUP($A11,[3]库存使用数据!$A:$H,8,0),0)+IFERROR(VLOOKUP($A11,[4]库存使用数据!$A:$H,8,0),0)+IFERROR(VLOOKUP($A11,[5]库存使用数据!$A:$H,8,0),0)</f>
        <v>119345</v>
      </c>
      <c r="I11" s="1">
        <f>IFERROR(VLOOKUP($A11,[1]库存使用数据!$A:$I,9,0),0)+IFERROR(VLOOKUP($A11,[2]库存使用数据!$A:$I,9,0),0)+IFERROR(VLOOKUP($A11,[3]库存使用数据!$A:$I,9,0),0)+IFERROR(VLOOKUP($A11,[4]库存使用数据!$A:$I,9,0),0)+IFERROR(VLOOKUP($A11,[5]库存使用数据!$A:$I,9,0),0)</f>
        <v>600</v>
      </c>
      <c r="J11" s="1">
        <f>IFERROR(VLOOKUP($A11,[1]库存使用数据!$A:$J,10,0),0)+IFERROR(VLOOKUP($A11,[2]库存使用数据!$A:$J,10,0),0)+公式!$B$14*IFERROR(VLOOKUP($A11,[3]库存使用数据!$A:$J,10,0),0)+IFERROR(VLOOKUP($A11,[4]库存使用数据!$A:$J,10,0),0)+IFERROR(VLOOKUP($A11,[5]库存使用数据!$A:$J,10,0),0)</f>
        <v>49.56</v>
      </c>
      <c r="K11" s="1">
        <f>IFERROR(VLOOKUP($A11,[1]库存使用数据!$A:$K,11,0),0)+IFERROR(VLOOKUP($A11,[2]库存使用数据!$A:$K,11,0),0)+IFERROR(VLOOKUP($A11,[3]库存使用数据!$A:$K,11,0),0)+IFERROR(VLOOKUP($A11,[4]库存使用数据!$A:$K,11,0),0)+IFERROR(VLOOKUP($A11,[5]库存使用数据!$A:$K,11,0),0)</f>
        <v>108695</v>
      </c>
      <c r="L11" s="1">
        <f>IFERROR(VLOOKUP($A11,[1]库存使用数据!$A:$L,12,0),0)+IFERROR(VLOOKUP($A11,[2]库存使用数据!$A:$L,12,0),0)+IFERROR(VLOOKUP($A11,[3]库存使用数据!$A:$L,12,0),0)+IFERROR(VLOOKUP($A11,[4]库存使用数据!$A:$L,12,0),0)+IFERROR(VLOOKUP($A11,[5]库存使用数据!$A:$L,12,0),0)</f>
        <v>618</v>
      </c>
      <c r="M11" s="1">
        <f>IFERROR(VLOOKUP($A11,[1]库存使用数据!$A:$M,13,0),0)+IFERROR(VLOOKUP($A11,[2]库存使用数据!$A:$M,13,0),0)+公式!$B$14*IFERROR(VLOOKUP($A11,[3]库存使用数据!$A:$M,13,0),0)+IFERROR(VLOOKUP($A11,[4]库存使用数据!$A:$M,13,0),0)+IFERROR(VLOOKUP($A11,[5]库存使用数据!$A:$M,13,0),0)</f>
        <v>51.73</v>
      </c>
    </row>
    <row r="12" spans="1:13">
      <c r="A12" s="5" t="s">
        <v>17</v>
      </c>
      <c r="B12" s="2">
        <f>IFERROR(VLOOKUP(A12,[1]库存使用数据!$A:$B,2,0),0)+IFERROR(VLOOKUP(A12,[2]库存使用数据!$A:$B,2,0),0)+IFERROR(VLOOKUP(,[3]库存使用数据!$A:$B,2,0),0)+IFERROR(VLOOKUP(A12,[4]库存使用数据!$A:$B,2,0),0)+IFERROR(VLOOKUP(A12,[5]库存使用数据!$A:$B,2,0),0)</f>
        <v>49461</v>
      </c>
      <c r="C12" s="1">
        <f>IFERROR(VLOOKUP($A12,[1]库存使用数据!$A:$C,3,0),0)+IFERROR(VLOOKUP($A12,[2]库存使用数据!$A:$C,3,0),0)+IFERROR(VLOOKUP($A12,[3]库存使用数据!$A:$C,3,0),0)+IFERROR(VLOOKUP($A12,[4]库存使用数据!$A:$C,3,0),0)+IFERROR(VLOOKUP($A12,[5]库存使用数据!$A:$C,3,0),0)</f>
        <v>318</v>
      </c>
      <c r="D12" s="1">
        <f>IFERROR(VLOOKUP($A12,[1]库存使用数据!$A:$D,4,0),0)+IFERROR(VLOOKUP($A12,[2]库存使用数据!$A:$D,4,0),0)+公式!$B$1*IFERROR(VLOOKUP($A12,[3]库存使用数据!$A:$D,4,0),0)+IFERROR(VLOOKUP($A12,[4]库存使用数据!$A:$D,4,0),0)+IFERROR(VLOOKUP($A12,[5]库存使用数据!$A:$D,4,0),0)</f>
        <v>50.955</v>
      </c>
      <c r="E12" s="1">
        <f>IFERROR(VLOOKUP($A12,[1]库存使用数据!$A:$E,5,0),0)+IFERROR(VLOOKUP($A12,[2]库存使用数据!$A:$E,5,0),0)+IFERROR(VLOOKUP($A12,[3]库存使用数据!$A:$E,5,0),0)+IFERROR(VLOOKUP($A12,[4]库存使用数据!$A:$E,5,0),0)+IFERROR(VLOOKUP($A12,[5]库存使用数据!$A:$E,5,0),0)</f>
        <v>68106</v>
      </c>
      <c r="F12" s="1">
        <f>IFERROR(VLOOKUP($A12,[1]库存使用数据!$A:$F,6,0),0)+IFERROR(VLOOKUP($A12,[2]库存使用数据!$A:$F,6,0),0)+IFERROR(VLOOKUP($A12,[4]库存使用数据!$A:$F,6,0),0)+IFERROR(VLOOKUP($A12,[3]库存使用数据!$A:$F,6,0),0)+IFERROR(VLOOKUP($A12,[5]库存使用数据!$A:$F,6,0),0)</f>
        <v>289</v>
      </c>
      <c r="G12" s="1">
        <f>IFERROR(VLOOKUP($A12,[1]库存使用数据!$A:$G,7,0),0)+IFERROR(VLOOKUP($A12,[2]库存使用数据!$A:$G,7,0),0)+公式!$B$14*IFERROR(VLOOKUP($A12,[3]库存使用数据!$A:$G,7,0),0)+IFERROR(VLOOKUP($A12,[4]库存使用数据!$A:$G,7,0),0)+IFERROR(VLOOKUP($A12,[5]库存使用数据!$A:$G,7,0),0)</f>
        <v>30.84</v>
      </c>
      <c r="H12" s="1">
        <f>IFERROR(VLOOKUP($A12,[1]库存使用数据!$A:$H,8,0),0)+IFERROR(VLOOKUP($A12,[2]库存使用数据!$A:$H,8,0),0)+IFERROR(VLOOKUP($A12,[3]库存使用数据!$A:$H,8,0),0)+IFERROR(VLOOKUP($A12,[4]库存使用数据!$A:$H,8,0),0)+IFERROR(VLOOKUP($A12,[5]库存使用数据!$A:$H,8,0),0)</f>
        <v>63859</v>
      </c>
      <c r="I12" s="1">
        <f>IFERROR(VLOOKUP($A12,[1]库存使用数据!$A:$I,9,0),0)+IFERROR(VLOOKUP($A12,[2]库存使用数据!$A:$I,9,0),0)+IFERROR(VLOOKUP($A12,[3]库存使用数据!$A:$I,9,0),0)+IFERROR(VLOOKUP($A12,[4]库存使用数据!$A:$I,9,0),0)+IFERROR(VLOOKUP($A12,[5]库存使用数据!$A:$I,9,0),0)</f>
        <v>284</v>
      </c>
      <c r="J12" s="1">
        <f>IFERROR(VLOOKUP($A12,[1]库存使用数据!$A:$J,10,0),0)+IFERROR(VLOOKUP($A12,[2]库存使用数据!$A:$J,10,0),0)+公式!$B$14*IFERROR(VLOOKUP($A12,[3]库存使用数据!$A:$J,10,0),0)+IFERROR(VLOOKUP($A12,[4]库存使用数据!$A:$J,10,0),0)+IFERROR(VLOOKUP($A12,[5]库存使用数据!$A:$J,10,0),0)</f>
        <v>23.92</v>
      </c>
      <c r="K12" s="1">
        <f>IFERROR(VLOOKUP($A12,[1]库存使用数据!$A:$K,11,0),0)+IFERROR(VLOOKUP($A12,[2]库存使用数据!$A:$K,11,0),0)+IFERROR(VLOOKUP($A12,[3]库存使用数据!$A:$K,11,0),0)+IFERROR(VLOOKUP($A12,[4]库存使用数据!$A:$K,11,0),0)+IFERROR(VLOOKUP($A12,[5]库存使用数据!$A:$K,11,0),0)</f>
        <v>44308</v>
      </c>
      <c r="L12" s="1">
        <f>IFERROR(VLOOKUP($A12,[1]库存使用数据!$A:$L,12,0),0)+IFERROR(VLOOKUP($A12,[2]库存使用数据!$A:$L,12,0),0)+IFERROR(VLOOKUP($A12,[3]库存使用数据!$A:$L,12,0),0)+IFERROR(VLOOKUP($A12,[4]库存使用数据!$A:$L,12,0),0)+IFERROR(VLOOKUP($A12,[5]库存使用数据!$A:$L,12,0),0)</f>
        <v>198</v>
      </c>
      <c r="M12" s="1">
        <f>IFERROR(VLOOKUP($A12,[1]库存使用数据!$A:$M,13,0),0)+IFERROR(VLOOKUP($A12,[2]库存使用数据!$A:$M,13,0),0)+公式!$B$14*IFERROR(VLOOKUP($A12,[3]库存使用数据!$A:$M,13,0),0)+IFERROR(VLOOKUP($A12,[4]库存使用数据!$A:$M,13,0),0)+IFERROR(VLOOKUP($A12,[5]库存使用数据!$A:$M,13,0),0)</f>
        <v>18.4</v>
      </c>
    </row>
    <row r="13" spans="1:13">
      <c r="A13" s="5" t="s">
        <v>18</v>
      </c>
      <c r="B13" s="2">
        <f>IFERROR(VLOOKUP(A13,[1]库存使用数据!$A:$B,2,0),0)+IFERROR(VLOOKUP(A13,[2]库存使用数据!$A:$B,2,0),0)+IFERROR(VLOOKUP(,[3]库存使用数据!$A:$B,2,0),0)+IFERROR(VLOOKUP(A13,[4]库存使用数据!$A:$B,2,0),0)+IFERROR(VLOOKUP(A13,[5]库存使用数据!$A:$B,2,0),0)</f>
        <v>18039</v>
      </c>
      <c r="C13" s="1">
        <f>IFERROR(VLOOKUP($A13,[1]库存使用数据!$A:$C,3,0),0)+IFERROR(VLOOKUP($A13,[2]库存使用数据!$A:$C,3,0),0)+IFERROR(VLOOKUP($A13,[3]库存使用数据!$A:$C,3,0),0)+IFERROR(VLOOKUP($A13,[4]库存使用数据!$A:$C,3,0),0)+IFERROR(VLOOKUP($A13,[5]库存使用数据!$A:$C,3,0),0)</f>
        <v>93</v>
      </c>
      <c r="D13" s="1">
        <f>IFERROR(VLOOKUP($A13,[1]库存使用数据!$A:$D,4,0),0)+IFERROR(VLOOKUP($A13,[2]库存使用数据!$A:$D,4,0),0)+公式!$B$1*IFERROR(VLOOKUP($A13,[3]库存使用数据!$A:$D,4,0),0)+IFERROR(VLOOKUP($A13,[4]库存使用数据!$A:$D,4,0),0)+IFERROR(VLOOKUP($A13,[5]库存使用数据!$A:$D,4,0),0)</f>
        <v>12.615</v>
      </c>
      <c r="E13" s="1">
        <f>IFERROR(VLOOKUP($A13,[1]库存使用数据!$A:$E,5,0),0)+IFERROR(VLOOKUP($A13,[2]库存使用数据!$A:$E,5,0),0)+IFERROR(VLOOKUP($A13,[3]库存使用数据!$A:$E,5,0),0)+IFERROR(VLOOKUP($A13,[4]库存使用数据!$A:$E,5,0),0)+IFERROR(VLOOKUP($A13,[5]库存使用数据!$A:$E,5,0),0)</f>
        <v>36318</v>
      </c>
      <c r="F13" s="1">
        <f>IFERROR(VLOOKUP($A13,[1]库存使用数据!$A:$F,6,0),0)+IFERROR(VLOOKUP($A13,[2]库存使用数据!$A:$F,6,0),0)+IFERROR(VLOOKUP($A13,[4]库存使用数据!$A:$F,6,0),0)+IFERROR(VLOOKUP($A13,[3]库存使用数据!$A:$F,6,0),0)+IFERROR(VLOOKUP($A13,[5]库存使用数据!$A:$F,6,0),0)</f>
        <v>124</v>
      </c>
      <c r="G13" s="1">
        <f>IFERROR(VLOOKUP($A13,[1]库存使用数据!$A:$G,7,0),0)+IFERROR(VLOOKUP($A13,[2]库存使用数据!$A:$G,7,0),0)+公式!$B$14*IFERROR(VLOOKUP($A13,[3]库存使用数据!$A:$G,7,0),0)+IFERROR(VLOOKUP($A13,[4]库存使用数据!$A:$G,7,0),0)+IFERROR(VLOOKUP($A13,[5]库存使用数据!$A:$G,7,0),0)</f>
        <v>15.18</v>
      </c>
      <c r="H13" s="1">
        <f>IFERROR(VLOOKUP($A13,[1]库存使用数据!$A:$H,8,0),0)+IFERROR(VLOOKUP($A13,[2]库存使用数据!$A:$H,8,0),0)+IFERROR(VLOOKUP($A13,[3]库存使用数据!$A:$H,8,0),0)+IFERROR(VLOOKUP($A13,[4]库存使用数据!$A:$H,8,0),0)+IFERROR(VLOOKUP($A13,[5]库存使用数据!$A:$H,8,0),0)</f>
        <v>36634</v>
      </c>
      <c r="I13" s="1">
        <f>IFERROR(VLOOKUP($A13,[1]库存使用数据!$A:$I,9,0),0)+IFERROR(VLOOKUP($A13,[2]库存使用数据!$A:$I,9,0),0)+IFERROR(VLOOKUP($A13,[3]库存使用数据!$A:$I,9,0),0)+IFERROR(VLOOKUP($A13,[4]库存使用数据!$A:$I,9,0),0)+IFERROR(VLOOKUP($A13,[5]库存使用数据!$A:$I,9,0),0)</f>
        <v>110</v>
      </c>
      <c r="J13" s="1">
        <f>IFERROR(VLOOKUP($A13,[1]库存使用数据!$A:$J,10,0),0)+IFERROR(VLOOKUP($A13,[2]库存使用数据!$A:$J,10,0),0)+公式!$B$14*IFERROR(VLOOKUP($A13,[3]库存使用数据!$A:$J,10,0),0)+IFERROR(VLOOKUP($A13,[4]库存使用数据!$A:$J,10,0),0)+IFERROR(VLOOKUP($A13,[5]库存使用数据!$A:$J,10,0),0)</f>
        <v>14.42</v>
      </c>
      <c r="K13" s="1">
        <f>IFERROR(VLOOKUP($A13,[1]库存使用数据!$A:$K,11,0),0)+IFERROR(VLOOKUP($A13,[2]库存使用数据!$A:$K,11,0),0)+IFERROR(VLOOKUP($A13,[3]库存使用数据!$A:$K,11,0),0)+IFERROR(VLOOKUP($A13,[4]库存使用数据!$A:$K,11,0),0)+IFERROR(VLOOKUP($A13,[5]库存使用数据!$A:$K,11,0),0)</f>
        <v>35665</v>
      </c>
      <c r="L13" s="1">
        <f>IFERROR(VLOOKUP($A13,[1]库存使用数据!$A:$L,12,0),0)+IFERROR(VLOOKUP($A13,[2]库存使用数据!$A:$L,12,0),0)+IFERROR(VLOOKUP($A13,[3]库存使用数据!$A:$L,12,0),0)+IFERROR(VLOOKUP($A13,[4]库存使用数据!$A:$L,12,0),0)+IFERROR(VLOOKUP($A13,[5]库存使用数据!$A:$L,12,0),0)</f>
        <v>127</v>
      </c>
      <c r="M13" s="1">
        <f>IFERROR(VLOOKUP($A13,[1]库存使用数据!$A:$M,13,0),0)+IFERROR(VLOOKUP($A13,[2]库存使用数据!$A:$M,13,0),0)+公式!$B$14*IFERROR(VLOOKUP($A13,[3]库存使用数据!$A:$M,13,0),0)+IFERROR(VLOOKUP($A13,[4]库存使用数据!$A:$M,13,0),0)+IFERROR(VLOOKUP($A13,[5]库存使用数据!$A:$M,13,0),0)</f>
        <v>16.41</v>
      </c>
    </row>
    <row r="14" spans="1:13">
      <c r="A14" s="5" t="s">
        <v>19</v>
      </c>
      <c r="B14" s="2">
        <f>IFERROR(VLOOKUP(A14,[1]库存使用数据!$A:$B,2,0),0)+IFERROR(VLOOKUP(A14,[2]库存使用数据!$A:$B,2,0),0)+IFERROR(VLOOKUP(,[3]库存使用数据!$A:$B,2,0),0)+IFERROR(VLOOKUP(A14,[4]库存使用数据!$A:$B,2,0),0)+IFERROR(VLOOKUP(A14,[5]库存使用数据!$A:$B,2,0),0)</f>
        <v>9484</v>
      </c>
      <c r="C14" s="1">
        <f>IFERROR(VLOOKUP($A14,[1]库存使用数据!$A:$C,3,0),0)+IFERROR(VLOOKUP($A14,[2]库存使用数据!$A:$C,3,0),0)+IFERROR(VLOOKUP($A14,[3]库存使用数据!$A:$C,3,0),0)+IFERROR(VLOOKUP($A14,[4]库存使用数据!$A:$C,3,0),0)+IFERROR(VLOOKUP($A14,[5]库存使用数据!$A:$C,3,0),0)</f>
        <v>34</v>
      </c>
      <c r="D14" s="1">
        <f>IFERROR(VLOOKUP($A14,[1]库存使用数据!$A:$D,4,0),0)+IFERROR(VLOOKUP($A14,[2]库存使用数据!$A:$D,4,0),0)+公式!$B$1*IFERROR(VLOOKUP($A14,[3]库存使用数据!$A:$D,4,0),0)+IFERROR(VLOOKUP($A14,[4]库存使用数据!$A:$D,4,0),0)+IFERROR(VLOOKUP($A14,[5]库存使用数据!$A:$D,4,0),0)</f>
        <v>5.13625</v>
      </c>
      <c r="E14" s="1">
        <f>IFERROR(VLOOKUP($A14,[1]库存使用数据!$A:$E,5,0),0)+IFERROR(VLOOKUP($A14,[2]库存使用数据!$A:$E,5,0),0)+IFERROR(VLOOKUP($A14,[3]库存使用数据!$A:$E,5,0),0)+IFERROR(VLOOKUP($A14,[4]库存使用数据!$A:$E,5,0),0)+IFERROR(VLOOKUP($A14,[5]库存使用数据!$A:$E,5,0),0)</f>
        <v>24816</v>
      </c>
      <c r="F14" s="1">
        <f>IFERROR(VLOOKUP($A14,[1]库存使用数据!$A:$F,6,0),0)+IFERROR(VLOOKUP($A14,[2]库存使用数据!$A:$F,6,0),0)+IFERROR(VLOOKUP($A14,[4]库存使用数据!$A:$F,6,0),0)+IFERROR(VLOOKUP($A14,[3]库存使用数据!$A:$F,6,0),0)+IFERROR(VLOOKUP($A14,[5]库存使用数据!$A:$F,6,0),0)</f>
        <v>88</v>
      </c>
      <c r="G14" s="1">
        <f>IFERROR(VLOOKUP($A14,[1]库存使用数据!$A:$G,7,0),0)+IFERROR(VLOOKUP($A14,[2]库存使用数据!$A:$G,7,0),0)+公式!$B$14*IFERROR(VLOOKUP($A14,[3]库存使用数据!$A:$G,7,0),0)+IFERROR(VLOOKUP($A14,[4]库存使用数据!$A:$G,7,0),0)+IFERROR(VLOOKUP($A14,[5]库存使用数据!$A:$G,7,0),0)</f>
        <v>10.57</v>
      </c>
      <c r="H14" s="1">
        <f>IFERROR(VLOOKUP($A14,[1]库存使用数据!$A:$H,8,0),0)+IFERROR(VLOOKUP($A14,[2]库存使用数据!$A:$H,8,0),0)+IFERROR(VLOOKUP($A14,[3]库存使用数据!$A:$H,8,0),0)+IFERROR(VLOOKUP($A14,[4]库存使用数据!$A:$H,8,0),0)+IFERROR(VLOOKUP($A14,[5]库存使用数据!$A:$H,8,0),0)</f>
        <v>22702</v>
      </c>
      <c r="I14" s="1">
        <f>IFERROR(VLOOKUP($A14,[1]库存使用数据!$A:$I,9,0),0)+IFERROR(VLOOKUP($A14,[2]库存使用数据!$A:$I,9,0),0)+IFERROR(VLOOKUP($A14,[3]库存使用数据!$A:$I,9,0),0)+IFERROR(VLOOKUP($A14,[4]库存使用数据!$A:$I,9,0),0)+IFERROR(VLOOKUP($A14,[5]库存使用数据!$A:$I,9,0),0)</f>
        <v>62</v>
      </c>
      <c r="J14" s="1">
        <f>IFERROR(VLOOKUP($A14,[1]库存使用数据!$A:$J,10,0),0)+IFERROR(VLOOKUP($A14,[2]库存使用数据!$A:$J,10,0),0)+公式!$B$14*IFERROR(VLOOKUP($A14,[3]库存使用数据!$A:$J,10,0),0)+IFERROR(VLOOKUP($A14,[4]库存使用数据!$A:$J,10,0),0)+IFERROR(VLOOKUP($A14,[5]库存使用数据!$A:$J,10,0),0)</f>
        <v>5.21</v>
      </c>
      <c r="K14" s="1">
        <f>IFERROR(VLOOKUP($A14,[1]库存使用数据!$A:$K,11,0),0)+IFERROR(VLOOKUP($A14,[2]库存使用数据!$A:$K,11,0),0)+IFERROR(VLOOKUP($A14,[3]库存使用数据!$A:$K,11,0),0)+IFERROR(VLOOKUP($A14,[4]库存使用数据!$A:$K,11,0),0)+IFERROR(VLOOKUP($A14,[5]库存使用数据!$A:$K,11,0),0)</f>
        <v>21170</v>
      </c>
      <c r="L14" s="1">
        <f>IFERROR(VLOOKUP($A14,[1]库存使用数据!$A:$L,12,0),0)+IFERROR(VLOOKUP($A14,[2]库存使用数据!$A:$L,12,0),0)+IFERROR(VLOOKUP($A14,[3]库存使用数据!$A:$L,12,0),0)+IFERROR(VLOOKUP($A14,[4]库存使用数据!$A:$L,12,0),0)+IFERROR(VLOOKUP($A14,[5]库存使用数据!$A:$L,12,0),0)</f>
        <v>48</v>
      </c>
      <c r="M14" s="1">
        <f>IFERROR(VLOOKUP($A14,[1]库存使用数据!$A:$M,13,0),0)+IFERROR(VLOOKUP($A14,[2]库存使用数据!$A:$M,13,0),0)+公式!$B$14*IFERROR(VLOOKUP($A14,[3]库存使用数据!$A:$M,13,0),0)+IFERROR(VLOOKUP($A14,[4]库存使用数据!$A:$M,13,0),0)+IFERROR(VLOOKUP($A14,[5]库存使用数据!$A:$M,13,0),0)</f>
        <v>6.19</v>
      </c>
    </row>
    <row r="15" spans="1:13">
      <c r="A15" s="5" t="s">
        <v>20</v>
      </c>
      <c r="B15" s="2">
        <f>IFERROR(VLOOKUP(A15,[1]库存使用数据!$A:$B,2,0),0)+IFERROR(VLOOKUP(A15,[2]库存使用数据!$A:$B,2,0),0)+IFERROR(VLOOKUP(,[3]库存使用数据!$A:$B,2,0),0)+IFERROR(VLOOKUP(A15,[4]库存使用数据!$A:$B,2,0),0)+IFERROR(VLOOKUP(A15,[5]库存使用数据!$A:$B,2,0),0)</f>
        <v>197768</v>
      </c>
      <c r="C15" s="1">
        <f>IFERROR(VLOOKUP($A15,[1]库存使用数据!$A:$C,3,0),0)+IFERROR(VLOOKUP($A15,[2]库存使用数据!$A:$C,3,0),0)+IFERROR(VLOOKUP($A15,[3]库存使用数据!$A:$C,3,0),0)+IFERROR(VLOOKUP($A15,[4]库存使用数据!$A:$C,3,0),0)+IFERROR(VLOOKUP($A15,[5]库存使用数据!$A:$C,3,0),0)</f>
        <v>953</v>
      </c>
      <c r="D15" s="1">
        <f>IFERROR(VLOOKUP($A15,[1]库存使用数据!$A:$D,4,0),0)+IFERROR(VLOOKUP($A15,[2]库存使用数据!$A:$D,4,0),0)+公式!$B$1*IFERROR(VLOOKUP($A15,[3]库存使用数据!$A:$D,4,0),0)+IFERROR(VLOOKUP($A15,[4]库存使用数据!$A:$D,4,0),0)+IFERROR(VLOOKUP($A15,[5]库存使用数据!$A:$D,4,0),0)</f>
        <v>151.0325</v>
      </c>
      <c r="E15" s="1">
        <f>IFERROR(VLOOKUP($A15,[1]库存使用数据!$A:$E,5,0),0)+IFERROR(VLOOKUP($A15,[2]库存使用数据!$A:$E,5,0),0)+IFERROR(VLOOKUP($A15,[3]库存使用数据!$A:$E,5,0),0)+IFERROR(VLOOKUP($A15,[4]库存使用数据!$A:$E,5,0),0)+IFERROR(VLOOKUP($A15,[5]库存使用数据!$A:$E,5,0),0)</f>
        <v>166096</v>
      </c>
      <c r="F15" s="1">
        <f>IFERROR(VLOOKUP($A15,[1]库存使用数据!$A:$F,6,0),0)+IFERROR(VLOOKUP($A15,[2]库存使用数据!$A:$F,6,0),0)+IFERROR(VLOOKUP($A15,[4]库存使用数据!$A:$F,6,0),0)+IFERROR(VLOOKUP($A15,[3]库存使用数据!$A:$F,6,0),0)+IFERROR(VLOOKUP($A15,[5]库存使用数据!$A:$F,6,0),0)</f>
        <v>913</v>
      </c>
      <c r="G15" s="1">
        <f>IFERROR(VLOOKUP($A15,[1]库存使用数据!$A:$G,7,0),0)+IFERROR(VLOOKUP($A15,[2]库存使用数据!$A:$G,7,0),0)+公式!$B$14*IFERROR(VLOOKUP($A15,[3]库存使用数据!$A:$G,7,0),0)+IFERROR(VLOOKUP($A15,[4]库存使用数据!$A:$G,7,0),0)+IFERROR(VLOOKUP($A15,[5]库存使用数据!$A:$G,7,0),0)</f>
        <v>112.64</v>
      </c>
      <c r="H15" s="1">
        <f>IFERROR(VLOOKUP($A15,[1]库存使用数据!$A:$H,8,0),0)+IFERROR(VLOOKUP($A15,[2]库存使用数据!$A:$H,8,0),0)+IFERROR(VLOOKUP($A15,[3]库存使用数据!$A:$H,8,0),0)+IFERROR(VLOOKUP($A15,[4]库存使用数据!$A:$H,8,0),0)+IFERROR(VLOOKUP($A15,[5]库存使用数据!$A:$H,8,0),0)</f>
        <v>169258</v>
      </c>
      <c r="I15" s="1">
        <f>IFERROR(VLOOKUP($A15,[1]库存使用数据!$A:$I,9,0),0)+IFERROR(VLOOKUP($A15,[2]库存使用数据!$A:$I,9,0),0)+IFERROR(VLOOKUP($A15,[3]库存使用数据!$A:$I,9,0),0)+IFERROR(VLOOKUP($A15,[4]库存使用数据!$A:$I,9,0),0)+IFERROR(VLOOKUP($A15,[5]库存使用数据!$A:$I,9,0),0)</f>
        <v>784</v>
      </c>
      <c r="J15" s="1">
        <f>IFERROR(VLOOKUP($A15,[1]库存使用数据!$A:$J,10,0),0)+IFERROR(VLOOKUP($A15,[2]库存使用数据!$A:$J,10,0),0)+公式!$B$14*IFERROR(VLOOKUP($A15,[3]库存使用数据!$A:$J,10,0),0)+IFERROR(VLOOKUP($A15,[4]库存使用数据!$A:$J,10,0),0)+IFERROR(VLOOKUP($A15,[5]库存使用数据!$A:$J,10,0),0)</f>
        <v>105.09</v>
      </c>
      <c r="K15" s="1">
        <f>IFERROR(VLOOKUP($A15,[1]库存使用数据!$A:$K,11,0),0)+IFERROR(VLOOKUP($A15,[2]库存使用数据!$A:$K,11,0),0)+IFERROR(VLOOKUP($A15,[3]库存使用数据!$A:$K,11,0),0)+IFERROR(VLOOKUP($A15,[4]库存使用数据!$A:$K,11,0),0)+IFERROR(VLOOKUP($A15,[5]库存使用数据!$A:$K,11,0),0)</f>
        <v>134329</v>
      </c>
      <c r="L15" s="1">
        <f>IFERROR(VLOOKUP($A15,[1]库存使用数据!$A:$L,12,0),0)+IFERROR(VLOOKUP($A15,[2]库存使用数据!$A:$L,12,0),0)+IFERROR(VLOOKUP($A15,[3]库存使用数据!$A:$L,12,0),0)+IFERROR(VLOOKUP($A15,[4]库存使用数据!$A:$L,12,0),0)+IFERROR(VLOOKUP($A15,[5]库存使用数据!$A:$L,12,0),0)</f>
        <v>618</v>
      </c>
      <c r="M15" s="1">
        <f>IFERROR(VLOOKUP($A15,[1]库存使用数据!$A:$M,13,0),0)+IFERROR(VLOOKUP($A15,[2]库存使用数据!$A:$M,13,0),0)+公式!$B$14*IFERROR(VLOOKUP($A15,[3]库存使用数据!$A:$M,13,0),0)+IFERROR(VLOOKUP($A15,[4]库存使用数据!$A:$M,13,0),0)+IFERROR(VLOOKUP($A15,[5]库存使用数据!$A:$M,13,0),0)</f>
        <v>81.8</v>
      </c>
    </row>
    <row r="16" spans="1:13">
      <c r="A16" s="5" t="s">
        <v>21</v>
      </c>
      <c r="B16" s="2">
        <f>IFERROR(VLOOKUP(A16,[1]库存使用数据!$A:$B,2,0),0)+IFERROR(VLOOKUP(A16,[2]库存使用数据!$A:$B,2,0),0)+IFERROR(VLOOKUP(,[3]库存使用数据!$A:$B,2,0),0)+IFERROR(VLOOKUP(A16,[4]库存使用数据!$A:$B,2,0),0)+IFERROR(VLOOKUP(A16,[5]库存使用数据!$A:$B,2,0),0)</f>
        <v>43755</v>
      </c>
      <c r="C16" s="1">
        <f>IFERROR(VLOOKUP($A16,[1]库存使用数据!$A:$C,3,0),0)+IFERROR(VLOOKUP($A16,[2]库存使用数据!$A:$C,3,0),0)+IFERROR(VLOOKUP($A16,[3]库存使用数据!$A:$C,3,0),0)+IFERROR(VLOOKUP($A16,[4]库存使用数据!$A:$C,3,0),0)+IFERROR(VLOOKUP($A16,[5]库存使用数据!$A:$C,3,0),0)</f>
        <v>480</v>
      </c>
      <c r="D16" s="1">
        <f>IFERROR(VLOOKUP($A16,[1]库存使用数据!$A:$D,4,0),0)+IFERROR(VLOOKUP($A16,[2]库存使用数据!$A:$D,4,0),0)+公式!$B$1*IFERROR(VLOOKUP($A16,[3]库存使用数据!$A:$D,4,0),0)+IFERROR(VLOOKUP($A16,[4]库存使用数据!$A:$D,4,0),0)+IFERROR(VLOOKUP($A16,[5]库存使用数据!$A:$D,4,0),0)</f>
        <v>72.31</v>
      </c>
      <c r="E16" s="1">
        <f>IFERROR(VLOOKUP($A16,[1]库存使用数据!$A:$E,5,0),0)+IFERROR(VLOOKUP($A16,[2]库存使用数据!$A:$E,5,0),0)+IFERROR(VLOOKUP($A16,[3]库存使用数据!$A:$E,5,0),0)+IFERROR(VLOOKUP($A16,[4]库存使用数据!$A:$E,5,0),0)+IFERROR(VLOOKUP($A16,[5]库存使用数据!$A:$E,5,0),0)</f>
        <v>43629</v>
      </c>
      <c r="F16" s="1">
        <f>IFERROR(VLOOKUP($A16,[1]库存使用数据!$A:$F,6,0),0)+IFERROR(VLOOKUP($A16,[2]库存使用数据!$A:$F,6,0),0)+IFERROR(VLOOKUP($A16,[4]库存使用数据!$A:$F,6,0),0)+IFERROR(VLOOKUP($A16,[3]库存使用数据!$A:$F,6,0),0)+IFERROR(VLOOKUP($A16,[5]库存使用数据!$A:$F,6,0),0)</f>
        <v>568</v>
      </c>
      <c r="G16" s="1">
        <f>IFERROR(VLOOKUP($A16,[1]库存使用数据!$A:$G,7,0),0)+IFERROR(VLOOKUP($A16,[2]库存使用数据!$A:$G,7,0),0)+公式!$B$14*IFERROR(VLOOKUP($A16,[3]库存使用数据!$A:$G,7,0),0)+IFERROR(VLOOKUP($A16,[4]库存使用数据!$A:$G,7,0),0)+IFERROR(VLOOKUP($A16,[5]库存使用数据!$A:$G,7,0),0)</f>
        <v>96.51</v>
      </c>
      <c r="H16" s="1">
        <f>IFERROR(VLOOKUP($A16,[1]库存使用数据!$A:$H,8,0),0)+IFERROR(VLOOKUP($A16,[2]库存使用数据!$A:$H,8,0),0)+IFERROR(VLOOKUP($A16,[3]库存使用数据!$A:$H,8,0),0)+IFERROR(VLOOKUP($A16,[4]库存使用数据!$A:$H,8,0),0)+IFERROR(VLOOKUP($A16,[5]库存使用数据!$A:$H,8,0),0)</f>
        <v>44667</v>
      </c>
      <c r="I16" s="1">
        <f>IFERROR(VLOOKUP($A16,[1]库存使用数据!$A:$I,9,0),0)+IFERROR(VLOOKUP($A16,[2]库存使用数据!$A:$I,9,0),0)+IFERROR(VLOOKUP($A16,[3]库存使用数据!$A:$I,9,0),0)+IFERROR(VLOOKUP($A16,[4]库存使用数据!$A:$I,9,0),0)+IFERROR(VLOOKUP($A16,[5]库存使用数据!$A:$I,9,0),0)</f>
        <v>551</v>
      </c>
      <c r="J16" s="1">
        <f>IFERROR(VLOOKUP($A16,[1]库存使用数据!$A:$J,10,0),0)+IFERROR(VLOOKUP($A16,[2]库存使用数据!$A:$J,10,0),0)+公式!$B$14*IFERROR(VLOOKUP($A16,[3]库存使用数据!$A:$J,10,0),0)+IFERROR(VLOOKUP($A16,[4]库存使用数据!$A:$J,10,0),0)+IFERROR(VLOOKUP($A16,[5]库存使用数据!$A:$J,10,0),0)</f>
        <v>89.81</v>
      </c>
      <c r="K16" s="1">
        <f>IFERROR(VLOOKUP($A16,[1]库存使用数据!$A:$K,11,0),0)+IFERROR(VLOOKUP($A16,[2]库存使用数据!$A:$K,11,0),0)+IFERROR(VLOOKUP($A16,[3]库存使用数据!$A:$K,11,0),0)+IFERROR(VLOOKUP($A16,[4]库存使用数据!$A:$K,11,0),0)+IFERROR(VLOOKUP($A16,[5]库存使用数据!$A:$K,11,0),0)</f>
        <v>69768</v>
      </c>
      <c r="L16" s="1">
        <f>IFERROR(VLOOKUP($A16,[1]库存使用数据!$A:$L,12,0),0)+IFERROR(VLOOKUP($A16,[2]库存使用数据!$A:$L,12,0),0)+IFERROR(VLOOKUP($A16,[3]库存使用数据!$A:$L,12,0),0)+IFERROR(VLOOKUP($A16,[4]库存使用数据!$A:$L,12,0),0)+IFERROR(VLOOKUP($A16,[5]库存使用数据!$A:$L,12,0),0)</f>
        <v>569</v>
      </c>
      <c r="M16" s="1">
        <f>IFERROR(VLOOKUP($A16,[1]库存使用数据!$A:$M,13,0),0)+IFERROR(VLOOKUP($A16,[2]库存使用数据!$A:$M,13,0),0)+公式!$B$14*IFERROR(VLOOKUP($A16,[3]库存使用数据!$A:$M,13,0),0)+IFERROR(VLOOKUP($A16,[4]库存使用数据!$A:$M,13,0),0)+IFERROR(VLOOKUP($A16,[5]库存使用数据!$A:$M,13,0),0)</f>
        <v>78.51</v>
      </c>
    </row>
    <row r="17" spans="1:13">
      <c r="A17" s="5" t="s">
        <v>22</v>
      </c>
      <c r="B17" s="2">
        <f>IFERROR(VLOOKUP(A17,[1]库存使用数据!$A:$B,2,0),0)+IFERROR(VLOOKUP(A17,[2]库存使用数据!$A:$B,2,0),0)+IFERROR(VLOOKUP(,[3]库存使用数据!$A:$B,2,0),0)+IFERROR(VLOOKUP(A17,[4]库存使用数据!$A:$B,2,0),0)+IFERROR(VLOOKUP(A17,[5]库存使用数据!$A:$B,2,0),0)</f>
        <v>35833</v>
      </c>
      <c r="C17" s="1">
        <f>IFERROR(VLOOKUP($A17,[1]库存使用数据!$A:$C,3,0),0)+IFERROR(VLOOKUP($A17,[2]库存使用数据!$A:$C,3,0),0)+IFERROR(VLOOKUP($A17,[3]库存使用数据!$A:$C,3,0),0)+IFERROR(VLOOKUP($A17,[4]库存使用数据!$A:$C,3,0),0)+IFERROR(VLOOKUP($A17,[5]库存使用数据!$A:$C,3,0),0)</f>
        <v>221</v>
      </c>
      <c r="D17" s="1">
        <f>IFERROR(VLOOKUP($A17,[1]库存使用数据!$A:$D,4,0),0)+IFERROR(VLOOKUP($A17,[2]库存使用数据!$A:$D,4,0),0)+公式!$B$1*IFERROR(VLOOKUP($A17,[3]库存使用数据!$A:$D,4,0),0)+IFERROR(VLOOKUP($A17,[4]库存使用数据!$A:$D,4,0),0)+IFERROR(VLOOKUP($A17,[5]库存使用数据!$A:$D,4,0),0)</f>
        <v>39.0325</v>
      </c>
      <c r="E17" s="1">
        <f>IFERROR(VLOOKUP($A17,[1]库存使用数据!$A:$E,5,0),0)+IFERROR(VLOOKUP($A17,[2]库存使用数据!$A:$E,5,0),0)+IFERROR(VLOOKUP($A17,[3]库存使用数据!$A:$E,5,0),0)+IFERROR(VLOOKUP($A17,[4]库存使用数据!$A:$E,5,0),0)+IFERROR(VLOOKUP($A17,[5]库存使用数据!$A:$E,5,0),0)</f>
        <v>51130</v>
      </c>
      <c r="F17" s="1">
        <f>IFERROR(VLOOKUP($A17,[1]库存使用数据!$A:$F,6,0),0)+IFERROR(VLOOKUP($A17,[2]库存使用数据!$A:$F,6,0),0)+IFERROR(VLOOKUP($A17,[4]库存使用数据!$A:$F,6,0),0)+IFERROR(VLOOKUP($A17,[3]库存使用数据!$A:$F,6,0),0)+IFERROR(VLOOKUP($A17,[5]库存使用数据!$A:$F,6,0),0)</f>
        <v>274</v>
      </c>
      <c r="G17" s="1">
        <f>IFERROR(VLOOKUP($A17,[1]库存使用数据!$A:$G,7,0),0)+IFERROR(VLOOKUP($A17,[2]库存使用数据!$A:$G,7,0),0)+公式!$B$14*IFERROR(VLOOKUP($A17,[3]库存使用数据!$A:$G,7,0),0)+IFERROR(VLOOKUP($A17,[4]库存使用数据!$A:$G,7,0),0)+IFERROR(VLOOKUP($A17,[5]库存使用数据!$A:$G,7,0),0)</f>
        <v>26.43</v>
      </c>
      <c r="H17" s="1">
        <f>IFERROR(VLOOKUP($A17,[1]库存使用数据!$A:$H,8,0),0)+IFERROR(VLOOKUP($A17,[2]库存使用数据!$A:$H,8,0),0)+IFERROR(VLOOKUP($A17,[3]库存使用数据!$A:$H,8,0),0)+IFERROR(VLOOKUP($A17,[4]库存使用数据!$A:$H,8,0),0)+IFERROR(VLOOKUP($A17,[5]库存使用数据!$A:$H,8,0),0)</f>
        <v>47967</v>
      </c>
      <c r="I17" s="1">
        <f>IFERROR(VLOOKUP($A17,[1]库存使用数据!$A:$I,9,0),0)+IFERROR(VLOOKUP($A17,[2]库存使用数据!$A:$I,9,0),0)+IFERROR(VLOOKUP($A17,[3]库存使用数据!$A:$I,9,0),0)+IFERROR(VLOOKUP($A17,[4]库存使用数据!$A:$I,9,0),0)+IFERROR(VLOOKUP($A17,[5]库存使用数据!$A:$I,9,0),0)</f>
        <v>239</v>
      </c>
      <c r="J17" s="1">
        <f>IFERROR(VLOOKUP($A17,[1]库存使用数据!$A:$J,10,0),0)+IFERROR(VLOOKUP($A17,[2]库存使用数据!$A:$J,10,0),0)+公式!$B$14*IFERROR(VLOOKUP($A17,[3]库存使用数据!$A:$J,10,0),0)+IFERROR(VLOOKUP($A17,[4]库存使用数据!$A:$J,10,0),0)+IFERROR(VLOOKUP($A17,[5]库存使用数据!$A:$J,10,0),0)</f>
        <v>23.45</v>
      </c>
      <c r="K17" s="1">
        <f>IFERROR(VLOOKUP($A17,[1]库存使用数据!$A:$K,11,0),0)+IFERROR(VLOOKUP($A17,[2]库存使用数据!$A:$K,11,0),0)+IFERROR(VLOOKUP($A17,[3]库存使用数据!$A:$K,11,0),0)+IFERROR(VLOOKUP($A17,[4]库存使用数据!$A:$K,11,0),0)+IFERROR(VLOOKUP($A17,[5]库存使用数据!$A:$K,11,0),0)</f>
        <v>59160</v>
      </c>
      <c r="L17" s="1">
        <f>IFERROR(VLOOKUP($A17,[1]库存使用数据!$A:$L,12,0),0)+IFERROR(VLOOKUP($A17,[2]库存使用数据!$A:$L,12,0),0)+IFERROR(VLOOKUP($A17,[3]库存使用数据!$A:$L,12,0),0)+IFERROR(VLOOKUP($A17,[4]库存使用数据!$A:$L,12,0),0)+IFERROR(VLOOKUP($A17,[5]库存使用数据!$A:$L,12,0),0)</f>
        <v>301</v>
      </c>
      <c r="M17" s="1">
        <f>IFERROR(VLOOKUP($A17,[1]库存使用数据!$A:$M,13,0),0)+IFERROR(VLOOKUP($A17,[2]库存使用数据!$A:$M,13,0),0)+公式!$B$14*IFERROR(VLOOKUP($A17,[3]库存使用数据!$A:$M,13,0),0)+IFERROR(VLOOKUP($A17,[4]库存使用数据!$A:$M,13,0),0)+IFERROR(VLOOKUP($A17,[5]库存使用数据!$A:$M,13,0),0)</f>
        <v>30.78</v>
      </c>
    </row>
    <row r="18" spans="1:13">
      <c r="A18" s="5" t="s">
        <v>23</v>
      </c>
      <c r="B18" s="2">
        <f>IFERROR(VLOOKUP(A18,[1]库存使用数据!$A:$B,2,0),0)+IFERROR(VLOOKUP(A18,[2]库存使用数据!$A:$B,2,0),0)+IFERROR(VLOOKUP(,[3]库存使用数据!$A:$B,2,0),0)+IFERROR(VLOOKUP(A18,[4]库存使用数据!$A:$B,2,0),0)+IFERROR(VLOOKUP(A18,[5]库存使用数据!$A:$B,2,0),0)</f>
        <v>116092</v>
      </c>
      <c r="C18" s="1">
        <f>IFERROR(VLOOKUP($A18,[1]库存使用数据!$A:$C,3,0),0)+IFERROR(VLOOKUP($A18,[2]库存使用数据!$A:$C,3,0),0)+IFERROR(VLOOKUP($A18,[3]库存使用数据!$A:$C,3,0),0)+IFERROR(VLOOKUP($A18,[4]库存使用数据!$A:$C,3,0),0)+IFERROR(VLOOKUP($A18,[5]库存使用数据!$A:$C,3,0),0)</f>
        <v>956</v>
      </c>
      <c r="D18" s="1">
        <f>IFERROR(VLOOKUP($A18,[1]库存使用数据!$A:$D,4,0),0)+IFERROR(VLOOKUP($A18,[2]库存使用数据!$A:$D,4,0),0)+公式!$B$1*IFERROR(VLOOKUP($A18,[3]库存使用数据!$A:$D,4,0),0)+IFERROR(VLOOKUP($A18,[4]库存使用数据!$A:$D,4,0),0)+IFERROR(VLOOKUP($A18,[5]库存使用数据!$A:$D,4,0),0)</f>
        <v>138.24375</v>
      </c>
      <c r="E18" s="1">
        <f>IFERROR(VLOOKUP($A18,[1]库存使用数据!$A:$E,5,0),0)+IFERROR(VLOOKUP($A18,[2]库存使用数据!$A:$E,5,0),0)+IFERROR(VLOOKUP($A18,[3]库存使用数据!$A:$E,5,0),0)+IFERROR(VLOOKUP($A18,[4]库存使用数据!$A:$E,5,0),0)+IFERROR(VLOOKUP($A18,[5]库存使用数据!$A:$E,5,0),0)</f>
        <v>130959</v>
      </c>
      <c r="F18" s="1">
        <f>IFERROR(VLOOKUP($A18,[1]库存使用数据!$A:$F,6,0),0)+IFERROR(VLOOKUP($A18,[2]库存使用数据!$A:$F,6,0),0)+IFERROR(VLOOKUP($A18,[4]库存使用数据!$A:$F,6,0),0)+IFERROR(VLOOKUP($A18,[3]库存使用数据!$A:$F,6,0),0)+IFERROR(VLOOKUP($A18,[5]库存使用数据!$A:$F,6,0),0)</f>
        <v>816</v>
      </c>
      <c r="G18" s="1">
        <f>IFERROR(VLOOKUP($A18,[1]库存使用数据!$A:$G,7,0),0)+IFERROR(VLOOKUP($A18,[2]库存使用数据!$A:$G,7,0),0)+公式!$B$14*IFERROR(VLOOKUP($A18,[3]库存使用数据!$A:$G,7,0),0)+IFERROR(VLOOKUP($A18,[4]库存使用数据!$A:$G,7,0),0)+IFERROR(VLOOKUP($A18,[5]库存使用数据!$A:$G,7,0),0)</f>
        <v>91.75</v>
      </c>
      <c r="H18" s="1">
        <f>IFERROR(VLOOKUP($A18,[1]库存使用数据!$A:$H,8,0),0)+IFERROR(VLOOKUP($A18,[2]库存使用数据!$A:$H,8,0),0)+IFERROR(VLOOKUP($A18,[3]库存使用数据!$A:$H,8,0),0)+IFERROR(VLOOKUP($A18,[4]库存使用数据!$A:$H,8,0),0)+IFERROR(VLOOKUP($A18,[5]库存使用数据!$A:$H,8,0),0)</f>
        <v>147496</v>
      </c>
      <c r="I18" s="1">
        <f>IFERROR(VLOOKUP($A18,[1]库存使用数据!$A:$I,9,0),0)+IFERROR(VLOOKUP($A18,[2]库存使用数据!$A:$I,9,0),0)+IFERROR(VLOOKUP($A18,[3]库存使用数据!$A:$I,9,0),0)+IFERROR(VLOOKUP($A18,[4]库存使用数据!$A:$I,9,0),0)+IFERROR(VLOOKUP($A18,[5]库存使用数据!$A:$I,9,0),0)</f>
        <v>775</v>
      </c>
      <c r="J18" s="1">
        <f>IFERROR(VLOOKUP($A18,[1]库存使用数据!$A:$J,10,0),0)+IFERROR(VLOOKUP($A18,[2]库存使用数据!$A:$J,10,0),0)+公式!$B$14*IFERROR(VLOOKUP($A18,[3]库存使用数据!$A:$J,10,0),0)+IFERROR(VLOOKUP($A18,[4]库存使用数据!$A:$J,10,0),0)+IFERROR(VLOOKUP($A18,[5]库存使用数据!$A:$J,10,0),0)</f>
        <v>85.77</v>
      </c>
      <c r="K18" s="1">
        <f>IFERROR(VLOOKUP($A18,[1]库存使用数据!$A:$K,11,0),0)+IFERROR(VLOOKUP($A18,[2]库存使用数据!$A:$K,11,0),0)+IFERROR(VLOOKUP($A18,[3]库存使用数据!$A:$K,11,0),0)+IFERROR(VLOOKUP($A18,[4]库存使用数据!$A:$K,11,0),0)+IFERROR(VLOOKUP($A18,[5]库存使用数据!$A:$K,11,0),0)</f>
        <v>101273</v>
      </c>
      <c r="L18" s="1">
        <f>IFERROR(VLOOKUP($A18,[1]库存使用数据!$A:$L,12,0),0)+IFERROR(VLOOKUP($A18,[2]库存使用数据!$A:$L,12,0),0)+IFERROR(VLOOKUP($A18,[3]库存使用数据!$A:$L,12,0),0)+IFERROR(VLOOKUP($A18,[4]库存使用数据!$A:$L,12,0),0)+IFERROR(VLOOKUP($A18,[5]库存使用数据!$A:$L,12,0),0)</f>
        <v>648</v>
      </c>
      <c r="M18" s="1">
        <f>IFERROR(VLOOKUP($A18,[1]库存使用数据!$A:$M,13,0),0)+IFERROR(VLOOKUP($A18,[2]库存使用数据!$A:$M,13,0),0)+公式!$B$14*IFERROR(VLOOKUP($A18,[3]库存使用数据!$A:$M,13,0),0)+IFERROR(VLOOKUP($A18,[4]库存使用数据!$A:$M,13,0),0)+IFERROR(VLOOKUP($A18,[5]库存使用数据!$A:$M,13,0),0)</f>
        <v>71.35</v>
      </c>
    </row>
    <row r="19" spans="1:13">
      <c r="A19" s="5" t="s">
        <v>24</v>
      </c>
      <c r="B19" s="2">
        <f>IFERROR(VLOOKUP(A19,[1]库存使用数据!$A:$B,2,0),0)+IFERROR(VLOOKUP(A19,[2]库存使用数据!$A:$B,2,0),0)+IFERROR(VLOOKUP(,[3]库存使用数据!$A:$B,2,0),0)+IFERROR(VLOOKUP(A19,[4]库存使用数据!$A:$B,2,0),0)+IFERROR(VLOOKUP(A19,[5]库存使用数据!$A:$B,2,0),0)</f>
        <v>140007</v>
      </c>
      <c r="C19" s="1">
        <f>IFERROR(VLOOKUP($A19,[1]库存使用数据!$A:$C,3,0),0)+IFERROR(VLOOKUP($A19,[2]库存使用数据!$A:$C,3,0),0)+IFERROR(VLOOKUP($A19,[3]库存使用数据!$A:$C,3,0),0)+IFERROR(VLOOKUP($A19,[4]库存使用数据!$A:$C,3,0),0)+IFERROR(VLOOKUP($A19,[5]库存使用数据!$A:$C,3,0),0)</f>
        <v>750</v>
      </c>
      <c r="D19" s="1">
        <f>IFERROR(VLOOKUP($A19,[1]库存使用数据!$A:$D,4,0),0)+IFERROR(VLOOKUP($A19,[2]库存使用数据!$A:$D,4,0),0)+公式!$B$1*IFERROR(VLOOKUP($A19,[3]库存使用数据!$A:$D,4,0),0)+IFERROR(VLOOKUP($A19,[4]库存使用数据!$A:$D,4,0),0)+IFERROR(VLOOKUP($A19,[5]库存使用数据!$A:$D,4,0),0)</f>
        <v>113.68</v>
      </c>
      <c r="E19" s="1">
        <f>IFERROR(VLOOKUP($A19,[1]库存使用数据!$A:$E,5,0),0)+IFERROR(VLOOKUP($A19,[2]库存使用数据!$A:$E,5,0),0)+IFERROR(VLOOKUP($A19,[3]库存使用数据!$A:$E,5,0),0)+IFERROR(VLOOKUP($A19,[4]库存使用数据!$A:$E,5,0),0)+IFERROR(VLOOKUP($A19,[5]库存使用数据!$A:$E,5,0),0)</f>
        <v>154461</v>
      </c>
      <c r="F19" s="1">
        <f>IFERROR(VLOOKUP($A19,[1]库存使用数据!$A:$F,6,0),0)+IFERROR(VLOOKUP($A19,[2]库存使用数据!$A:$F,6,0),0)+IFERROR(VLOOKUP($A19,[4]库存使用数据!$A:$F,6,0),0)+IFERROR(VLOOKUP($A19,[3]库存使用数据!$A:$F,6,0),0)+IFERROR(VLOOKUP($A19,[5]库存使用数据!$A:$F,6,0),0)</f>
        <v>674</v>
      </c>
      <c r="G19" s="1">
        <f>IFERROR(VLOOKUP($A19,[1]库存使用数据!$A:$G,7,0),0)+IFERROR(VLOOKUP($A19,[2]库存使用数据!$A:$G,7,0),0)+公式!$B$14*IFERROR(VLOOKUP($A19,[3]库存使用数据!$A:$G,7,0),0)+IFERROR(VLOOKUP($A19,[4]库存使用数据!$A:$G,7,0),0)+IFERROR(VLOOKUP($A19,[5]库存使用数据!$A:$G,7,0),0)</f>
        <v>76.94</v>
      </c>
      <c r="H19" s="1">
        <f>IFERROR(VLOOKUP($A19,[1]库存使用数据!$A:$H,8,0),0)+IFERROR(VLOOKUP($A19,[2]库存使用数据!$A:$H,8,0),0)+IFERROR(VLOOKUP($A19,[3]库存使用数据!$A:$H,8,0),0)+IFERROR(VLOOKUP($A19,[4]库存使用数据!$A:$H,8,0),0)+IFERROR(VLOOKUP($A19,[5]库存使用数据!$A:$H,8,0),0)</f>
        <v>119954</v>
      </c>
      <c r="I19" s="1">
        <f>IFERROR(VLOOKUP($A19,[1]库存使用数据!$A:$I,9,0),0)+IFERROR(VLOOKUP($A19,[2]库存使用数据!$A:$I,9,0),0)+IFERROR(VLOOKUP($A19,[3]库存使用数据!$A:$I,9,0),0)+IFERROR(VLOOKUP($A19,[4]库存使用数据!$A:$I,9,0),0)+IFERROR(VLOOKUP($A19,[5]库存使用数据!$A:$I,9,0),0)</f>
        <v>599</v>
      </c>
      <c r="J19" s="1">
        <f>IFERROR(VLOOKUP($A19,[1]库存使用数据!$A:$J,10,0),0)+IFERROR(VLOOKUP($A19,[2]库存使用数据!$A:$J,10,0),0)+公式!$B$14*IFERROR(VLOOKUP($A19,[3]库存使用数据!$A:$J,10,0),0)+IFERROR(VLOOKUP($A19,[4]库存使用数据!$A:$J,10,0),0)+IFERROR(VLOOKUP($A19,[5]库存使用数据!$A:$J,10,0),0)</f>
        <v>73.44</v>
      </c>
      <c r="K19" s="1">
        <f>IFERROR(VLOOKUP($A19,[1]库存使用数据!$A:$K,11,0),0)+IFERROR(VLOOKUP($A19,[2]库存使用数据!$A:$K,11,0),0)+IFERROR(VLOOKUP($A19,[3]库存使用数据!$A:$K,11,0),0)+IFERROR(VLOOKUP($A19,[4]库存使用数据!$A:$K,11,0),0)+IFERROR(VLOOKUP($A19,[5]库存使用数据!$A:$K,11,0),0)</f>
        <v>91602</v>
      </c>
      <c r="L19" s="1">
        <f>IFERROR(VLOOKUP($A19,[1]库存使用数据!$A:$L,12,0),0)+IFERROR(VLOOKUP($A19,[2]库存使用数据!$A:$L,12,0),0)+IFERROR(VLOOKUP($A19,[3]库存使用数据!$A:$L,12,0),0)+IFERROR(VLOOKUP($A19,[4]库存使用数据!$A:$L,12,0),0)+IFERROR(VLOOKUP($A19,[5]库存使用数据!$A:$L,12,0),0)</f>
        <v>404</v>
      </c>
      <c r="M19" s="1">
        <f>IFERROR(VLOOKUP($A19,[1]库存使用数据!$A:$M,13,0),0)+IFERROR(VLOOKUP($A19,[2]库存使用数据!$A:$M,13,0),0)+公式!$B$14*IFERROR(VLOOKUP($A19,[3]库存使用数据!$A:$M,13,0),0)+IFERROR(VLOOKUP($A19,[4]库存使用数据!$A:$M,13,0),0)+IFERROR(VLOOKUP($A19,[5]库存使用数据!$A:$M,13,0),0)</f>
        <v>49.08</v>
      </c>
    </row>
    <row r="20" spans="1:13">
      <c r="A20" s="5" t="s">
        <v>25</v>
      </c>
      <c r="B20" s="2">
        <f>IFERROR(VLOOKUP(A20,[1]库存使用数据!$A:$B,2,0),0)+IFERROR(VLOOKUP(A20,[2]库存使用数据!$A:$B,2,0),0)+IFERROR(VLOOKUP(,[3]库存使用数据!$A:$B,2,0),0)+IFERROR(VLOOKUP(A20,[4]库存使用数据!$A:$B,2,0),0)+IFERROR(VLOOKUP(A20,[5]库存使用数据!$A:$B,2,0),0)</f>
        <v>80307</v>
      </c>
      <c r="C20" s="1">
        <f>IFERROR(VLOOKUP($A20,[1]库存使用数据!$A:$C,3,0),0)+IFERROR(VLOOKUP($A20,[2]库存使用数据!$A:$C,3,0),0)+IFERROR(VLOOKUP($A20,[3]库存使用数据!$A:$C,3,0),0)+IFERROR(VLOOKUP($A20,[4]库存使用数据!$A:$C,3,0),0)+IFERROR(VLOOKUP($A20,[5]库存使用数据!$A:$C,3,0),0)</f>
        <v>798</v>
      </c>
      <c r="D20" s="1">
        <f>IFERROR(VLOOKUP($A20,[1]库存使用数据!$A:$D,4,0),0)+IFERROR(VLOOKUP($A20,[2]库存使用数据!$A:$D,4,0),0)+公式!$B$1*IFERROR(VLOOKUP($A20,[3]库存使用数据!$A:$D,4,0),0)+IFERROR(VLOOKUP($A20,[4]库存使用数据!$A:$D,4,0),0)+IFERROR(VLOOKUP($A20,[5]库存使用数据!$A:$D,4,0),0)</f>
        <v>157.895</v>
      </c>
      <c r="E20" s="1">
        <f>IFERROR(VLOOKUP($A20,[1]库存使用数据!$A:$E,5,0),0)+IFERROR(VLOOKUP($A20,[2]库存使用数据!$A:$E,5,0),0)+IFERROR(VLOOKUP($A20,[3]库存使用数据!$A:$E,5,0),0)+IFERROR(VLOOKUP($A20,[4]库存使用数据!$A:$E,5,0),0)+IFERROR(VLOOKUP($A20,[5]库存使用数据!$A:$E,5,0),0)</f>
        <v>70693</v>
      </c>
      <c r="F20" s="1">
        <f>IFERROR(VLOOKUP($A20,[1]库存使用数据!$A:$F,6,0),0)+IFERROR(VLOOKUP($A20,[2]库存使用数据!$A:$F,6,0),0)+IFERROR(VLOOKUP($A20,[4]库存使用数据!$A:$F,6,0),0)+IFERROR(VLOOKUP($A20,[3]库存使用数据!$A:$F,6,0),0)+IFERROR(VLOOKUP($A20,[5]库存使用数据!$A:$F,6,0),0)</f>
        <v>420</v>
      </c>
      <c r="G20" s="1">
        <f>IFERROR(VLOOKUP($A20,[1]库存使用数据!$A:$G,7,0),0)+IFERROR(VLOOKUP($A20,[2]库存使用数据!$A:$G,7,0),0)+公式!$B$14*IFERROR(VLOOKUP($A20,[3]库存使用数据!$A:$G,7,0),0)+IFERROR(VLOOKUP($A20,[4]库存使用数据!$A:$G,7,0),0)+IFERROR(VLOOKUP($A20,[5]库存使用数据!$A:$G,7,0),0)</f>
        <v>23.87</v>
      </c>
      <c r="H20" s="1">
        <f>IFERROR(VLOOKUP($A20,[1]库存使用数据!$A:$H,8,0),0)+IFERROR(VLOOKUP($A20,[2]库存使用数据!$A:$H,8,0),0)+IFERROR(VLOOKUP($A20,[3]库存使用数据!$A:$H,8,0),0)+IFERROR(VLOOKUP($A20,[4]库存使用数据!$A:$H,8,0),0)+IFERROR(VLOOKUP($A20,[5]库存使用数据!$A:$H,8,0),0)</f>
        <v>98259</v>
      </c>
      <c r="I20" s="1">
        <f>IFERROR(VLOOKUP($A20,[1]库存使用数据!$A:$I,9,0),0)+IFERROR(VLOOKUP($A20,[2]库存使用数据!$A:$I,9,0),0)+IFERROR(VLOOKUP($A20,[3]库存使用数据!$A:$I,9,0),0)+IFERROR(VLOOKUP($A20,[4]库存使用数据!$A:$I,9,0),0)+IFERROR(VLOOKUP($A20,[5]库存使用数据!$A:$I,9,0),0)</f>
        <v>500</v>
      </c>
      <c r="J20" s="1">
        <f>IFERROR(VLOOKUP($A20,[1]库存使用数据!$A:$J,10,0),0)+IFERROR(VLOOKUP($A20,[2]库存使用数据!$A:$J,10,0),0)+公式!$B$14*IFERROR(VLOOKUP($A20,[3]库存使用数据!$A:$J,10,0),0)+IFERROR(VLOOKUP($A20,[4]库存使用数据!$A:$J,10,0),0)+IFERROR(VLOOKUP($A20,[5]库存使用数据!$A:$J,10,0),0)</f>
        <v>30.31</v>
      </c>
      <c r="K20" s="1">
        <f>IFERROR(VLOOKUP($A20,[1]库存使用数据!$A:$K,11,0),0)+IFERROR(VLOOKUP($A20,[2]库存使用数据!$A:$K,11,0),0)+IFERROR(VLOOKUP($A20,[3]库存使用数据!$A:$K,11,0),0)+IFERROR(VLOOKUP($A20,[4]库存使用数据!$A:$K,11,0),0)+IFERROR(VLOOKUP($A20,[5]库存使用数据!$A:$K,11,0),0)</f>
        <v>155828</v>
      </c>
      <c r="L20" s="1">
        <f>IFERROR(VLOOKUP($A20,[1]库存使用数据!$A:$L,12,0),0)+IFERROR(VLOOKUP($A20,[2]库存使用数据!$A:$L,12,0),0)+IFERROR(VLOOKUP($A20,[3]库存使用数据!$A:$L,12,0),0)+IFERROR(VLOOKUP($A20,[4]库存使用数据!$A:$L,12,0),0)+IFERROR(VLOOKUP($A20,[5]库存使用数据!$A:$L,12,0),0)</f>
        <v>736</v>
      </c>
      <c r="M20" s="1">
        <f>IFERROR(VLOOKUP($A20,[1]库存使用数据!$A:$M,13,0),0)+IFERROR(VLOOKUP($A20,[2]库存使用数据!$A:$M,13,0),0)+公式!$B$14*IFERROR(VLOOKUP($A20,[3]库存使用数据!$A:$M,13,0),0)+IFERROR(VLOOKUP($A20,[4]库存使用数据!$A:$M,13,0),0)+IFERROR(VLOOKUP($A20,[5]库存使用数据!$A:$M,13,0),0)</f>
        <v>61.62</v>
      </c>
    </row>
    <row r="21" spans="1:13">
      <c r="A21" s="5" t="s">
        <v>26</v>
      </c>
      <c r="B21" s="2">
        <f>IFERROR(VLOOKUP(A21,[1]库存使用数据!$A:$B,2,0),0)+IFERROR(VLOOKUP(A21,[2]库存使用数据!$A:$B,2,0),0)+IFERROR(VLOOKUP(,[3]库存使用数据!$A:$B,2,0),0)+IFERROR(VLOOKUP(A21,[4]库存使用数据!$A:$B,2,0),0)+IFERROR(VLOOKUP(A21,[5]库存使用数据!$A:$B,2,0),0)</f>
        <v>74222</v>
      </c>
      <c r="C21" s="1">
        <f>IFERROR(VLOOKUP($A21,[1]库存使用数据!$A:$C,3,0),0)+IFERROR(VLOOKUP($A21,[2]库存使用数据!$A:$C,3,0),0)+IFERROR(VLOOKUP($A21,[3]库存使用数据!$A:$C,3,0),0)+IFERROR(VLOOKUP($A21,[4]库存使用数据!$A:$C,3,0),0)+IFERROR(VLOOKUP($A21,[5]库存使用数据!$A:$C,3,0),0)</f>
        <v>250</v>
      </c>
      <c r="D21" s="1">
        <f>IFERROR(VLOOKUP($A21,[1]库存使用数据!$A:$D,4,0),0)+IFERROR(VLOOKUP($A21,[2]库存使用数据!$A:$D,4,0),0)+公式!$B$1*IFERROR(VLOOKUP($A21,[3]库存使用数据!$A:$D,4,0),0)+IFERROR(VLOOKUP($A21,[4]库存使用数据!$A:$D,4,0),0)+IFERROR(VLOOKUP($A21,[5]库存使用数据!$A:$D,4,0),0)</f>
        <v>35.0425</v>
      </c>
      <c r="E21" s="1">
        <f>IFERROR(VLOOKUP($A21,[1]库存使用数据!$A:$E,5,0),0)+IFERROR(VLOOKUP($A21,[2]库存使用数据!$A:$E,5,0),0)+IFERROR(VLOOKUP($A21,[3]库存使用数据!$A:$E,5,0),0)+IFERROR(VLOOKUP($A21,[4]库存使用数据!$A:$E,5,0),0)+IFERROR(VLOOKUP($A21,[5]库存使用数据!$A:$E,5,0),0)</f>
        <v>81629</v>
      </c>
      <c r="F21" s="1">
        <f>IFERROR(VLOOKUP($A21,[1]库存使用数据!$A:$F,6,0),0)+IFERROR(VLOOKUP($A21,[2]库存使用数据!$A:$F,6,0),0)+IFERROR(VLOOKUP($A21,[4]库存使用数据!$A:$F,6,0),0)+IFERROR(VLOOKUP($A21,[3]库存使用数据!$A:$F,6,0),0)+IFERROR(VLOOKUP($A21,[5]库存使用数据!$A:$F,6,0),0)</f>
        <v>242</v>
      </c>
      <c r="G21" s="1">
        <f>IFERROR(VLOOKUP($A21,[1]库存使用数据!$A:$G,7,0),0)+IFERROR(VLOOKUP($A21,[2]库存使用数据!$A:$G,7,0),0)+公式!$B$14*IFERROR(VLOOKUP($A21,[3]库存使用数据!$A:$G,7,0),0)+IFERROR(VLOOKUP($A21,[4]库存使用数据!$A:$G,7,0),0)+IFERROR(VLOOKUP($A21,[5]库存使用数据!$A:$G,7,0),0)</f>
        <v>17.14</v>
      </c>
      <c r="H21" s="1">
        <f>IFERROR(VLOOKUP($A21,[1]库存使用数据!$A:$H,8,0),0)+IFERROR(VLOOKUP($A21,[2]库存使用数据!$A:$H,8,0),0)+IFERROR(VLOOKUP($A21,[3]库存使用数据!$A:$H,8,0),0)+IFERROR(VLOOKUP($A21,[4]库存使用数据!$A:$H,8,0),0)+IFERROR(VLOOKUP($A21,[5]库存使用数据!$A:$H,8,0),0)</f>
        <v>77812</v>
      </c>
      <c r="I21" s="1">
        <f>IFERROR(VLOOKUP($A21,[1]库存使用数据!$A:$I,9,0),0)+IFERROR(VLOOKUP($A21,[2]库存使用数据!$A:$I,9,0),0)+IFERROR(VLOOKUP($A21,[3]库存使用数据!$A:$I,9,0),0)+IFERROR(VLOOKUP($A21,[4]库存使用数据!$A:$I,9,0),0)+IFERROR(VLOOKUP($A21,[5]库存使用数据!$A:$I,9,0),0)</f>
        <v>214</v>
      </c>
      <c r="J21" s="1">
        <f>IFERROR(VLOOKUP($A21,[1]库存使用数据!$A:$J,10,0),0)+IFERROR(VLOOKUP($A21,[2]库存使用数据!$A:$J,10,0),0)+公式!$B$14*IFERROR(VLOOKUP($A21,[3]库存使用数据!$A:$J,10,0),0)+IFERROR(VLOOKUP($A21,[4]库存使用数据!$A:$J,10,0),0)+IFERROR(VLOOKUP($A21,[5]库存使用数据!$A:$J,10,0),0)</f>
        <v>12.91</v>
      </c>
      <c r="K21" s="1">
        <f>IFERROR(VLOOKUP($A21,[1]库存使用数据!$A:$K,11,0),0)+IFERROR(VLOOKUP($A21,[2]库存使用数据!$A:$K,11,0),0)+IFERROR(VLOOKUP($A21,[3]库存使用数据!$A:$K,11,0),0)+IFERROR(VLOOKUP($A21,[4]库存使用数据!$A:$K,11,0),0)+IFERROR(VLOOKUP($A21,[5]库存使用数据!$A:$K,11,0),0)</f>
        <v>51024</v>
      </c>
      <c r="L21" s="1">
        <f>IFERROR(VLOOKUP($A21,[1]库存使用数据!$A:$L,12,0),0)+IFERROR(VLOOKUP($A21,[2]库存使用数据!$A:$L,12,0),0)+IFERROR(VLOOKUP($A21,[3]库存使用数据!$A:$L,12,0),0)+IFERROR(VLOOKUP($A21,[4]库存使用数据!$A:$L,12,0),0)+IFERROR(VLOOKUP($A21,[5]库存使用数据!$A:$L,12,0),0)</f>
        <v>163</v>
      </c>
      <c r="M21" s="1">
        <f>IFERROR(VLOOKUP($A21,[1]库存使用数据!$A:$M,13,0),0)+IFERROR(VLOOKUP($A21,[2]库存使用数据!$A:$M,13,0),0)+公式!$B$14*IFERROR(VLOOKUP($A21,[3]库存使用数据!$A:$M,13,0),0)+IFERROR(VLOOKUP($A21,[4]库存使用数据!$A:$M,13,0),0)+IFERROR(VLOOKUP($A21,[5]库存使用数据!$A:$M,13,0),0)</f>
        <v>14.04</v>
      </c>
    </row>
    <row r="22" spans="1:13">
      <c r="A22" s="5" t="s">
        <v>27</v>
      </c>
      <c r="B22" s="2">
        <f>IFERROR(VLOOKUP(A22,[1]库存使用数据!$A:$B,2,0),0)+IFERROR(VLOOKUP(A22,[2]库存使用数据!$A:$B,2,0),0)+IFERROR(VLOOKUP(,[3]库存使用数据!$A:$B,2,0),0)+IFERROR(VLOOKUP(A22,[4]库存使用数据!$A:$B,2,0),0)+IFERROR(VLOOKUP(A22,[5]库存使用数据!$A:$B,2,0),0)</f>
        <v>39750</v>
      </c>
      <c r="C22" s="1">
        <f>IFERROR(VLOOKUP($A22,[1]库存使用数据!$A:$C,3,0),0)+IFERROR(VLOOKUP($A22,[2]库存使用数据!$A:$C,3,0),0)+IFERROR(VLOOKUP($A22,[3]库存使用数据!$A:$C,3,0),0)+IFERROR(VLOOKUP($A22,[4]库存使用数据!$A:$C,3,0),0)+IFERROR(VLOOKUP($A22,[5]库存使用数据!$A:$C,3,0),0)</f>
        <v>397</v>
      </c>
      <c r="D22" s="1">
        <f>IFERROR(VLOOKUP($A22,[1]库存使用数据!$A:$D,4,0),0)+IFERROR(VLOOKUP($A22,[2]库存使用数据!$A:$D,4,0),0)+公式!$B$1*IFERROR(VLOOKUP($A22,[3]库存使用数据!$A:$D,4,0),0)+IFERROR(VLOOKUP($A22,[4]库存使用数据!$A:$D,4,0),0)+IFERROR(VLOOKUP($A22,[5]库存使用数据!$A:$D,4,0),0)</f>
        <v>44.88375</v>
      </c>
      <c r="E22" s="1">
        <f>IFERROR(VLOOKUP($A22,[1]库存使用数据!$A:$E,5,0),0)+IFERROR(VLOOKUP($A22,[2]库存使用数据!$A:$E,5,0),0)+IFERROR(VLOOKUP($A22,[3]库存使用数据!$A:$E,5,0),0)+IFERROR(VLOOKUP($A22,[4]库存使用数据!$A:$E,5,0),0)+IFERROR(VLOOKUP($A22,[5]库存使用数据!$A:$E,5,0),0)</f>
        <v>63835</v>
      </c>
      <c r="F22" s="1">
        <f>IFERROR(VLOOKUP($A22,[1]库存使用数据!$A:$F,6,0),0)+IFERROR(VLOOKUP($A22,[2]库存使用数据!$A:$F,6,0),0)+IFERROR(VLOOKUP($A22,[4]库存使用数据!$A:$F,6,0),0)+IFERROR(VLOOKUP($A22,[3]库存使用数据!$A:$F,6,0),0)+IFERROR(VLOOKUP($A22,[5]库存使用数据!$A:$F,6,0),0)</f>
        <v>277</v>
      </c>
      <c r="G22" s="1">
        <f>IFERROR(VLOOKUP($A22,[1]库存使用数据!$A:$G,7,0),0)+IFERROR(VLOOKUP($A22,[2]库存使用数据!$A:$G,7,0),0)+公式!$B$14*IFERROR(VLOOKUP($A22,[3]库存使用数据!$A:$G,7,0),0)+IFERROR(VLOOKUP($A22,[4]库存使用数据!$A:$G,7,0),0)+IFERROR(VLOOKUP($A22,[5]库存使用数据!$A:$G,7,0),0)</f>
        <v>27.38</v>
      </c>
      <c r="H22" s="1">
        <f>IFERROR(VLOOKUP($A22,[1]库存使用数据!$A:$H,8,0),0)+IFERROR(VLOOKUP($A22,[2]库存使用数据!$A:$H,8,0),0)+IFERROR(VLOOKUP($A22,[3]库存使用数据!$A:$H,8,0),0)+IFERROR(VLOOKUP($A22,[4]库存使用数据!$A:$H,8,0),0)+IFERROR(VLOOKUP($A22,[5]库存使用数据!$A:$H,8,0),0)</f>
        <v>91427</v>
      </c>
      <c r="I22" s="1">
        <f>IFERROR(VLOOKUP($A22,[1]库存使用数据!$A:$I,9,0),0)+IFERROR(VLOOKUP($A22,[2]库存使用数据!$A:$I,9,0),0)+IFERROR(VLOOKUP($A22,[3]库存使用数据!$A:$I,9,0),0)+IFERROR(VLOOKUP($A22,[4]库存使用数据!$A:$I,9,0),0)+IFERROR(VLOOKUP($A22,[5]库存使用数据!$A:$I,9,0),0)</f>
        <v>303</v>
      </c>
      <c r="J22" s="1">
        <f>IFERROR(VLOOKUP($A22,[1]库存使用数据!$A:$J,10,0),0)+IFERROR(VLOOKUP($A22,[2]库存使用数据!$A:$J,10,0),0)+公式!$B$14*IFERROR(VLOOKUP($A22,[3]库存使用数据!$A:$J,10,0),0)+IFERROR(VLOOKUP($A22,[4]库存使用数据!$A:$J,10,0),0)+IFERROR(VLOOKUP($A22,[5]库存使用数据!$A:$J,10,0),0)</f>
        <v>24.26</v>
      </c>
      <c r="K22" s="1">
        <f>IFERROR(VLOOKUP($A22,[1]库存使用数据!$A:$K,11,0),0)+IFERROR(VLOOKUP($A22,[2]库存使用数据!$A:$K,11,0),0)+IFERROR(VLOOKUP($A22,[3]库存使用数据!$A:$K,11,0),0)+IFERROR(VLOOKUP($A22,[4]库存使用数据!$A:$K,11,0),0)+IFERROR(VLOOKUP($A22,[5]库存使用数据!$A:$K,11,0),0)</f>
        <v>91428</v>
      </c>
      <c r="L22" s="1">
        <f>IFERROR(VLOOKUP($A22,[1]库存使用数据!$A:$L,12,0),0)+IFERROR(VLOOKUP($A22,[2]库存使用数据!$A:$L,12,0),0)+IFERROR(VLOOKUP($A22,[3]库存使用数据!$A:$L,12,0),0)+IFERROR(VLOOKUP($A22,[4]库存使用数据!$A:$L,12,0),0)+IFERROR(VLOOKUP($A22,[5]库存使用数据!$A:$L,12,0),0)</f>
        <v>317</v>
      </c>
      <c r="M22" s="1">
        <f>IFERROR(VLOOKUP($A22,[1]库存使用数据!$A:$M,13,0),0)+IFERROR(VLOOKUP($A22,[2]库存使用数据!$A:$M,13,0),0)+公式!$B$14*IFERROR(VLOOKUP($A22,[3]库存使用数据!$A:$M,13,0),0)+IFERROR(VLOOKUP($A22,[4]库存使用数据!$A:$M,13,0),0)+IFERROR(VLOOKUP($A22,[5]库存使用数据!$A:$M,13,0),0)</f>
        <v>22.68</v>
      </c>
    </row>
    <row r="23" spans="1:13">
      <c r="A23" s="5" t="s">
        <v>28</v>
      </c>
      <c r="B23" s="2">
        <f>IFERROR(VLOOKUP(A23,[1]库存使用数据!$A:$B,2,0),0)+IFERROR(VLOOKUP(A23,[2]库存使用数据!$A:$B,2,0),0)+IFERROR(VLOOKUP(,[3]库存使用数据!$A:$B,2,0),0)+IFERROR(VLOOKUP(A23,[4]库存使用数据!$A:$B,2,0),0)+IFERROR(VLOOKUP(A23,[5]库存使用数据!$A:$B,2,0),0)</f>
        <v>71498</v>
      </c>
      <c r="C23" s="1">
        <f>IFERROR(VLOOKUP($A23,[1]库存使用数据!$A:$C,3,0),0)+IFERROR(VLOOKUP($A23,[2]库存使用数据!$A:$C,3,0),0)+IFERROR(VLOOKUP($A23,[3]库存使用数据!$A:$C,3,0),0)+IFERROR(VLOOKUP($A23,[4]库存使用数据!$A:$C,3,0),0)+IFERROR(VLOOKUP($A23,[5]库存使用数据!$A:$C,3,0),0)</f>
        <v>318</v>
      </c>
      <c r="D23" s="1">
        <f>IFERROR(VLOOKUP($A23,[1]库存使用数据!$A:$D,4,0),0)+IFERROR(VLOOKUP($A23,[2]库存使用数据!$A:$D,4,0),0)+公式!$B$1*IFERROR(VLOOKUP($A23,[3]库存使用数据!$A:$D,4,0),0)+IFERROR(VLOOKUP($A23,[4]库存使用数据!$A:$D,4,0),0)+IFERROR(VLOOKUP($A23,[5]库存使用数据!$A:$D,4,0),0)</f>
        <v>54.7175</v>
      </c>
      <c r="E23" s="1">
        <f>IFERROR(VLOOKUP($A23,[1]库存使用数据!$A:$E,5,0),0)+IFERROR(VLOOKUP($A23,[2]库存使用数据!$A:$E,5,0),0)+IFERROR(VLOOKUP($A23,[3]库存使用数据!$A:$E,5,0),0)+IFERROR(VLOOKUP($A23,[4]库存使用数据!$A:$E,5,0),0)+IFERROR(VLOOKUP($A23,[5]库存使用数据!$A:$E,5,0),0)</f>
        <v>31401</v>
      </c>
      <c r="F23" s="1">
        <f>IFERROR(VLOOKUP($A23,[1]库存使用数据!$A:$F,6,0),0)+IFERROR(VLOOKUP($A23,[2]库存使用数据!$A:$F,6,0),0)+IFERROR(VLOOKUP($A23,[4]库存使用数据!$A:$F,6,0),0)+IFERROR(VLOOKUP($A23,[3]库存使用数据!$A:$F,6,0),0)+IFERROR(VLOOKUP($A23,[5]库存使用数据!$A:$F,6,0),0)</f>
        <v>132</v>
      </c>
      <c r="G23" s="1">
        <f>IFERROR(VLOOKUP($A23,[1]库存使用数据!$A:$G,7,0),0)+IFERROR(VLOOKUP($A23,[2]库存使用数据!$A:$G,7,0),0)+公式!$B$14*IFERROR(VLOOKUP($A23,[3]库存使用数据!$A:$G,7,0),0)+IFERROR(VLOOKUP($A23,[4]库存使用数据!$A:$G,7,0),0)+IFERROR(VLOOKUP($A23,[5]库存使用数据!$A:$G,7,0),0)</f>
        <v>19.73</v>
      </c>
      <c r="H23" s="1">
        <f>IFERROR(VLOOKUP($A23,[1]库存使用数据!$A:$H,8,0),0)+IFERROR(VLOOKUP($A23,[2]库存使用数据!$A:$H,8,0),0)+IFERROR(VLOOKUP($A23,[3]库存使用数据!$A:$H,8,0),0)+IFERROR(VLOOKUP($A23,[4]库存使用数据!$A:$H,8,0),0)+IFERROR(VLOOKUP($A23,[5]库存使用数据!$A:$H,8,0),0)</f>
        <v>17996</v>
      </c>
      <c r="I23" s="1">
        <f>IFERROR(VLOOKUP($A23,[1]库存使用数据!$A:$I,9,0),0)+IFERROR(VLOOKUP($A23,[2]库存使用数据!$A:$I,9,0),0)+IFERROR(VLOOKUP($A23,[3]库存使用数据!$A:$I,9,0),0)+IFERROR(VLOOKUP($A23,[4]库存使用数据!$A:$I,9,0),0)+IFERROR(VLOOKUP($A23,[5]库存使用数据!$A:$I,9,0),0)</f>
        <v>108</v>
      </c>
      <c r="J23" s="1">
        <f>IFERROR(VLOOKUP($A23,[1]库存使用数据!$A:$J,10,0),0)+IFERROR(VLOOKUP($A23,[2]库存使用数据!$A:$J,10,0),0)+公式!$B$14*IFERROR(VLOOKUP($A23,[3]库存使用数据!$A:$J,10,0),0)+IFERROR(VLOOKUP($A23,[4]库存使用数据!$A:$J,10,0),0)+IFERROR(VLOOKUP($A23,[5]库存使用数据!$A:$J,10,0),0)</f>
        <v>16.83</v>
      </c>
      <c r="K23" s="1">
        <f>IFERROR(VLOOKUP($A23,[1]库存使用数据!$A:$K,11,0),0)+IFERROR(VLOOKUP($A23,[2]库存使用数据!$A:$K,11,0),0)+IFERROR(VLOOKUP($A23,[3]库存使用数据!$A:$K,11,0),0)+IFERROR(VLOOKUP($A23,[4]库存使用数据!$A:$K,11,0),0)+IFERROR(VLOOKUP($A23,[5]库存使用数据!$A:$K,11,0),0)</f>
        <v>74651</v>
      </c>
      <c r="L23" s="1">
        <f>IFERROR(VLOOKUP($A23,[1]库存使用数据!$A:$L,12,0),0)+IFERROR(VLOOKUP($A23,[2]库存使用数据!$A:$L,12,0),0)+IFERROR(VLOOKUP($A23,[3]库存使用数据!$A:$L,12,0),0)+IFERROR(VLOOKUP($A23,[4]库存使用数据!$A:$L,12,0),0)+IFERROR(VLOOKUP($A23,[5]库存使用数据!$A:$L,12,0),0)</f>
        <v>402</v>
      </c>
      <c r="M23" s="1">
        <f>IFERROR(VLOOKUP($A23,[1]库存使用数据!$A:$M,13,0),0)+IFERROR(VLOOKUP($A23,[2]库存使用数据!$A:$M,13,0),0)+公式!$B$14*IFERROR(VLOOKUP($A23,[3]库存使用数据!$A:$M,13,0),0)+IFERROR(VLOOKUP($A23,[4]库存使用数据!$A:$M,13,0),0)+IFERROR(VLOOKUP($A23,[5]库存使用数据!$A:$M,13,0),0)</f>
        <v>65.01</v>
      </c>
    </row>
    <row r="24" spans="1:13">
      <c r="A24" s="5" t="s">
        <v>29</v>
      </c>
      <c r="B24" s="2">
        <f>IFERROR(VLOOKUP(A24,[1]库存使用数据!$A:$B,2,0),0)+IFERROR(VLOOKUP(A24,[2]库存使用数据!$A:$B,2,0),0)+IFERROR(VLOOKUP(,[3]库存使用数据!$A:$B,2,0),0)+IFERROR(VLOOKUP(A24,[4]库存使用数据!$A:$B,2,0),0)+IFERROR(VLOOKUP(A24,[5]库存使用数据!$A:$B,2,0),0)</f>
        <v>54498</v>
      </c>
      <c r="C24" s="1">
        <f>IFERROR(VLOOKUP($A24,[1]库存使用数据!$A:$C,3,0),0)+IFERROR(VLOOKUP($A24,[2]库存使用数据!$A:$C,3,0),0)+IFERROR(VLOOKUP($A24,[3]库存使用数据!$A:$C,3,0),0)+IFERROR(VLOOKUP($A24,[4]库存使用数据!$A:$C,3,0),0)+IFERROR(VLOOKUP($A24,[5]库存使用数据!$A:$C,3,0),0)</f>
        <v>289</v>
      </c>
      <c r="D24" s="1">
        <f>IFERROR(VLOOKUP($A24,[1]库存使用数据!$A:$D,4,0),0)+IFERROR(VLOOKUP($A24,[2]库存使用数据!$A:$D,4,0),0)+公式!$B$1*IFERROR(VLOOKUP($A24,[3]库存使用数据!$A:$D,4,0),0)+IFERROR(VLOOKUP($A24,[4]库存使用数据!$A:$D,4,0),0)+IFERROR(VLOOKUP($A24,[5]库存使用数据!$A:$D,4,0),0)</f>
        <v>35.4575</v>
      </c>
      <c r="E24" s="1">
        <f>IFERROR(VLOOKUP($A24,[1]库存使用数据!$A:$E,5,0),0)+IFERROR(VLOOKUP($A24,[2]库存使用数据!$A:$E,5,0),0)+IFERROR(VLOOKUP($A24,[3]库存使用数据!$A:$E,5,0),0)+IFERROR(VLOOKUP($A24,[4]库存使用数据!$A:$E,5,0),0)+IFERROR(VLOOKUP($A24,[5]库存使用数据!$A:$E,5,0),0)</f>
        <v>120591</v>
      </c>
      <c r="F24" s="1">
        <f>IFERROR(VLOOKUP($A24,[1]库存使用数据!$A:$F,6,0),0)+IFERROR(VLOOKUP($A24,[2]库存使用数据!$A:$F,6,0),0)+IFERROR(VLOOKUP($A24,[4]库存使用数据!$A:$F,6,0),0)+IFERROR(VLOOKUP($A24,[3]库存使用数据!$A:$F,6,0),0)+IFERROR(VLOOKUP($A24,[5]库存使用数据!$A:$F,6,0),0)</f>
        <v>564</v>
      </c>
      <c r="G24" s="1">
        <f>IFERROR(VLOOKUP($A24,[1]库存使用数据!$A:$G,7,0),0)+IFERROR(VLOOKUP($A24,[2]库存使用数据!$A:$G,7,0),0)+公式!$B$14*IFERROR(VLOOKUP($A24,[3]库存使用数据!$A:$G,7,0),0)+IFERROR(VLOOKUP($A24,[4]库存使用数据!$A:$G,7,0),0)+IFERROR(VLOOKUP($A24,[5]库存使用数据!$A:$G,7,0),0)</f>
        <v>74.33</v>
      </c>
      <c r="H24" s="1">
        <f>IFERROR(VLOOKUP($A24,[1]库存使用数据!$A:$H,8,0),0)+IFERROR(VLOOKUP($A24,[2]库存使用数据!$A:$H,8,0),0)+IFERROR(VLOOKUP($A24,[3]库存使用数据!$A:$H,8,0),0)+IFERROR(VLOOKUP($A24,[4]库存使用数据!$A:$H,8,0),0)+IFERROR(VLOOKUP($A24,[5]库存使用数据!$A:$H,8,0),0)</f>
        <v>121620</v>
      </c>
      <c r="I24" s="1">
        <f>IFERROR(VLOOKUP($A24,[1]库存使用数据!$A:$I,9,0),0)+IFERROR(VLOOKUP($A24,[2]库存使用数据!$A:$I,9,0),0)+IFERROR(VLOOKUP($A24,[3]库存使用数据!$A:$I,9,0),0)+IFERROR(VLOOKUP($A24,[4]库存使用数据!$A:$I,9,0),0)+IFERROR(VLOOKUP($A24,[5]库存使用数据!$A:$I,9,0),0)</f>
        <v>583</v>
      </c>
      <c r="J24" s="1">
        <f>IFERROR(VLOOKUP($A24,[1]库存使用数据!$A:$J,10,0),0)+IFERROR(VLOOKUP($A24,[2]库存使用数据!$A:$J,10,0),0)+公式!$B$14*IFERROR(VLOOKUP($A24,[3]库存使用数据!$A:$J,10,0),0)+IFERROR(VLOOKUP($A24,[4]库存使用数据!$A:$J,10,0),0)+IFERROR(VLOOKUP($A24,[5]库存使用数据!$A:$J,10,0),0)</f>
        <v>77.39</v>
      </c>
      <c r="K24" s="1">
        <f>IFERROR(VLOOKUP($A24,[1]库存使用数据!$A:$K,11,0),0)+IFERROR(VLOOKUP($A24,[2]库存使用数据!$A:$K,11,0),0)+IFERROR(VLOOKUP($A24,[3]库存使用数据!$A:$K,11,0),0)+IFERROR(VLOOKUP($A24,[4]库存使用数据!$A:$K,11,0),0)+IFERROR(VLOOKUP($A24,[5]库存使用数据!$A:$K,11,0),0)</f>
        <v>145091</v>
      </c>
      <c r="L24" s="1">
        <f>IFERROR(VLOOKUP($A24,[1]库存使用数据!$A:$L,12,0),0)+IFERROR(VLOOKUP($A24,[2]库存使用数据!$A:$L,12,0),0)+IFERROR(VLOOKUP($A24,[3]库存使用数据!$A:$L,12,0),0)+IFERROR(VLOOKUP($A24,[4]库存使用数据!$A:$L,12,0),0)+IFERROR(VLOOKUP($A24,[5]库存使用数据!$A:$L,12,0),0)</f>
        <v>684</v>
      </c>
      <c r="M24" s="1">
        <f>IFERROR(VLOOKUP($A24,[1]库存使用数据!$A:$M,13,0),0)+IFERROR(VLOOKUP($A24,[2]库存使用数据!$A:$M,13,0),0)+公式!$B$14*IFERROR(VLOOKUP($A24,[3]库存使用数据!$A:$M,13,0),0)+IFERROR(VLOOKUP($A24,[4]库存使用数据!$A:$M,13,0),0)+IFERROR(VLOOKUP($A24,[5]库存使用数据!$A:$M,13,0),0)</f>
        <v>83.55</v>
      </c>
    </row>
    <row r="25" spans="1:13">
      <c r="A25" s="5" t="s">
        <v>30</v>
      </c>
      <c r="B25" s="2">
        <f>IFERROR(VLOOKUP(A25,[1]库存使用数据!$A:$B,2,0),0)+IFERROR(VLOOKUP(A25,[2]库存使用数据!$A:$B,2,0),0)+IFERROR(VLOOKUP(,[3]库存使用数据!$A:$B,2,0),0)+IFERROR(VLOOKUP(A25,[4]库存使用数据!$A:$B,2,0),0)+IFERROR(VLOOKUP(A25,[5]库存使用数据!$A:$B,2,0),0)</f>
        <v>84925</v>
      </c>
      <c r="C25" s="1">
        <f>IFERROR(VLOOKUP($A25,[1]库存使用数据!$A:$C,3,0),0)+IFERROR(VLOOKUP($A25,[2]库存使用数据!$A:$C,3,0),0)+IFERROR(VLOOKUP($A25,[3]库存使用数据!$A:$C,3,0),0)+IFERROR(VLOOKUP($A25,[4]库存使用数据!$A:$C,3,0),0)+IFERROR(VLOOKUP($A25,[5]库存使用数据!$A:$C,3,0),0)</f>
        <v>858</v>
      </c>
      <c r="D25" s="1">
        <f>IFERROR(VLOOKUP($A25,[1]库存使用数据!$A:$D,4,0),0)+IFERROR(VLOOKUP($A25,[2]库存使用数据!$A:$D,4,0),0)+公式!$B$1*IFERROR(VLOOKUP($A25,[3]库存使用数据!$A:$D,4,0),0)+IFERROR(VLOOKUP($A25,[4]库存使用数据!$A:$D,4,0),0)+IFERROR(VLOOKUP($A25,[5]库存使用数据!$A:$D,4,0),0)</f>
        <v>77.4775</v>
      </c>
      <c r="E25" s="1">
        <f>IFERROR(VLOOKUP($A25,[1]库存使用数据!$A:$E,5,0),0)+IFERROR(VLOOKUP($A25,[2]库存使用数据!$A:$E,5,0),0)+IFERROR(VLOOKUP($A25,[3]库存使用数据!$A:$E,5,0),0)+IFERROR(VLOOKUP($A25,[4]库存使用数据!$A:$E,5,0),0)+IFERROR(VLOOKUP($A25,[5]库存使用数据!$A:$E,5,0),0)</f>
        <v>62990</v>
      </c>
      <c r="F25" s="1">
        <f>IFERROR(VLOOKUP($A25,[1]库存使用数据!$A:$F,6,0),0)+IFERROR(VLOOKUP($A25,[2]库存使用数据!$A:$F,6,0),0)+IFERROR(VLOOKUP($A25,[4]库存使用数据!$A:$F,6,0),0)+IFERROR(VLOOKUP($A25,[3]库存使用数据!$A:$F,6,0),0)+IFERROR(VLOOKUP($A25,[5]库存使用数据!$A:$F,6,0),0)</f>
        <v>701</v>
      </c>
      <c r="G25" s="1">
        <f>IFERROR(VLOOKUP($A25,[1]库存使用数据!$A:$G,7,0),0)+IFERROR(VLOOKUP($A25,[2]库存使用数据!$A:$G,7,0),0)+公式!$B$14*IFERROR(VLOOKUP($A25,[3]库存使用数据!$A:$G,7,0),0)+IFERROR(VLOOKUP($A25,[4]库存使用数据!$A:$G,7,0),0)+IFERROR(VLOOKUP($A25,[5]库存使用数据!$A:$G,7,0),0)</f>
        <v>70.21</v>
      </c>
      <c r="H25" s="1">
        <f>IFERROR(VLOOKUP($A25,[1]库存使用数据!$A:$H,8,0),0)+IFERROR(VLOOKUP($A25,[2]库存使用数据!$A:$H,8,0),0)+IFERROR(VLOOKUP($A25,[3]库存使用数据!$A:$H,8,0),0)+IFERROR(VLOOKUP($A25,[4]库存使用数据!$A:$H,8,0),0)+IFERROR(VLOOKUP($A25,[5]库存使用数据!$A:$H,8,0),0)</f>
        <v>58761</v>
      </c>
      <c r="I25" s="1">
        <f>IFERROR(VLOOKUP($A25,[1]库存使用数据!$A:$I,9,0),0)+IFERROR(VLOOKUP($A25,[2]库存使用数据!$A:$I,9,0),0)+IFERROR(VLOOKUP($A25,[3]库存使用数据!$A:$I,9,0),0)+IFERROR(VLOOKUP($A25,[4]库存使用数据!$A:$I,9,0),0)+IFERROR(VLOOKUP($A25,[5]库存使用数据!$A:$I,9,0),0)</f>
        <v>560</v>
      </c>
      <c r="J25" s="1">
        <f>IFERROR(VLOOKUP($A25,[1]库存使用数据!$A:$J,10,0),0)+IFERROR(VLOOKUP($A25,[2]库存使用数据!$A:$J,10,0),0)+公式!$B$14*IFERROR(VLOOKUP($A25,[3]库存使用数据!$A:$J,10,0),0)+IFERROR(VLOOKUP($A25,[4]库存使用数据!$A:$J,10,0),0)+IFERROR(VLOOKUP($A25,[5]库存使用数据!$A:$J,10,0),0)</f>
        <v>59.09</v>
      </c>
      <c r="K25" s="1">
        <f>IFERROR(VLOOKUP($A25,[1]库存使用数据!$A:$K,11,0),0)+IFERROR(VLOOKUP($A25,[2]库存使用数据!$A:$K,11,0),0)+IFERROR(VLOOKUP($A25,[3]库存使用数据!$A:$K,11,0),0)+IFERROR(VLOOKUP($A25,[4]库存使用数据!$A:$K,11,0),0)+IFERROR(VLOOKUP($A25,[5]库存使用数据!$A:$K,11,0),0)</f>
        <v>56687</v>
      </c>
      <c r="L25" s="1">
        <f>IFERROR(VLOOKUP($A25,[1]库存使用数据!$A:$L,12,0),0)+IFERROR(VLOOKUP($A25,[2]库存使用数据!$A:$L,12,0),0)+IFERROR(VLOOKUP($A25,[3]库存使用数据!$A:$L,12,0),0)+IFERROR(VLOOKUP($A25,[4]库存使用数据!$A:$L,12,0),0)+IFERROR(VLOOKUP($A25,[5]库存使用数据!$A:$L,12,0),0)</f>
        <v>598</v>
      </c>
      <c r="M25" s="1">
        <f>IFERROR(VLOOKUP($A25,[1]库存使用数据!$A:$M,13,0),0)+IFERROR(VLOOKUP($A25,[2]库存使用数据!$A:$M,13,0),0)+公式!$B$14*IFERROR(VLOOKUP($A25,[3]库存使用数据!$A:$M,13,0),0)+IFERROR(VLOOKUP($A25,[4]库存使用数据!$A:$M,13,0),0)+IFERROR(VLOOKUP($A25,[5]库存使用数据!$A:$M,13,0),0)</f>
        <v>70.09</v>
      </c>
    </row>
    <row r="26" spans="1:13">
      <c r="A26" s="5" t="s">
        <v>31</v>
      </c>
      <c r="B26" s="2">
        <f>IFERROR(VLOOKUP(A26,[1]库存使用数据!$A:$B,2,0),0)+IFERROR(VLOOKUP(A26,[2]库存使用数据!$A:$B,2,0),0)+IFERROR(VLOOKUP(,[3]库存使用数据!$A:$B,2,0),0)+IFERROR(VLOOKUP(A26,[4]库存使用数据!$A:$B,2,0),0)+IFERROR(VLOOKUP(A26,[5]库存使用数据!$A:$B,2,0),0)</f>
        <v>68108</v>
      </c>
      <c r="C26" s="1">
        <f>IFERROR(VLOOKUP($A26,[1]库存使用数据!$A:$C,3,0),0)+IFERROR(VLOOKUP($A26,[2]库存使用数据!$A:$C,3,0),0)+IFERROR(VLOOKUP($A26,[3]库存使用数据!$A:$C,3,0),0)+IFERROR(VLOOKUP($A26,[4]库存使用数据!$A:$C,3,0),0)+IFERROR(VLOOKUP($A26,[5]库存使用数据!$A:$C,3,0),0)</f>
        <v>585</v>
      </c>
      <c r="D26" s="1">
        <f>IFERROR(VLOOKUP($A26,[1]库存使用数据!$A:$D,4,0),0)+IFERROR(VLOOKUP($A26,[2]库存使用数据!$A:$D,4,0),0)+公式!$B$1*IFERROR(VLOOKUP($A26,[3]库存使用数据!$A:$D,4,0),0)+IFERROR(VLOOKUP($A26,[4]库存使用数据!$A:$D,4,0),0)+IFERROR(VLOOKUP($A26,[5]库存使用数据!$A:$D,4,0),0)</f>
        <v>43.9775</v>
      </c>
      <c r="E26" s="1">
        <f>IFERROR(VLOOKUP($A26,[1]库存使用数据!$A:$E,5,0),0)+IFERROR(VLOOKUP($A26,[2]库存使用数据!$A:$E,5,0),0)+IFERROR(VLOOKUP($A26,[3]库存使用数据!$A:$E,5,0),0)+IFERROR(VLOOKUP($A26,[4]库存使用数据!$A:$E,5,0),0)+IFERROR(VLOOKUP($A26,[5]库存使用数据!$A:$E,5,0),0)</f>
        <v>49603</v>
      </c>
      <c r="F26" s="1">
        <f>IFERROR(VLOOKUP($A26,[1]库存使用数据!$A:$F,6,0),0)+IFERROR(VLOOKUP($A26,[2]库存使用数据!$A:$F,6,0),0)+IFERROR(VLOOKUP($A26,[4]库存使用数据!$A:$F,6,0),0)+IFERROR(VLOOKUP($A26,[3]库存使用数据!$A:$F,6,0),0)+IFERROR(VLOOKUP($A26,[5]库存使用数据!$A:$F,6,0),0)</f>
        <v>479</v>
      </c>
      <c r="G26" s="1">
        <f>IFERROR(VLOOKUP($A26,[1]库存使用数据!$A:$G,7,0),0)+IFERROR(VLOOKUP($A26,[2]库存使用数据!$A:$G,7,0),0)+公式!$B$14*IFERROR(VLOOKUP($A26,[3]库存使用数据!$A:$G,7,0),0)+IFERROR(VLOOKUP($A26,[4]库存使用数据!$A:$G,7,0),0)+IFERROR(VLOOKUP($A26,[5]库存使用数据!$A:$G,7,0),0)</f>
        <v>38.61</v>
      </c>
      <c r="H26" s="1">
        <f>IFERROR(VLOOKUP($A26,[1]库存使用数据!$A:$H,8,0),0)+IFERROR(VLOOKUP($A26,[2]库存使用数据!$A:$H,8,0),0)+IFERROR(VLOOKUP($A26,[3]库存使用数据!$A:$H,8,0),0)+IFERROR(VLOOKUP($A26,[4]库存使用数据!$A:$H,8,0),0)+IFERROR(VLOOKUP($A26,[5]库存使用数据!$A:$H,8,0),0)</f>
        <v>46642</v>
      </c>
      <c r="I26" s="1">
        <f>IFERROR(VLOOKUP($A26,[1]库存使用数据!$A:$I,9,0),0)+IFERROR(VLOOKUP($A26,[2]库存使用数据!$A:$I,9,0),0)+IFERROR(VLOOKUP($A26,[3]库存使用数据!$A:$I,9,0),0)+IFERROR(VLOOKUP($A26,[4]库存使用数据!$A:$I,9,0),0)+IFERROR(VLOOKUP($A26,[5]库存使用数据!$A:$I,9,0),0)</f>
        <v>412</v>
      </c>
      <c r="J26" s="1">
        <f>IFERROR(VLOOKUP($A26,[1]库存使用数据!$A:$J,10,0),0)+IFERROR(VLOOKUP($A26,[2]库存使用数据!$A:$J,10,0),0)+公式!$B$14*IFERROR(VLOOKUP($A26,[3]库存使用数据!$A:$J,10,0),0)+IFERROR(VLOOKUP($A26,[4]库存使用数据!$A:$J,10,0),0)+IFERROR(VLOOKUP($A26,[5]库存使用数据!$A:$J,10,0),0)</f>
        <v>30.42</v>
      </c>
      <c r="K26" s="1">
        <f>IFERROR(VLOOKUP($A26,[1]库存使用数据!$A:$K,11,0),0)+IFERROR(VLOOKUP($A26,[2]库存使用数据!$A:$K,11,0),0)+IFERROR(VLOOKUP($A26,[3]库存使用数据!$A:$K,11,0),0)+IFERROR(VLOOKUP($A26,[4]库存使用数据!$A:$K,11,0),0)+IFERROR(VLOOKUP($A26,[5]库存使用数据!$A:$K,11,0),0)</f>
        <v>66491</v>
      </c>
      <c r="L26" s="1">
        <f>IFERROR(VLOOKUP($A26,[1]库存使用数据!$A:$L,12,0),0)+IFERROR(VLOOKUP($A26,[2]库存使用数据!$A:$L,12,0),0)+IFERROR(VLOOKUP($A26,[3]库存使用数据!$A:$L,12,0),0)+IFERROR(VLOOKUP($A26,[4]库存使用数据!$A:$L,12,0),0)+IFERROR(VLOOKUP($A26,[5]库存使用数据!$A:$L,12,0),0)</f>
        <v>529</v>
      </c>
      <c r="M26" s="1">
        <f>IFERROR(VLOOKUP($A26,[1]库存使用数据!$A:$M,13,0),0)+IFERROR(VLOOKUP($A26,[2]库存使用数据!$A:$M,13,0),0)+公式!$B$14*IFERROR(VLOOKUP($A26,[3]库存使用数据!$A:$M,13,0),0)+IFERROR(VLOOKUP($A26,[4]库存使用数据!$A:$M,13,0),0)+IFERROR(VLOOKUP($A26,[5]库存使用数据!$A:$M,13,0),0)</f>
        <v>53.66</v>
      </c>
    </row>
    <row r="27" spans="1:13">
      <c r="A27" s="5" t="s">
        <v>32</v>
      </c>
      <c r="B27" s="2">
        <f>IFERROR(VLOOKUP(A27,[1]库存使用数据!$A:$B,2,0),0)+IFERROR(VLOOKUP(A27,[2]库存使用数据!$A:$B,2,0),0)+IFERROR(VLOOKUP(,[3]库存使用数据!$A:$B,2,0),0)+IFERROR(VLOOKUP(A27,[4]库存使用数据!$A:$B,2,0),0)+IFERROR(VLOOKUP(A27,[5]库存使用数据!$A:$B,2,0),0)</f>
        <v>203334</v>
      </c>
      <c r="C27" s="1">
        <f>IFERROR(VLOOKUP($A27,[1]库存使用数据!$A:$C,3,0),0)+IFERROR(VLOOKUP($A27,[2]库存使用数据!$A:$C,3,0),0)+IFERROR(VLOOKUP($A27,[3]库存使用数据!$A:$C,3,0),0)+IFERROR(VLOOKUP($A27,[4]库存使用数据!$A:$C,3,0),0)+IFERROR(VLOOKUP($A27,[5]库存使用数据!$A:$C,3,0),0)</f>
        <v>1636</v>
      </c>
      <c r="D27" s="1">
        <f>IFERROR(VLOOKUP($A27,[1]库存使用数据!$A:$D,4,0),0)+IFERROR(VLOOKUP($A27,[2]库存使用数据!$A:$D,4,0),0)+公式!$B$1*IFERROR(VLOOKUP($A27,[3]库存使用数据!$A:$D,4,0),0)+IFERROR(VLOOKUP($A27,[4]库存使用数据!$A:$D,4,0),0)+IFERROR(VLOOKUP($A27,[5]库存使用数据!$A:$D,4,0),0)</f>
        <v>128.45</v>
      </c>
      <c r="E27" s="1">
        <f>IFERROR(VLOOKUP($A27,[1]库存使用数据!$A:$E,5,0),0)+IFERROR(VLOOKUP($A27,[2]库存使用数据!$A:$E,5,0),0)+IFERROR(VLOOKUP($A27,[3]库存使用数据!$A:$E,5,0),0)+IFERROR(VLOOKUP($A27,[4]库存使用数据!$A:$E,5,0),0)+IFERROR(VLOOKUP($A27,[5]库存使用数据!$A:$E,5,0),0)</f>
        <v>155625</v>
      </c>
      <c r="F27" s="1">
        <f>IFERROR(VLOOKUP($A27,[1]库存使用数据!$A:$F,6,0),0)+IFERROR(VLOOKUP($A27,[2]库存使用数据!$A:$F,6,0),0)+IFERROR(VLOOKUP($A27,[4]库存使用数据!$A:$F,6,0),0)+IFERROR(VLOOKUP($A27,[3]库存使用数据!$A:$F,6,0),0)+IFERROR(VLOOKUP($A27,[5]库存使用数据!$A:$F,6,0),0)</f>
        <v>1288</v>
      </c>
      <c r="G27" s="1">
        <f>IFERROR(VLOOKUP($A27,[1]库存使用数据!$A:$G,7,0),0)+IFERROR(VLOOKUP($A27,[2]库存使用数据!$A:$G,7,0),0)+公式!$B$14*IFERROR(VLOOKUP($A27,[3]库存使用数据!$A:$G,7,0),0)+IFERROR(VLOOKUP($A27,[4]库存使用数据!$A:$G,7,0),0)+IFERROR(VLOOKUP($A27,[5]库存使用数据!$A:$G,7,0),0)</f>
        <v>97.56</v>
      </c>
      <c r="H27" s="1">
        <f>IFERROR(VLOOKUP($A27,[1]库存使用数据!$A:$H,8,0),0)+IFERROR(VLOOKUP($A27,[2]库存使用数据!$A:$H,8,0),0)+IFERROR(VLOOKUP($A27,[3]库存使用数据!$A:$H,8,0),0)+IFERROR(VLOOKUP($A27,[4]库存使用数据!$A:$H,8,0),0)+IFERROR(VLOOKUP($A27,[5]库存使用数据!$A:$H,8,0),0)</f>
        <v>148696</v>
      </c>
      <c r="I27" s="1">
        <f>IFERROR(VLOOKUP($A27,[1]库存使用数据!$A:$I,9,0),0)+IFERROR(VLOOKUP($A27,[2]库存使用数据!$A:$I,9,0),0)+IFERROR(VLOOKUP($A27,[3]库存使用数据!$A:$I,9,0),0)+IFERROR(VLOOKUP($A27,[4]库存使用数据!$A:$I,9,0),0)+IFERROR(VLOOKUP($A27,[5]库存使用数据!$A:$I,9,0),0)</f>
        <v>1193</v>
      </c>
      <c r="J27" s="1">
        <f>IFERROR(VLOOKUP($A27,[1]库存使用数据!$A:$J,10,0),0)+IFERROR(VLOOKUP($A27,[2]库存使用数据!$A:$J,10,0),0)+公式!$B$14*IFERROR(VLOOKUP($A27,[3]库存使用数据!$A:$J,10,0),0)+IFERROR(VLOOKUP($A27,[4]库存使用数据!$A:$J,10,0),0)+IFERROR(VLOOKUP($A27,[5]库存使用数据!$A:$J,10,0),0)</f>
        <v>95.31</v>
      </c>
      <c r="K27" s="1">
        <f>IFERROR(VLOOKUP($A27,[1]库存使用数据!$A:$K,11,0),0)+IFERROR(VLOOKUP($A27,[2]库存使用数据!$A:$K,11,0),0)+IFERROR(VLOOKUP($A27,[3]库存使用数据!$A:$K,11,0),0)+IFERROR(VLOOKUP($A27,[4]库存使用数据!$A:$K,11,0),0)+IFERROR(VLOOKUP($A27,[5]库存使用数据!$A:$K,11,0),0)</f>
        <v>142507</v>
      </c>
      <c r="L27" s="1">
        <f>IFERROR(VLOOKUP($A27,[1]库存使用数据!$A:$L,12,0),0)+IFERROR(VLOOKUP($A27,[2]库存使用数据!$A:$L,12,0),0)+IFERROR(VLOOKUP($A27,[3]库存使用数据!$A:$L,12,0),0)+IFERROR(VLOOKUP($A27,[4]库存使用数据!$A:$L,12,0),0)+IFERROR(VLOOKUP($A27,[5]库存使用数据!$A:$L,12,0),0)</f>
        <v>1128</v>
      </c>
      <c r="M27" s="1">
        <f>IFERROR(VLOOKUP($A27,[1]库存使用数据!$A:$M,13,0),0)+IFERROR(VLOOKUP($A27,[2]库存使用数据!$A:$M,13,0),0)+公式!$B$14*IFERROR(VLOOKUP($A27,[3]库存使用数据!$A:$M,13,0),0)+IFERROR(VLOOKUP($A27,[4]库存使用数据!$A:$M,13,0),0)+IFERROR(VLOOKUP($A27,[5]库存使用数据!$A:$M,13,0),0)</f>
        <v>85.8</v>
      </c>
    </row>
    <row r="28" spans="1:13">
      <c r="A28" s="5" t="s">
        <v>33</v>
      </c>
      <c r="B28" s="2">
        <f>IFERROR(VLOOKUP(A28,[1]库存使用数据!$A:$B,2,0),0)+IFERROR(VLOOKUP(A28,[2]库存使用数据!$A:$B,2,0),0)+IFERROR(VLOOKUP(,[3]库存使用数据!$A:$B,2,0),0)+IFERROR(VLOOKUP(A28,[4]库存使用数据!$A:$B,2,0),0)+IFERROR(VLOOKUP(A28,[5]库存使用数据!$A:$B,2,0),0)</f>
        <v>78393</v>
      </c>
      <c r="C28" s="1">
        <f>IFERROR(VLOOKUP($A28,[1]库存使用数据!$A:$C,3,0),0)+IFERROR(VLOOKUP($A28,[2]库存使用数据!$A:$C,3,0),0)+IFERROR(VLOOKUP($A28,[3]库存使用数据!$A:$C,3,0),0)+IFERROR(VLOOKUP($A28,[4]库存使用数据!$A:$C,3,0),0)+IFERROR(VLOOKUP($A28,[5]库存使用数据!$A:$C,3,0),0)</f>
        <v>285</v>
      </c>
      <c r="D28" s="1">
        <f>IFERROR(VLOOKUP($A28,[1]库存使用数据!$A:$D,4,0),0)+IFERROR(VLOOKUP($A28,[2]库存使用数据!$A:$D,4,0),0)+公式!$B$1*IFERROR(VLOOKUP($A28,[3]库存使用数据!$A:$D,4,0),0)+IFERROR(VLOOKUP($A28,[4]库存使用数据!$A:$D,4,0),0)+IFERROR(VLOOKUP($A28,[5]库存使用数据!$A:$D,4,0),0)</f>
        <v>28.39625</v>
      </c>
      <c r="E28" s="1">
        <f>IFERROR(VLOOKUP($A28,[1]库存使用数据!$A:$E,5,0),0)+IFERROR(VLOOKUP($A28,[2]库存使用数据!$A:$E,5,0),0)+IFERROR(VLOOKUP($A28,[3]库存使用数据!$A:$E,5,0),0)+IFERROR(VLOOKUP($A28,[4]库存使用数据!$A:$E,5,0),0)+IFERROR(VLOOKUP($A28,[5]库存使用数据!$A:$E,5,0),0)</f>
        <v>67439</v>
      </c>
      <c r="F28" s="1">
        <f>IFERROR(VLOOKUP($A28,[1]库存使用数据!$A:$F,6,0),0)+IFERROR(VLOOKUP($A28,[2]库存使用数据!$A:$F,6,0),0)+IFERROR(VLOOKUP($A28,[4]库存使用数据!$A:$F,6,0),0)+IFERROR(VLOOKUP($A28,[3]库存使用数据!$A:$F,6,0),0)+IFERROR(VLOOKUP($A28,[5]库存使用数据!$A:$F,6,0),0)</f>
        <v>281</v>
      </c>
      <c r="G28" s="1">
        <f>IFERROR(VLOOKUP($A28,[1]库存使用数据!$A:$G,7,0),0)+IFERROR(VLOOKUP($A28,[2]库存使用数据!$A:$G,7,0),0)+公式!$B$14*IFERROR(VLOOKUP($A28,[3]库存使用数据!$A:$G,7,0),0)+IFERROR(VLOOKUP($A28,[4]库存使用数据!$A:$G,7,0),0)+IFERROR(VLOOKUP($A28,[5]库存使用数据!$A:$G,7,0),0)</f>
        <v>24.67</v>
      </c>
      <c r="H28" s="1">
        <f>IFERROR(VLOOKUP($A28,[1]库存使用数据!$A:$H,8,0),0)+IFERROR(VLOOKUP($A28,[2]库存使用数据!$A:$H,8,0),0)+IFERROR(VLOOKUP($A28,[3]库存使用数据!$A:$H,8,0),0)+IFERROR(VLOOKUP($A28,[4]库存使用数据!$A:$H,8,0),0)+IFERROR(VLOOKUP($A28,[5]库存使用数据!$A:$H,8,0),0)</f>
        <v>45992</v>
      </c>
      <c r="I28" s="1">
        <f>IFERROR(VLOOKUP($A28,[1]库存使用数据!$A:$I,9,0),0)+IFERROR(VLOOKUP($A28,[2]库存使用数据!$A:$I,9,0),0)+IFERROR(VLOOKUP($A28,[3]库存使用数据!$A:$I,9,0),0)+IFERROR(VLOOKUP($A28,[4]库存使用数据!$A:$I,9,0),0)+IFERROR(VLOOKUP($A28,[5]库存使用数据!$A:$I,9,0),0)</f>
        <v>227</v>
      </c>
      <c r="J28" s="1">
        <f>IFERROR(VLOOKUP($A28,[1]库存使用数据!$A:$J,10,0),0)+IFERROR(VLOOKUP($A28,[2]库存使用数据!$A:$J,10,0),0)+公式!$B$14*IFERROR(VLOOKUP($A28,[3]库存使用数据!$A:$J,10,0),0)+IFERROR(VLOOKUP($A28,[4]库存使用数据!$A:$J,10,0),0)+IFERROR(VLOOKUP($A28,[5]库存使用数据!$A:$J,10,0),0)</f>
        <v>23.69</v>
      </c>
      <c r="K28" s="1">
        <f>IFERROR(VLOOKUP($A28,[1]库存使用数据!$A:$K,11,0),0)+IFERROR(VLOOKUP($A28,[2]库存使用数据!$A:$K,11,0),0)+IFERROR(VLOOKUP($A28,[3]库存使用数据!$A:$K,11,0),0)+IFERROR(VLOOKUP($A28,[4]库存使用数据!$A:$K,11,0),0)+IFERROR(VLOOKUP($A28,[5]库存使用数据!$A:$K,11,0),0)</f>
        <v>55754</v>
      </c>
      <c r="L28" s="1">
        <f>IFERROR(VLOOKUP($A28,[1]库存使用数据!$A:$L,12,0),0)+IFERROR(VLOOKUP($A28,[2]库存使用数据!$A:$L,12,0),0)+IFERROR(VLOOKUP($A28,[3]库存使用数据!$A:$L,12,0),0)+IFERROR(VLOOKUP($A28,[4]库存使用数据!$A:$L,12,0),0)+IFERROR(VLOOKUP($A28,[5]库存使用数据!$A:$L,12,0),0)</f>
        <v>230</v>
      </c>
      <c r="M28" s="1">
        <f>IFERROR(VLOOKUP($A28,[1]库存使用数据!$A:$M,13,0),0)+IFERROR(VLOOKUP($A28,[2]库存使用数据!$A:$M,13,0),0)+公式!$B$14*IFERROR(VLOOKUP($A28,[3]库存使用数据!$A:$M,13,0),0)+IFERROR(VLOOKUP($A28,[4]库存使用数据!$A:$M,13,0),0)+IFERROR(VLOOKUP($A28,[5]库存使用数据!$A:$M,13,0),0)</f>
        <v>23.89</v>
      </c>
    </row>
    <row r="29" spans="1:13">
      <c r="A29" s="5" t="s">
        <v>34</v>
      </c>
      <c r="B29" s="2">
        <f>IFERROR(VLOOKUP(A29,[1]库存使用数据!$A:$B,2,0),0)+IFERROR(VLOOKUP(A29,[2]库存使用数据!$A:$B,2,0),0)+IFERROR(VLOOKUP(,[3]库存使用数据!$A:$B,2,0),0)+IFERROR(VLOOKUP(A29,[4]库存使用数据!$A:$B,2,0),0)+IFERROR(VLOOKUP(A29,[5]库存使用数据!$A:$B,2,0),0)</f>
        <v>74106</v>
      </c>
      <c r="C29" s="1">
        <f>IFERROR(VLOOKUP($A29,[1]库存使用数据!$A:$C,3,0),0)+IFERROR(VLOOKUP($A29,[2]库存使用数据!$A:$C,3,0),0)+IFERROR(VLOOKUP($A29,[3]库存使用数据!$A:$C,3,0),0)+IFERROR(VLOOKUP($A29,[4]库存使用数据!$A:$C,3,0),0)+IFERROR(VLOOKUP($A29,[5]库存使用数据!$A:$C,3,0),0)</f>
        <v>311</v>
      </c>
      <c r="D29" s="1">
        <f>IFERROR(VLOOKUP($A29,[1]库存使用数据!$A:$D,4,0),0)+IFERROR(VLOOKUP($A29,[2]库存使用数据!$A:$D,4,0),0)+公式!$B$1*IFERROR(VLOOKUP($A29,[3]库存使用数据!$A:$D,4,0),0)+IFERROR(VLOOKUP($A29,[4]库存使用数据!$A:$D,4,0),0)+IFERROR(VLOOKUP($A29,[5]库存使用数据!$A:$D,4,0),0)</f>
        <v>35.45</v>
      </c>
      <c r="E29" s="1">
        <f>IFERROR(VLOOKUP($A29,[1]库存使用数据!$A:$E,5,0),0)+IFERROR(VLOOKUP($A29,[2]库存使用数据!$A:$E,5,0),0)+IFERROR(VLOOKUP($A29,[3]库存使用数据!$A:$E,5,0),0)+IFERROR(VLOOKUP($A29,[4]库存使用数据!$A:$E,5,0),0)+IFERROR(VLOOKUP($A29,[5]库存使用数据!$A:$E,5,0),0)</f>
        <v>73625</v>
      </c>
      <c r="F29" s="1">
        <f>IFERROR(VLOOKUP($A29,[1]库存使用数据!$A:$F,6,0),0)+IFERROR(VLOOKUP($A29,[2]库存使用数据!$A:$F,6,0),0)+IFERROR(VLOOKUP($A29,[4]库存使用数据!$A:$F,6,0),0)+IFERROR(VLOOKUP($A29,[3]库存使用数据!$A:$F,6,0),0)+IFERROR(VLOOKUP($A29,[5]库存使用数据!$A:$F,6,0),0)</f>
        <v>296</v>
      </c>
      <c r="G29" s="1">
        <f>IFERROR(VLOOKUP($A29,[1]库存使用数据!$A:$G,7,0),0)+IFERROR(VLOOKUP($A29,[2]库存使用数据!$A:$G,7,0),0)+公式!$B$14*IFERROR(VLOOKUP($A29,[3]库存使用数据!$A:$G,7,0),0)+IFERROR(VLOOKUP($A29,[4]库存使用数据!$A:$G,7,0),0)+IFERROR(VLOOKUP($A29,[5]库存使用数据!$A:$G,7,0),0)</f>
        <v>32.03</v>
      </c>
      <c r="H29" s="1">
        <f>IFERROR(VLOOKUP($A29,[1]库存使用数据!$A:$H,8,0),0)+IFERROR(VLOOKUP($A29,[2]库存使用数据!$A:$H,8,0),0)+IFERROR(VLOOKUP($A29,[3]库存使用数据!$A:$H,8,0),0)+IFERROR(VLOOKUP($A29,[4]库存使用数据!$A:$H,8,0),0)+IFERROR(VLOOKUP($A29,[5]库存使用数据!$A:$H,8,0),0)</f>
        <v>72993</v>
      </c>
      <c r="I29" s="1">
        <f>IFERROR(VLOOKUP($A29,[1]库存使用数据!$A:$I,9,0),0)+IFERROR(VLOOKUP($A29,[2]库存使用数据!$A:$I,9,0),0)+IFERROR(VLOOKUP($A29,[3]库存使用数据!$A:$I,9,0),0)+IFERROR(VLOOKUP($A29,[4]库存使用数据!$A:$I,9,0),0)+IFERROR(VLOOKUP($A29,[5]库存使用数据!$A:$I,9,0),0)</f>
        <v>331</v>
      </c>
      <c r="J29" s="1">
        <f>IFERROR(VLOOKUP($A29,[1]库存使用数据!$A:$J,10,0),0)+IFERROR(VLOOKUP($A29,[2]库存使用数据!$A:$J,10,0),0)+公式!$B$14*IFERROR(VLOOKUP($A29,[3]库存使用数据!$A:$J,10,0),0)+IFERROR(VLOOKUP($A29,[4]库存使用数据!$A:$J,10,0),0)+IFERROR(VLOOKUP($A29,[5]库存使用数据!$A:$J,10,0),0)</f>
        <v>35.79</v>
      </c>
      <c r="K29" s="1">
        <f>IFERROR(VLOOKUP($A29,[1]库存使用数据!$A:$K,11,0),0)+IFERROR(VLOOKUP($A29,[2]库存使用数据!$A:$K,11,0),0)+IFERROR(VLOOKUP($A29,[3]库存使用数据!$A:$K,11,0),0)+IFERROR(VLOOKUP($A29,[4]库存使用数据!$A:$K,11,0),0)+IFERROR(VLOOKUP($A29,[5]库存使用数据!$A:$K,11,0),0)</f>
        <v>40725</v>
      </c>
      <c r="L29" s="1">
        <f>IFERROR(VLOOKUP($A29,[1]库存使用数据!$A:$L,12,0),0)+IFERROR(VLOOKUP($A29,[2]库存使用数据!$A:$L,12,0),0)+IFERROR(VLOOKUP($A29,[3]库存使用数据!$A:$L,12,0),0)+IFERROR(VLOOKUP($A29,[4]库存使用数据!$A:$L,12,0),0)+IFERROR(VLOOKUP($A29,[5]库存使用数据!$A:$L,12,0),0)</f>
        <v>206</v>
      </c>
      <c r="M29" s="1">
        <f>IFERROR(VLOOKUP($A29,[1]库存使用数据!$A:$M,13,0),0)+IFERROR(VLOOKUP($A29,[2]库存使用数据!$A:$M,13,0),0)+公式!$B$14*IFERROR(VLOOKUP($A29,[3]库存使用数据!$A:$M,13,0),0)+IFERROR(VLOOKUP($A29,[4]库存使用数据!$A:$M,13,0),0)+IFERROR(VLOOKUP($A29,[5]库存使用数据!$A:$M,13,0),0)</f>
        <v>19.49</v>
      </c>
    </row>
    <row r="30" spans="1:13">
      <c r="A30" s="5" t="s">
        <v>35</v>
      </c>
      <c r="B30" s="2">
        <f>IFERROR(VLOOKUP(A30,[1]库存使用数据!$A:$B,2,0),0)+IFERROR(VLOOKUP(A30,[2]库存使用数据!$A:$B,2,0),0)+IFERROR(VLOOKUP(,[3]库存使用数据!$A:$B,2,0),0)+IFERROR(VLOOKUP(A30,[4]库存使用数据!$A:$B,2,0),0)+IFERROR(VLOOKUP(A30,[5]库存使用数据!$A:$B,2,0),0)</f>
        <v>85660</v>
      </c>
      <c r="C30" s="1">
        <f>IFERROR(VLOOKUP($A30,[1]库存使用数据!$A:$C,3,0),0)+IFERROR(VLOOKUP($A30,[2]库存使用数据!$A:$C,3,0),0)+IFERROR(VLOOKUP($A30,[3]库存使用数据!$A:$C,3,0),0)+IFERROR(VLOOKUP($A30,[4]库存使用数据!$A:$C,3,0),0)+IFERROR(VLOOKUP($A30,[5]库存使用数据!$A:$C,3,0),0)</f>
        <v>546</v>
      </c>
      <c r="D30" s="1">
        <f>IFERROR(VLOOKUP($A30,[1]库存使用数据!$A:$D,4,0),0)+IFERROR(VLOOKUP($A30,[2]库存使用数据!$A:$D,4,0),0)+公式!$B$1*IFERROR(VLOOKUP($A30,[3]库存使用数据!$A:$D,4,0),0)+IFERROR(VLOOKUP($A30,[4]库存使用数据!$A:$D,4,0),0)+IFERROR(VLOOKUP($A30,[5]库存使用数据!$A:$D,4,0),0)</f>
        <v>74.56625</v>
      </c>
      <c r="E30" s="1">
        <f>IFERROR(VLOOKUP($A30,[1]库存使用数据!$A:$E,5,0),0)+IFERROR(VLOOKUP($A30,[2]库存使用数据!$A:$E,5,0),0)+IFERROR(VLOOKUP($A30,[3]库存使用数据!$A:$E,5,0),0)+IFERROR(VLOOKUP($A30,[4]库存使用数据!$A:$E,5,0),0)+IFERROR(VLOOKUP($A30,[5]库存使用数据!$A:$E,5,0),0)</f>
        <v>71940</v>
      </c>
      <c r="F30" s="1">
        <f>IFERROR(VLOOKUP($A30,[1]库存使用数据!$A:$F,6,0),0)+IFERROR(VLOOKUP($A30,[2]库存使用数据!$A:$F,6,0),0)+IFERROR(VLOOKUP($A30,[4]库存使用数据!$A:$F,6,0),0)+IFERROR(VLOOKUP($A30,[3]库存使用数据!$A:$F,6,0),0)+IFERROR(VLOOKUP($A30,[5]库存使用数据!$A:$F,6,0),0)</f>
        <v>472</v>
      </c>
      <c r="G30" s="1">
        <f>IFERROR(VLOOKUP($A30,[1]库存使用数据!$A:$G,7,0),0)+IFERROR(VLOOKUP($A30,[2]库存使用数据!$A:$G,7,0),0)+公式!$B$14*IFERROR(VLOOKUP($A30,[3]库存使用数据!$A:$G,7,0),0)+IFERROR(VLOOKUP($A30,[4]库存使用数据!$A:$G,7,0),0)+IFERROR(VLOOKUP($A30,[5]库存使用数据!$A:$G,7,0),0)</f>
        <v>57.65</v>
      </c>
      <c r="H30" s="1">
        <f>IFERROR(VLOOKUP($A30,[1]库存使用数据!$A:$H,8,0),0)+IFERROR(VLOOKUP($A30,[2]库存使用数据!$A:$H,8,0),0)+IFERROR(VLOOKUP($A30,[3]库存使用数据!$A:$H,8,0),0)+IFERROR(VLOOKUP($A30,[4]库存使用数据!$A:$H,8,0),0)+IFERROR(VLOOKUP($A30,[5]库存使用数据!$A:$H,8,0),0)</f>
        <v>41513</v>
      </c>
      <c r="I30" s="1">
        <f>IFERROR(VLOOKUP($A30,[1]库存使用数据!$A:$I,9,0),0)+IFERROR(VLOOKUP($A30,[2]库存使用数据!$A:$I,9,0),0)+IFERROR(VLOOKUP($A30,[3]库存使用数据!$A:$I,9,0),0)+IFERROR(VLOOKUP($A30,[4]库存使用数据!$A:$I,9,0),0)+IFERROR(VLOOKUP($A30,[5]库存使用数据!$A:$I,9,0),0)</f>
        <v>302</v>
      </c>
      <c r="J30" s="1">
        <f>IFERROR(VLOOKUP($A30,[1]库存使用数据!$A:$J,10,0),0)+IFERROR(VLOOKUP($A30,[2]库存使用数据!$A:$J,10,0),0)+公式!$B$14*IFERROR(VLOOKUP($A30,[3]库存使用数据!$A:$J,10,0),0)+IFERROR(VLOOKUP($A30,[4]库存使用数据!$A:$J,10,0),0)+IFERROR(VLOOKUP($A30,[5]库存使用数据!$A:$J,10,0),0)</f>
        <v>41.34</v>
      </c>
      <c r="K30" s="1">
        <f>IFERROR(VLOOKUP($A30,[1]库存使用数据!$A:$K,11,0),0)+IFERROR(VLOOKUP($A30,[2]库存使用数据!$A:$K,11,0),0)+IFERROR(VLOOKUP($A30,[3]库存使用数据!$A:$K,11,0),0)+IFERROR(VLOOKUP($A30,[4]库存使用数据!$A:$K,11,0),0)+IFERROR(VLOOKUP($A30,[5]库存使用数据!$A:$K,11,0),0)</f>
        <v>54613</v>
      </c>
      <c r="L30" s="1">
        <f>IFERROR(VLOOKUP($A30,[1]库存使用数据!$A:$L,12,0),0)+IFERROR(VLOOKUP($A30,[2]库存使用数据!$A:$L,12,0),0)+IFERROR(VLOOKUP($A30,[3]库存使用数据!$A:$L,12,0),0)+IFERROR(VLOOKUP($A30,[4]库存使用数据!$A:$L,12,0),0)+IFERROR(VLOOKUP($A30,[5]库存使用数据!$A:$L,12,0),0)</f>
        <v>412</v>
      </c>
      <c r="M30" s="1">
        <f>IFERROR(VLOOKUP($A30,[1]库存使用数据!$A:$M,13,0),0)+IFERROR(VLOOKUP($A30,[2]库存使用数据!$A:$M,13,0),0)+公式!$B$14*IFERROR(VLOOKUP($A30,[3]库存使用数据!$A:$M,13,0),0)+IFERROR(VLOOKUP($A30,[4]库存使用数据!$A:$M,13,0),0)+IFERROR(VLOOKUP($A30,[5]库存使用数据!$A:$M,13,0),0)</f>
        <v>52.86</v>
      </c>
    </row>
    <row r="31" spans="1:13">
      <c r="A31" s="5" t="s">
        <v>36</v>
      </c>
      <c r="B31" s="2">
        <f>IFERROR(VLOOKUP(A31,[1]库存使用数据!$A:$B,2,0),0)+IFERROR(VLOOKUP(A31,[2]库存使用数据!$A:$B,2,0),0)+IFERROR(VLOOKUP(,[3]库存使用数据!$A:$B,2,0),0)+IFERROR(VLOOKUP(A31,[4]库存使用数据!$A:$B,2,0),0)+IFERROR(VLOOKUP(A31,[5]库存使用数据!$A:$B,2,0),0)</f>
        <v>41368</v>
      </c>
      <c r="C31" s="1">
        <f>IFERROR(VLOOKUP($A31,[1]库存使用数据!$A:$C,3,0),0)+IFERROR(VLOOKUP($A31,[2]库存使用数据!$A:$C,3,0),0)+IFERROR(VLOOKUP($A31,[3]库存使用数据!$A:$C,3,0),0)+IFERROR(VLOOKUP($A31,[4]库存使用数据!$A:$C,3,0),0)+IFERROR(VLOOKUP($A31,[5]库存使用数据!$A:$C,3,0),0)</f>
        <v>572</v>
      </c>
      <c r="D31" s="1">
        <f>IFERROR(VLOOKUP($A31,[1]库存使用数据!$A:$D,4,0),0)+IFERROR(VLOOKUP($A31,[2]库存使用数据!$A:$D,4,0),0)+公式!$B$1*IFERROR(VLOOKUP($A31,[3]库存使用数据!$A:$D,4,0),0)+IFERROR(VLOOKUP($A31,[4]库存使用数据!$A:$D,4,0),0)+IFERROR(VLOOKUP($A31,[5]库存使用数据!$A:$D,4,0),0)</f>
        <v>75.36</v>
      </c>
      <c r="E31" s="1">
        <f>IFERROR(VLOOKUP($A31,[1]库存使用数据!$A:$E,5,0),0)+IFERROR(VLOOKUP($A31,[2]库存使用数据!$A:$E,5,0),0)+IFERROR(VLOOKUP($A31,[3]库存使用数据!$A:$E,5,0),0)+IFERROR(VLOOKUP($A31,[4]库存使用数据!$A:$E,5,0),0)+IFERROR(VLOOKUP($A31,[5]库存使用数据!$A:$E,5,0),0)</f>
        <v>32660</v>
      </c>
      <c r="F31" s="1">
        <f>IFERROR(VLOOKUP($A31,[1]库存使用数据!$A:$F,6,0),0)+IFERROR(VLOOKUP($A31,[2]库存使用数据!$A:$F,6,0),0)+IFERROR(VLOOKUP($A31,[4]库存使用数据!$A:$F,6,0),0)+IFERROR(VLOOKUP($A31,[3]库存使用数据!$A:$F,6,0),0)+IFERROR(VLOOKUP($A31,[5]库存使用数据!$A:$F,6,0),0)</f>
        <v>502</v>
      </c>
      <c r="G31" s="1">
        <f>IFERROR(VLOOKUP($A31,[1]库存使用数据!$A:$G,7,0),0)+IFERROR(VLOOKUP($A31,[2]库存使用数据!$A:$G,7,0),0)+公式!$B$14*IFERROR(VLOOKUP($A31,[3]库存使用数据!$A:$G,7,0),0)+IFERROR(VLOOKUP($A31,[4]库存使用数据!$A:$G,7,0),0)+IFERROR(VLOOKUP($A31,[5]库存使用数据!$A:$G,7,0),0)</f>
        <v>60.59</v>
      </c>
      <c r="H31" s="1">
        <f>IFERROR(VLOOKUP($A31,[1]库存使用数据!$A:$H,8,0),0)+IFERROR(VLOOKUP($A31,[2]库存使用数据!$A:$H,8,0),0)+IFERROR(VLOOKUP($A31,[3]库存使用数据!$A:$H,8,0),0)+IFERROR(VLOOKUP($A31,[4]库存使用数据!$A:$H,8,0),0)+IFERROR(VLOOKUP($A31,[5]库存使用数据!$A:$H,8,0),0)</f>
        <v>27686</v>
      </c>
      <c r="I31" s="1">
        <f>IFERROR(VLOOKUP($A31,[1]库存使用数据!$A:$I,9,0),0)+IFERROR(VLOOKUP($A31,[2]库存使用数据!$A:$I,9,0),0)+IFERROR(VLOOKUP($A31,[3]库存使用数据!$A:$I,9,0),0)+IFERROR(VLOOKUP($A31,[4]库存使用数据!$A:$I,9,0),0)+IFERROR(VLOOKUP($A31,[5]库存使用数据!$A:$I,9,0),0)</f>
        <v>368</v>
      </c>
      <c r="J31" s="1">
        <f>IFERROR(VLOOKUP($A31,[1]库存使用数据!$A:$J,10,0),0)+IFERROR(VLOOKUP($A31,[2]库存使用数据!$A:$J,10,0),0)+公式!$B$14*IFERROR(VLOOKUP($A31,[3]库存使用数据!$A:$J,10,0),0)+IFERROR(VLOOKUP($A31,[4]库存使用数据!$A:$J,10,0),0)+IFERROR(VLOOKUP($A31,[5]库存使用数据!$A:$J,10,0),0)</f>
        <v>48.11</v>
      </c>
      <c r="K31" s="1">
        <f>IFERROR(VLOOKUP($A31,[1]库存使用数据!$A:$K,11,0),0)+IFERROR(VLOOKUP($A31,[2]库存使用数据!$A:$K,11,0),0)+IFERROR(VLOOKUP($A31,[3]库存使用数据!$A:$K,11,0),0)+IFERROR(VLOOKUP($A31,[4]库存使用数据!$A:$K,11,0),0)+IFERROR(VLOOKUP($A31,[5]库存使用数据!$A:$K,11,0),0)</f>
        <v>44903</v>
      </c>
      <c r="L31" s="1">
        <f>IFERROR(VLOOKUP($A31,[1]库存使用数据!$A:$L,12,0),0)+IFERROR(VLOOKUP($A31,[2]库存使用数据!$A:$L,12,0),0)+IFERROR(VLOOKUP($A31,[3]库存使用数据!$A:$L,12,0),0)+IFERROR(VLOOKUP($A31,[4]库存使用数据!$A:$L,12,0),0)+IFERROR(VLOOKUP($A31,[5]库存使用数据!$A:$L,12,0),0)</f>
        <v>474</v>
      </c>
      <c r="M31" s="1">
        <f>IFERROR(VLOOKUP($A31,[1]库存使用数据!$A:$M,13,0),0)+IFERROR(VLOOKUP($A31,[2]库存使用数据!$A:$M,13,0),0)+公式!$B$14*IFERROR(VLOOKUP($A31,[3]库存使用数据!$A:$M,13,0),0)+IFERROR(VLOOKUP($A31,[4]库存使用数据!$A:$M,13,0),0)+IFERROR(VLOOKUP($A31,[5]库存使用数据!$A:$M,13,0),0)</f>
        <v>61.63</v>
      </c>
    </row>
    <row r="32" spans="1:13">
      <c r="A32" s="5" t="s">
        <v>37</v>
      </c>
      <c r="B32" s="2">
        <f>IFERROR(VLOOKUP(A32,[1]库存使用数据!$A:$B,2,0),0)+IFERROR(VLOOKUP(A32,[2]库存使用数据!$A:$B,2,0),0)+IFERROR(VLOOKUP(,[3]库存使用数据!$A:$B,2,0),0)+IFERROR(VLOOKUP(A32,[4]库存使用数据!$A:$B,2,0),0)+IFERROR(VLOOKUP(A32,[5]库存使用数据!$A:$B,2,0),0)</f>
        <v>12866</v>
      </c>
      <c r="C32" s="1">
        <f>IFERROR(VLOOKUP($A32,[1]库存使用数据!$A:$C,3,0),0)+IFERROR(VLOOKUP($A32,[2]库存使用数据!$A:$C,3,0),0)+IFERROR(VLOOKUP($A32,[3]库存使用数据!$A:$C,3,0),0)+IFERROR(VLOOKUP($A32,[4]库存使用数据!$A:$C,3,0),0)+IFERROR(VLOOKUP($A32,[5]库存使用数据!$A:$C,3,0),0)</f>
        <v>129</v>
      </c>
      <c r="D32" s="1">
        <f>IFERROR(VLOOKUP($A32,[1]库存使用数据!$A:$D,4,0),0)+IFERROR(VLOOKUP($A32,[2]库存使用数据!$A:$D,4,0),0)+公式!$B$1*IFERROR(VLOOKUP($A32,[3]库存使用数据!$A:$D,4,0),0)+IFERROR(VLOOKUP($A32,[4]库存使用数据!$A:$D,4,0),0)+IFERROR(VLOOKUP($A32,[5]库存使用数据!$A:$D,4,0),0)</f>
        <v>17.79</v>
      </c>
      <c r="E32" s="1">
        <f>IFERROR(VLOOKUP($A32,[1]库存使用数据!$A:$E,5,0),0)+IFERROR(VLOOKUP($A32,[2]库存使用数据!$A:$E,5,0),0)+IFERROR(VLOOKUP($A32,[3]库存使用数据!$A:$E,5,0),0)+IFERROR(VLOOKUP($A32,[4]库存使用数据!$A:$E,5,0),0)+IFERROR(VLOOKUP($A32,[5]库存使用数据!$A:$E,5,0),0)</f>
        <v>12661</v>
      </c>
      <c r="F32" s="1">
        <f>IFERROR(VLOOKUP($A32,[1]库存使用数据!$A:$F,6,0),0)+IFERROR(VLOOKUP($A32,[2]库存使用数据!$A:$F,6,0),0)+IFERROR(VLOOKUP($A32,[4]库存使用数据!$A:$F,6,0),0)+IFERROR(VLOOKUP($A32,[3]库存使用数据!$A:$F,6,0),0)+IFERROR(VLOOKUP($A32,[5]库存使用数据!$A:$F,6,0),0)</f>
        <v>103</v>
      </c>
      <c r="G32" s="1">
        <f>IFERROR(VLOOKUP($A32,[1]库存使用数据!$A:$G,7,0),0)+IFERROR(VLOOKUP($A32,[2]库存使用数据!$A:$G,7,0),0)+公式!$B$14*IFERROR(VLOOKUP($A32,[3]库存使用数据!$A:$G,7,0),0)+IFERROR(VLOOKUP($A32,[4]库存使用数据!$A:$G,7,0),0)+IFERROR(VLOOKUP($A32,[5]库存使用数据!$A:$G,7,0),0)</f>
        <v>15.46</v>
      </c>
      <c r="H32" s="1">
        <f>IFERROR(VLOOKUP($A32,[1]库存使用数据!$A:$H,8,0),0)+IFERROR(VLOOKUP($A32,[2]库存使用数据!$A:$H,8,0),0)+IFERROR(VLOOKUP($A32,[3]库存使用数据!$A:$H,8,0),0)+IFERROR(VLOOKUP($A32,[4]库存使用数据!$A:$H,8,0),0)+IFERROR(VLOOKUP($A32,[5]库存使用数据!$A:$H,8,0),0)</f>
        <v>9708</v>
      </c>
      <c r="I32" s="1">
        <f>IFERROR(VLOOKUP($A32,[1]库存使用数据!$A:$I,9,0),0)+IFERROR(VLOOKUP($A32,[2]库存使用数据!$A:$I,9,0),0)+IFERROR(VLOOKUP($A32,[3]库存使用数据!$A:$I,9,0),0)+IFERROR(VLOOKUP($A32,[4]库存使用数据!$A:$I,9,0),0)+IFERROR(VLOOKUP($A32,[5]库存使用数据!$A:$I,9,0),0)</f>
        <v>89</v>
      </c>
      <c r="J32" s="1">
        <f>IFERROR(VLOOKUP($A32,[1]库存使用数据!$A:$J,10,0),0)+IFERROR(VLOOKUP($A32,[2]库存使用数据!$A:$J,10,0),0)+公式!$B$14*IFERROR(VLOOKUP($A32,[3]库存使用数据!$A:$J,10,0),0)+IFERROR(VLOOKUP($A32,[4]库存使用数据!$A:$J,10,0),0)+IFERROR(VLOOKUP($A32,[5]库存使用数据!$A:$J,10,0),0)</f>
        <v>13.13</v>
      </c>
      <c r="K32" s="1">
        <f>IFERROR(VLOOKUP($A32,[1]库存使用数据!$A:$K,11,0),0)+IFERROR(VLOOKUP($A32,[2]库存使用数据!$A:$K,11,0),0)+IFERROR(VLOOKUP($A32,[3]库存使用数据!$A:$K,11,0),0)+IFERROR(VLOOKUP($A32,[4]库存使用数据!$A:$K,11,0),0)+IFERROR(VLOOKUP($A32,[5]库存使用数据!$A:$K,11,0),0)</f>
        <v>7530</v>
      </c>
      <c r="L32" s="1">
        <f>IFERROR(VLOOKUP($A32,[1]库存使用数据!$A:$L,12,0),0)+IFERROR(VLOOKUP($A32,[2]库存使用数据!$A:$L,12,0),0)+IFERROR(VLOOKUP($A32,[3]库存使用数据!$A:$L,12,0),0)+IFERROR(VLOOKUP($A32,[4]库存使用数据!$A:$L,12,0),0)+IFERROR(VLOOKUP($A32,[5]库存使用数据!$A:$L,12,0),0)</f>
        <v>50</v>
      </c>
      <c r="M32" s="1">
        <f>IFERROR(VLOOKUP($A32,[1]库存使用数据!$A:$M,13,0),0)+IFERROR(VLOOKUP($A32,[2]库存使用数据!$A:$M,13,0),0)+公式!$B$14*IFERROR(VLOOKUP($A32,[3]库存使用数据!$A:$M,13,0),0)+IFERROR(VLOOKUP($A32,[4]库存使用数据!$A:$M,13,0),0)+IFERROR(VLOOKUP($A32,[5]库存使用数据!$A:$M,13,0),0)</f>
        <v>7.01</v>
      </c>
    </row>
    <row r="33" spans="1:13">
      <c r="A33" s="5" t="s">
        <v>38</v>
      </c>
      <c r="B33" s="2">
        <f>IFERROR(VLOOKUP(A33,[1]库存使用数据!$A:$B,2,0),0)+IFERROR(VLOOKUP(A33,[2]库存使用数据!$A:$B,2,0),0)+IFERROR(VLOOKUP(,[3]库存使用数据!$A:$B,2,0),0)+IFERROR(VLOOKUP(A33,[4]库存使用数据!$A:$B,2,0),0)+IFERROR(VLOOKUP(A33,[5]库存使用数据!$A:$B,2,0),0)</f>
        <v>14560</v>
      </c>
      <c r="C33" s="1">
        <f>IFERROR(VLOOKUP($A33,[1]库存使用数据!$A:$C,3,0),0)+IFERROR(VLOOKUP($A33,[2]库存使用数据!$A:$C,3,0),0)+IFERROR(VLOOKUP($A33,[3]库存使用数据!$A:$C,3,0),0)+IFERROR(VLOOKUP($A33,[4]库存使用数据!$A:$C,3,0),0)+IFERROR(VLOOKUP($A33,[5]库存使用数据!$A:$C,3,0),0)</f>
        <v>260</v>
      </c>
      <c r="D33" s="1">
        <f>IFERROR(VLOOKUP($A33,[1]库存使用数据!$A:$D,4,0),0)+IFERROR(VLOOKUP($A33,[2]库存使用数据!$A:$D,4,0),0)+公式!$B$1*IFERROR(VLOOKUP($A33,[3]库存使用数据!$A:$D,4,0),0)+IFERROR(VLOOKUP($A33,[4]库存使用数据!$A:$D,4,0),0)+IFERROR(VLOOKUP($A33,[5]库存使用数据!$A:$D,4,0),0)</f>
        <v>43.4375</v>
      </c>
      <c r="E33" s="1">
        <f>IFERROR(VLOOKUP($A33,[1]库存使用数据!$A:$E,5,0),0)+IFERROR(VLOOKUP($A33,[2]库存使用数据!$A:$E,5,0),0)+IFERROR(VLOOKUP($A33,[3]库存使用数据!$A:$E,5,0),0)+IFERROR(VLOOKUP($A33,[4]库存使用数据!$A:$E,5,0),0)+IFERROR(VLOOKUP($A33,[5]库存使用数据!$A:$E,5,0),0)</f>
        <v>35540</v>
      </c>
      <c r="F33" s="1">
        <f>IFERROR(VLOOKUP($A33,[1]库存使用数据!$A:$F,6,0),0)+IFERROR(VLOOKUP($A33,[2]库存使用数据!$A:$F,6,0),0)+IFERROR(VLOOKUP($A33,[4]库存使用数据!$A:$F,6,0),0)+IFERROR(VLOOKUP($A33,[3]库存使用数据!$A:$F,6,0),0)+IFERROR(VLOOKUP($A33,[5]库存使用数据!$A:$F,6,0),0)</f>
        <v>179</v>
      </c>
      <c r="G33" s="1">
        <f>IFERROR(VLOOKUP($A33,[1]库存使用数据!$A:$G,7,0),0)+IFERROR(VLOOKUP($A33,[2]库存使用数据!$A:$G,7,0),0)+公式!$B$14*IFERROR(VLOOKUP($A33,[3]库存使用数据!$A:$G,7,0),0)+IFERROR(VLOOKUP($A33,[4]库存使用数据!$A:$G,7,0),0)+IFERROR(VLOOKUP($A33,[5]库存使用数据!$A:$G,7,0),0)</f>
        <v>5.8</v>
      </c>
      <c r="H33" s="1">
        <f>IFERROR(VLOOKUP($A33,[1]库存使用数据!$A:$H,8,0),0)+IFERROR(VLOOKUP($A33,[2]库存使用数据!$A:$H,8,0),0)+IFERROR(VLOOKUP($A33,[3]库存使用数据!$A:$H,8,0),0)+IFERROR(VLOOKUP($A33,[4]库存使用数据!$A:$H,8,0),0)+IFERROR(VLOOKUP($A33,[5]库存使用数据!$A:$H,8,0),0)</f>
        <v>36814</v>
      </c>
      <c r="I33" s="1">
        <f>IFERROR(VLOOKUP($A33,[1]库存使用数据!$A:$I,9,0),0)+IFERROR(VLOOKUP($A33,[2]库存使用数据!$A:$I,9,0),0)+IFERROR(VLOOKUP($A33,[3]库存使用数据!$A:$I,9,0),0)+IFERROR(VLOOKUP($A33,[4]库存使用数据!$A:$I,9,0),0)+IFERROR(VLOOKUP($A33,[5]库存使用数据!$A:$I,9,0),0)</f>
        <v>217</v>
      </c>
      <c r="J33" s="1">
        <f>IFERROR(VLOOKUP($A33,[1]库存使用数据!$A:$J,10,0),0)+IFERROR(VLOOKUP($A33,[2]库存使用数据!$A:$J,10,0),0)+公式!$B$14*IFERROR(VLOOKUP($A33,[3]库存使用数据!$A:$J,10,0),0)+IFERROR(VLOOKUP($A33,[4]库存使用数据!$A:$J,10,0),0)+IFERROR(VLOOKUP($A33,[5]库存使用数据!$A:$J,10,0),0)</f>
        <v>11.43</v>
      </c>
      <c r="K33" s="1">
        <f>IFERROR(VLOOKUP($A33,[1]库存使用数据!$A:$K,11,0),0)+IFERROR(VLOOKUP($A33,[2]库存使用数据!$A:$K,11,0),0)+IFERROR(VLOOKUP($A33,[3]库存使用数据!$A:$K,11,0),0)+IFERROR(VLOOKUP($A33,[4]库存使用数据!$A:$K,11,0),0)+IFERROR(VLOOKUP($A33,[5]库存使用数据!$A:$K,11,0),0)</f>
        <v>9543</v>
      </c>
      <c r="L33" s="1">
        <f>IFERROR(VLOOKUP($A33,[1]库存使用数据!$A:$L,12,0),0)+IFERROR(VLOOKUP($A33,[2]库存使用数据!$A:$L,12,0),0)+IFERROR(VLOOKUP($A33,[3]库存使用数据!$A:$L,12,0),0)+IFERROR(VLOOKUP($A33,[4]库存使用数据!$A:$L,12,0),0)+IFERROR(VLOOKUP($A33,[5]库存使用数据!$A:$L,12,0),0)</f>
        <v>42</v>
      </c>
      <c r="M33" s="1">
        <f>IFERROR(VLOOKUP($A33,[1]库存使用数据!$A:$M,13,0),0)+IFERROR(VLOOKUP($A33,[2]库存使用数据!$A:$M,13,0),0)+公式!$B$14*IFERROR(VLOOKUP($A33,[3]库存使用数据!$A:$M,13,0),0)+IFERROR(VLOOKUP($A33,[4]库存使用数据!$A:$M,13,0),0)+IFERROR(VLOOKUP($A33,[5]库存使用数据!$A:$M,13,0),0)</f>
        <v>2.12</v>
      </c>
    </row>
    <row r="34" spans="1:13">
      <c r="A34" s="5" t="s">
        <v>39</v>
      </c>
      <c r="B34" s="2">
        <f>IFERROR(VLOOKUP(A34,[1]库存使用数据!$A:$B,2,0),0)+IFERROR(VLOOKUP(A34,[2]库存使用数据!$A:$B,2,0),0)+IFERROR(VLOOKUP(,[3]库存使用数据!$A:$B,2,0),0)+IFERROR(VLOOKUP(A34,[4]库存使用数据!$A:$B,2,0),0)+IFERROR(VLOOKUP(A34,[5]库存使用数据!$A:$B,2,0),0)</f>
        <v>27337</v>
      </c>
      <c r="C34" s="1">
        <f>IFERROR(VLOOKUP($A34,[1]库存使用数据!$A:$C,3,0),0)+IFERROR(VLOOKUP($A34,[2]库存使用数据!$A:$C,3,0),0)+IFERROR(VLOOKUP($A34,[3]库存使用数据!$A:$C,3,0),0)+IFERROR(VLOOKUP($A34,[4]库存使用数据!$A:$C,3,0),0)+IFERROR(VLOOKUP($A34,[5]库存使用数据!$A:$C,3,0),0)</f>
        <v>121</v>
      </c>
      <c r="D34" s="1">
        <f>IFERROR(VLOOKUP($A34,[1]库存使用数据!$A:$D,4,0),0)+IFERROR(VLOOKUP($A34,[2]库存使用数据!$A:$D,4,0),0)+公式!$B$1*IFERROR(VLOOKUP($A34,[3]库存使用数据!$A:$D,4,0),0)+IFERROR(VLOOKUP($A34,[4]库存使用数据!$A:$D,4,0),0)+IFERROR(VLOOKUP($A34,[5]库存使用数据!$A:$D,4,0),0)</f>
        <v>18.68625</v>
      </c>
      <c r="E34" s="1">
        <f>IFERROR(VLOOKUP($A34,[1]库存使用数据!$A:$E,5,0),0)+IFERROR(VLOOKUP($A34,[2]库存使用数据!$A:$E,5,0),0)+IFERROR(VLOOKUP($A34,[3]库存使用数据!$A:$E,5,0),0)+IFERROR(VLOOKUP($A34,[4]库存使用数据!$A:$E,5,0),0)+IFERROR(VLOOKUP($A34,[5]库存使用数据!$A:$E,5,0),0)</f>
        <v>32529</v>
      </c>
      <c r="F34" s="1">
        <f>IFERROR(VLOOKUP($A34,[1]库存使用数据!$A:$F,6,0),0)+IFERROR(VLOOKUP($A34,[2]库存使用数据!$A:$F,6,0),0)+IFERROR(VLOOKUP($A34,[4]库存使用数据!$A:$F,6,0),0)+IFERROR(VLOOKUP($A34,[3]库存使用数据!$A:$F,6,0),0)+IFERROR(VLOOKUP($A34,[5]库存使用数据!$A:$F,6,0),0)</f>
        <v>133</v>
      </c>
      <c r="G34" s="1">
        <f>IFERROR(VLOOKUP($A34,[1]库存使用数据!$A:$G,7,0),0)+IFERROR(VLOOKUP($A34,[2]库存使用数据!$A:$G,7,0),0)+公式!$B$14*IFERROR(VLOOKUP($A34,[3]库存使用数据!$A:$G,7,0),0)+IFERROR(VLOOKUP($A34,[4]库存使用数据!$A:$G,7,0),0)+IFERROR(VLOOKUP($A34,[5]库存使用数据!$A:$G,7,0),0)</f>
        <v>17.12</v>
      </c>
      <c r="H34" s="1">
        <f>IFERROR(VLOOKUP($A34,[1]库存使用数据!$A:$H,8,0),0)+IFERROR(VLOOKUP($A34,[2]库存使用数据!$A:$H,8,0),0)+IFERROR(VLOOKUP($A34,[3]库存使用数据!$A:$H,8,0),0)+IFERROR(VLOOKUP($A34,[4]库存使用数据!$A:$H,8,0),0)+IFERROR(VLOOKUP($A34,[5]库存使用数据!$A:$H,8,0),0)</f>
        <v>21304</v>
      </c>
      <c r="I34" s="1">
        <f>IFERROR(VLOOKUP($A34,[1]库存使用数据!$A:$I,9,0),0)+IFERROR(VLOOKUP($A34,[2]库存使用数据!$A:$I,9,0),0)+IFERROR(VLOOKUP($A34,[3]库存使用数据!$A:$I,9,0),0)+IFERROR(VLOOKUP($A34,[4]库存使用数据!$A:$I,9,0),0)+IFERROR(VLOOKUP($A34,[5]库存使用数据!$A:$I,9,0),0)</f>
        <v>167</v>
      </c>
      <c r="J34" s="1">
        <f>IFERROR(VLOOKUP($A34,[1]库存使用数据!$A:$J,10,0),0)+IFERROR(VLOOKUP($A34,[2]库存使用数据!$A:$J,10,0),0)+公式!$B$14*IFERROR(VLOOKUP($A34,[3]库存使用数据!$A:$J,10,0),0)+IFERROR(VLOOKUP($A34,[4]库存使用数据!$A:$J,10,0),0)+IFERROR(VLOOKUP($A34,[5]库存使用数据!$A:$J,10,0),0)</f>
        <v>25.36</v>
      </c>
      <c r="K34" s="1">
        <f>IFERROR(VLOOKUP($A34,[1]库存使用数据!$A:$K,11,0),0)+IFERROR(VLOOKUP($A34,[2]库存使用数据!$A:$K,11,0),0)+IFERROR(VLOOKUP($A34,[3]库存使用数据!$A:$K,11,0),0)+IFERROR(VLOOKUP($A34,[4]库存使用数据!$A:$K,11,0),0)+IFERROR(VLOOKUP($A34,[5]库存使用数据!$A:$K,11,0),0)</f>
        <v>25513</v>
      </c>
      <c r="L34" s="1">
        <f>IFERROR(VLOOKUP($A34,[1]库存使用数据!$A:$L,12,0),0)+IFERROR(VLOOKUP($A34,[2]库存使用数据!$A:$L,12,0),0)+IFERROR(VLOOKUP($A34,[3]库存使用数据!$A:$L,12,0),0)+IFERROR(VLOOKUP($A34,[4]库存使用数据!$A:$L,12,0),0)+IFERROR(VLOOKUP($A34,[5]库存使用数据!$A:$L,12,0),0)</f>
        <v>153</v>
      </c>
      <c r="M34" s="1">
        <f>IFERROR(VLOOKUP($A34,[1]库存使用数据!$A:$M,13,0),0)+IFERROR(VLOOKUP($A34,[2]库存使用数据!$A:$M,13,0),0)+公式!$B$14*IFERROR(VLOOKUP($A34,[3]库存使用数据!$A:$M,13,0),0)+IFERROR(VLOOKUP($A34,[4]库存使用数据!$A:$M,13,0),0)+IFERROR(VLOOKUP($A34,[5]库存使用数据!$A:$M,13,0),0)</f>
        <v>23.83</v>
      </c>
    </row>
    <row r="35" spans="1:13">
      <c r="A35" s="5" t="s">
        <v>40</v>
      </c>
      <c r="B35" s="2">
        <f>IFERROR(VLOOKUP(A35,[1]库存使用数据!$A:$B,2,0),0)+IFERROR(VLOOKUP(A35,[2]库存使用数据!$A:$B,2,0),0)+IFERROR(VLOOKUP(,[3]库存使用数据!$A:$B,2,0),0)+IFERROR(VLOOKUP(A35,[4]库存使用数据!$A:$B,2,0),0)+IFERROR(VLOOKUP(A35,[5]库存使用数据!$A:$B,2,0),0)</f>
        <v>31142</v>
      </c>
      <c r="C35" s="1">
        <f>IFERROR(VLOOKUP($A35,[1]库存使用数据!$A:$C,3,0),0)+IFERROR(VLOOKUP($A35,[2]库存使用数据!$A:$C,3,0),0)+IFERROR(VLOOKUP($A35,[3]库存使用数据!$A:$C,3,0),0)+IFERROR(VLOOKUP($A35,[4]库存使用数据!$A:$C,3,0),0)+IFERROR(VLOOKUP($A35,[5]库存使用数据!$A:$C,3,0),0)</f>
        <v>265</v>
      </c>
      <c r="D35" s="1">
        <f>IFERROR(VLOOKUP($A35,[1]库存使用数据!$A:$D,4,0),0)+IFERROR(VLOOKUP($A35,[2]库存使用数据!$A:$D,4,0),0)+公式!$B$1*IFERROR(VLOOKUP($A35,[3]库存使用数据!$A:$D,4,0),0)+IFERROR(VLOOKUP($A35,[4]库存使用数据!$A:$D,4,0),0)+IFERROR(VLOOKUP($A35,[5]库存使用数据!$A:$D,4,0),0)</f>
        <v>42.35</v>
      </c>
      <c r="E35" s="1">
        <f>IFERROR(VLOOKUP($A35,[1]库存使用数据!$A:$E,5,0),0)+IFERROR(VLOOKUP($A35,[2]库存使用数据!$A:$E,5,0),0)+IFERROR(VLOOKUP($A35,[3]库存使用数据!$A:$E,5,0),0)+IFERROR(VLOOKUP($A35,[4]库存使用数据!$A:$E,5,0),0)+IFERROR(VLOOKUP($A35,[5]库存使用数据!$A:$E,5,0),0)</f>
        <v>43134</v>
      </c>
      <c r="F35" s="1">
        <f>IFERROR(VLOOKUP($A35,[1]库存使用数据!$A:$F,6,0),0)+IFERROR(VLOOKUP($A35,[2]库存使用数据!$A:$F,6,0),0)+IFERROR(VLOOKUP($A35,[4]库存使用数据!$A:$F,6,0),0)+IFERROR(VLOOKUP($A35,[3]库存使用数据!$A:$F,6,0),0)+IFERROR(VLOOKUP($A35,[5]库存使用数据!$A:$F,6,0),0)</f>
        <v>362</v>
      </c>
      <c r="G35" s="1">
        <f>IFERROR(VLOOKUP($A35,[1]库存使用数据!$A:$G,7,0),0)+IFERROR(VLOOKUP($A35,[2]库存使用数据!$A:$G,7,0),0)+公式!$B$14*IFERROR(VLOOKUP($A35,[3]库存使用数据!$A:$G,7,0),0)+IFERROR(VLOOKUP($A35,[4]库存使用数据!$A:$G,7,0),0)+IFERROR(VLOOKUP($A35,[5]库存使用数据!$A:$G,7,0),0)</f>
        <v>54.42</v>
      </c>
      <c r="H35" s="1">
        <f>IFERROR(VLOOKUP($A35,[1]库存使用数据!$A:$H,8,0),0)+IFERROR(VLOOKUP($A35,[2]库存使用数据!$A:$H,8,0),0)+IFERROR(VLOOKUP($A35,[3]库存使用数据!$A:$H,8,0),0)+IFERROR(VLOOKUP($A35,[4]库存使用数据!$A:$H,8,0),0)+IFERROR(VLOOKUP($A35,[5]库存使用数据!$A:$H,8,0),0)</f>
        <v>27293</v>
      </c>
      <c r="I35" s="1">
        <f>IFERROR(VLOOKUP($A35,[1]库存使用数据!$A:$I,9,0),0)+IFERROR(VLOOKUP($A35,[2]库存使用数据!$A:$I,9,0),0)+IFERROR(VLOOKUP($A35,[3]库存使用数据!$A:$I,9,0),0)+IFERROR(VLOOKUP($A35,[4]库存使用数据!$A:$I,9,0),0)+IFERROR(VLOOKUP($A35,[5]库存使用数据!$A:$I,9,0),0)</f>
        <v>269</v>
      </c>
      <c r="J35" s="1">
        <f>IFERROR(VLOOKUP($A35,[1]库存使用数据!$A:$J,10,0),0)+IFERROR(VLOOKUP($A35,[2]库存使用数据!$A:$J,10,0),0)+公式!$B$14*IFERROR(VLOOKUP($A35,[3]库存使用数据!$A:$J,10,0),0)+IFERROR(VLOOKUP($A35,[4]库存使用数据!$A:$J,10,0),0)+IFERROR(VLOOKUP($A35,[5]库存使用数据!$A:$J,10,0),0)</f>
        <v>40.73</v>
      </c>
      <c r="K35" s="1">
        <f>IFERROR(VLOOKUP($A35,[1]库存使用数据!$A:$K,11,0),0)+IFERROR(VLOOKUP($A35,[2]库存使用数据!$A:$K,11,0),0)+IFERROR(VLOOKUP($A35,[3]库存使用数据!$A:$K,11,0),0)+IFERROR(VLOOKUP($A35,[4]库存使用数据!$A:$K,11,0),0)+IFERROR(VLOOKUP($A35,[5]库存使用数据!$A:$K,11,0),0)</f>
        <v>16666</v>
      </c>
      <c r="L35" s="1">
        <f>IFERROR(VLOOKUP($A35,[1]库存使用数据!$A:$L,12,0),0)+IFERROR(VLOOKUP($A35,[2]库存使用数据!$A:$L,12,0),0)+IFERROR(VLOOKUP($A35,[3]库存使用数据!$A:$L,12,0),0)+IFERROR(VLOOKUP($A35,[4]库存使用数据!$A:$L,12,0),0)+IFERROR(VLOOKUP($A35,[5]库存使用数据!$A:$L,12,0),0)</f>
        <v>156</v>
      </c>
      <c r="M35" s="1">
        <f>IFERROR(VLOOKUP($A35,[1]库存使用数据!$A:$M,13,0),0)+IFERROR(VLOOKUP($A35,[2]库存使用数据!$A:$M,13,0),0)+公式!$B$14*IFERROR(VLOOKUP($A35,[3]库存使用数据!$A:$M,13,0),0)+IFERROR(VLOOKUP($A35,[4]库存使用数据!$A:$M,13,0),0)+IFERROR(VLOOKUP($A35,[5]库存使用数据!$A:$M,13,0),0)</f>
        <v>22.04</v>
      </c>
    </row>
    <row r="36" spans="1:13">
      <c r="A36" s="5" t="s">
        <v>41</v>
      </c>
      <c r="B36" s="2">
        <f>IFERROR(VLOOKUP(A36,[1]库存使用数据!$A:$B,2,0),0)+IFERROR(VLOOKUP(A36,[2]库存使用数据!$A:$B,2,0),0)+IFERROR(VLOOKUP(,[3]库存使用数据!$A:$B,2,0),0)+IFERROR(VLOOKUP(A36,[4]库存使用数据!$A:$B,2,0),0)+IFERROR(VLOOKUP(A36,[5]库存使用数据!$A:$B,2,0),0)</f>
        <v>9989</v>
      </c>
      <c r="C36" s="1">
        <f>IFERROR(VLOOKUP($A36,[1]库存使用数据!$A:$C,3,0),0)+IFERROR(VLOOKUP($A36,[2]库存使用数据!$A:$C,3,0),0)+IFERROR(VLOOKUP($A36,[3]库存使用数据!$A:$C,3,0),0)+IFERROR(VLOOKUP($A36,[4]库存使用数据!$A:$C,3,0),0)+IFERROR(VLOOKUP($A36,[5]库存使用数据!$A:$C,3,0),0)</f>
        <v>141</v>
      </c>
      <c r="D36" s="1">
        <f>IFERROR(VLOOKUP($A36,[1]库存使用数据!$A:$D,4,0),0)+IFERROR(VLOOKUP($A36,[2]库存使用数据!$A:$D,4,0),0)+公式!$B$1*IFERROR(VLOOKUP($A36,[3]库存使用数据!$A:$D,4,0),0)+IFERROR(VLOOKUP($A36,[4]库存使用数据!$A:$D,4,0),0)+IFERROR(VLOOKUP($A36,[5]库存使用数据!$A:$D,4,0),0)</f>
        <v>29.68125</v>
      </c>
      <c r="E36" s="1">
        <f>IFERROR(VLOOKUP($A36,[1]库存使用数据!$A:$E,5,0),0)+IFERROR(VLOOKUP($A36,[2]库存使用数据!$A:$E,5,0),0)+IFERROR(VLOOKUP($A36,[3]库存使用数据!$A:$E,5,0),0)+IFERROR(VLOOKUP($A36,[4]库存使用数据!$A:$E,5,0),0)+IFERROR(VLOOKUP($A36,[5]库存使用数据!$A:$E,5,0),0)</f>
        <v>26870</v>
      </c>
      <c r="F36" s="1">
        <f>IFERROR(VLOOKUP($A36,[1]库存使用数据!$A:$F,6,0),0)+IFERROR(VLOOKUP($A36,[2]库存使用数据!$A:$F,6,0),0)+IFERROR(VLOOKUP($A36,[4]库存使用数据!$A:$F,6,0),0)+IFERROR(VLOOKUP($A36,[3]库存使用数据!$A:$F,6,0),0)+IFERROR(VLOOKUP($A36,[5]库存使用数据!$A:$F,6,0),0)</f>
        <v>192</v>
      </c>
      <c r="G36" s="1">
        <f>IFERROR(VLOOKUP($A36,[1]库存使用数据!$A:$G,7,0),0)+IFERROR(VLOOKUP($A36,[2]库存使用数据!$A:$G,7,0),0)+公式!$B$14*IFERROR(VLOOKUP($A36,[3]库存使用数据!$A:$G,7,0),0)+IFERROR(VLOOKUP($A36,[4]库存使用数据!$A:$G,7,0),0)+IFERROR(VLOOKUP($A36,[5]库存使用数据!$A:$G,7,0),0)</f>
        <v>9.05</v>
      </c>
      <c r="H36" s="1">
        <f>IFERROR(VLOOKUP($A36,[1]库存使用数据!$A:$H,8,0),0)+IFERROR(VLOOKUP($A36,[2]库存使用数据!$A:$H,8,0),0)+IFERROR(VLOOKUP($A36,[3]库存使用数据!$A:$H,8,0),0)+IFERROR(VLOOKUP($A36,[4]库存使用数据!$A:$H,8,0),0)+IFERROR(VLOOKUP($A36,[5]库存使用数据!$A:$H,8,0),0)</f>
        <v>31549</v>
      </c>
      <c r="I36" s="1">
        <f>IFERROR(VLOOKUP($A36,[1]库存使用数据!$A:$I,9,0),0)+IFERROR(VLOOKUP($A36,[2]库存使用数据!$A:$I,9,0),0)+IFERROR(VLOOKUP($A36,[3]库存使用数据!$A:$I,9,0),0)+IFERROR(VLOOKUP($A36,[4]库存使用数据!$A:$I,9,0),0)+IFERROR(VLOOKUP($A36,[5]库存使用数据!$A:$I,9,0),0)</f>
        <v>176</v>
      </c>
      <c r="J36" s="1">
        <f>IFERROR(VLOOKUP($A36,[1]库存使用数据!$A:$J,10,0),0)+IFERROR(VLOOKUP($A36,[2]库存使用数据!$A:$J,10,0),0)+公式!$B$14*IFERROR(VLOOKUP($A36,[3]库存使用数据!$A:$J,10,0),0)+IFERROR(VLOOKUP($A36,[4]库存使用数据!$A:$J,10,0),0)+IFERROR(VLOOKUP($A36,[5]库存使用数据!$A:$J,10,0),0)</f>
        <v>12.1</v>
      </c>
      <c r="K36" s="1">
        <f>IFERROR(VLOOKUP($A36,[1]库存使用数据!$A:$K,11,0),0)+IFERROR(VLOOKUP($A36,[2]库存使用数据!$A:$K,11,0),0)+IFERROR(VLOOKUP($A36,[3]库存使用数据!$A:$K,11,0),0)+IFERROR(VLOOKUP($A36,[4]库存使用数据!$A:$K,11,0),0)+IFERROR(VLOOKUP($A36,[5]库存使用数据!$A:$K,11,0),0)</f>
        <v>24125</v>
      </c>
      <c r="L36" s="1">
        <f>IFERROR(VLOOKUP($A36,[1]库存使用数据!$A:$L,12,0),0)+IFERROR(VLOOKUP($A36,[2]库存使用数据!$A:$L,12,0),0)+IFERROR(VLOOKUP($A36,[3]库存使用数据!$A:$L,12,0),0)+IFERROR(VLOOKUP($A36,[4]库存使用数据!$A:$L,12,0),0)+IFERROR(VLOOKUP($A36,[5]库存使用数据!$A:$L,12,0),0)</f>
        <v>173</v>
      </c>
      <c r="M36" s="1">
        <f>IFERROR(VLOOKUP($A36,[1]库存使用数据!$A:$M,13,0),0)+IFERROR(VLOOKUP($A36,[2]库存使用数据!$A:$M,13,0),0)+公式!$B$14*IFERROR(VLOOKUP($A36,[3]库存使用数据!$A:$M,13,0),0)+IFERROR(VLOOKUP($A36,[4]库存使用数据!$A:$M,13,0),0)+IFERROR(VLOOKUP($A36,[5]库存使用数据!$A:$M,13,0),0)</f>
        <v>11.92</v>
      </c>
    </row>
    <row r="37" spans="1:13">
      <c r="A37" s="5" t="s">
        <v>42</v>
      </c>
      <c r="B37" s="2">
        <f>IFERROR(VLOOKUP(A37,[1]库存使用数据!$A:$B,2,0),0)+IFERROR(VLOOKUP(A37,[2]库存使用数据!$A:$B,2,0),0)+IFERROR(VLOOKUP(,[3]库存使用数据!$A:$B,2,0),0)+IFERROR(VLOOKUP(A37,[4]库存使用数据!$A:$B,2,0),0)+IFERROR(VLOOKUP(A37,[5]库存使用数据!$A:$B,2,0),0)</f>
        <v>20162</v>
      </c>
      <c r="C37" s="1">
        <f>IFERROR(VLOOKUP($A37,[1]库存使用数据!$A:$C,3,0),0)+IFERROR(VLOOKUP($A37,[2]库存使用数据!$A:$C,3,0),0)+IFERROR(VLOOKUP($A37,[3]库存使用数据!$A:$C,3,0),0)+IFERROR(VLOOKUP($A37,[4]库存使用数据!$A:$C,3,0),0)+IFERROR(VLOOKUP($A37,[5]库存使用数据!$A:$C,3,0),0)</f>
        <v>123</v>
      </c>
      <c r="D37" s="1">
        <f>IFERROR(VLOOKUP($A37,[1]库存使用数据!$A:$D,4,0),0)+IFERROR(VLOOKUP($A37,[2]库存使用数据!$A:$D,4,0),0)+公式!$B$1*IFERROR(VLOOKUP($A37,[3]库存使用数据!$A:$D,4,0),0)+IFERROR(VLOOKUP($A37,[4]库存使用数据!$A:$D,4,0),0)+IFERROR(VLOOKUP($A37,[5]库存使用数据!$A:$D,4,0),0)</f>
        <v>23.4425</v>
      </c>
      <c r="E37" s="1">
        <f>IFERROR(VLOOKUP($A37,[1]库存使用数据!$A:$E,5,0),0)+IFERROR(VLOOKUP($A37,[2]库存使用数据!$A:$E,5,0),0)+IFERROR(VLOOKUP($A37,[3]库存使用数据!$A:$E,5,0),0)+IFERROR(VLOOKUP($A37,[4]库存使用数据!$A:$E,5,0),0)+IFERROR(VLOOKUP($A37,[5]库存使用数据!$A:$E,5,0),0)</f>
        <v>32466</v>
      </c>
      <c r="F37" s="1">
        <f>IFERROR(VLOOKUP($A37,[1]库存使用数据!$A:$F,6,0),0)+IFERROR(VLOOKUP($A37,[2]库存使用数据!$A:$F,6,0),0)+IFERROR(VLOOKUP($A37,[4]库存使用数据!$A:$F,6,0),0)+IFERROR(VLOOKUP($A37,[3]库存使用数据!$A:$F,6,0),0)+IFERROR(VLOOKUP($A37,[5]库存使用数据!$A:$F,6,0),0)</f>
        <v>83</v>
      </c>
      <c r="G37" s="1">
        <f>IFERROR(VLOOKUP($A37,[1]库存使用数据!$A:$G,7,0),0)+IFERROR(VLOOKUP($A37,[2]库存使用数据!$A:$G,7,0),0)+公式!$B$14*IFERROR(VLOOKUP($A37,[3]库存使用数据!$A:$G,7,0),0)+IFERROR(VLOOKUP($A37,[4]库存使用数据!$A:$G,7,0),0)+IFERROR(VLOOKUP($A37,[5]库存使用数据!$A:$G,7,0),0)</f>
        <v>3.94</v>
      </c>
      <c r="H37" s="1">
        <f>IFERROR(VLOOKUP($A37,[1]库存使用数据!$A:$H,8,0),0)+IFERROR(VLOOKUP($A37,[2]库存使用数据!$A:$H,8,0),0)+IFERROR(VLOOKUP($A37,[3]库存使用数据!$A:$H,8,0),0)+IFERROR(VLOOKUP($A37,[4]库存使用数据!$A:$H,8,0),0)+IFERROR(VLOOKUP($A37,[5]库存使用数据!$A:$H,8,0),0)</f>
        <v>24004</v>
      </c>
      <c r="I37" s="1">
        <f>IFERROR(VLOOKUP($A37,[1]库存使用数据!$A:$I,9,0),0)+IFERROR(VLOOKUP($A37,[2]库存使用数据!$A:$I,9,0),0)+IFERROR(VLOOKUP($A37,[3]库存使用数据!$A:$I,9,0),0)+IFERROR(VLOOKUP($A37,[4]库存使用数据!$A:$I,9,0),0)+IFERROR(VLOOKUP($A37,[5]库存使用数据!$A:$I,9,0),0)</f>
        <v>89</v>
      </c>
      <c r="J37" s="1">
        <f>IFERROR(VLOOKUP($A37,[1]库存使用数据!$A:$J,10,0),0)+IFERROR(VLOOKUP($A37,[2]库存使用数据!$A:$J,10,0),0)+公式!$B$14*IFERROR(VLOOKUP($A37,[3]库存使用数据!$A:$J,10,0),0)+IFERROR(VLOOKUP($A37,[4]库存使用数据!$A:$J,10,0),0)+IFERROR(VLOOKUP($A37,[5]库存使用数据!$A:$J,10,0),0)</f>
        <v>3.29</v>
      </c>
      <c r="K37" s="1">
        <f>IFERROR(VLOOKUP($A37,[1]库存使用数据!$A:$K,11,0),0)+IFERROR(VLOOKUP($A37,[2]库存使用数据!$A:$K,11,0),0)+IFERROR(VLOOKUP($A37,[3]库存使用数据!$A:$K,11,0),0)+IFERROR(VLOOKUP($A37,[4]库存使用数据!$A:$K,11,0),0)+IFERROR(VLOOKUP($A37,[5]库存使用数据!$A:$K,11,0),0)</f>
        <v>23970</v>
      </c>
      <c r="L37" s="1">
        <f>IFERROR(VLOOKUP($A37,[1]库存使用数据!$A:$L,12,0),0)+IFERROR(VLOOKUP($A37,[2]库存使用数据!$A:$L,12,0),0)+IFERROR(VLOOKUP($A37,[3]库存使用数据!$A:$L,12,0),0)+IFERROR(VLOOKUP($A37,[4]库存使用数据!$A:$L,12,0),0)+IFERROR(VLOOKUP($A37,[5]库存使用数据!$A:$L,12,0),0)</f>
        <v>76</v>
      </c>
      <c r="M37" s="1">
        <f>IFERROR(VLOOKUP($A37,[1]库存使用数据!$A:$M,13,0),0)+IFERROR(VLOOKUP($A37,[2]库存使用数据!$A:$M,13,0),0)+公式!$B$14*IFERROR(VLOOKUP($A37,[3]库存使用数据!$A:$M,13,0),0)+IFERROR(VLOOKUP($A37,[4]库存使用数据!$A:$M,13,0),0)+IFERROR(VLOOKUP($A37,[5]库存使用数据!$A:$M,13,0),0)</f>
        <v>5.11</v>
      </c>
    </row>
    <row r="38" spans="1:13">
      <c r="A38" s="5" t="s">
        <v>43</v>
      </c>
      <c r="B38" s="2">
        <f>IFERROR(VLOOKUP(A38,[1]库存使用数据!$A:$B,2,0),0)+IFERROR(VLOOKUP(A38,[2]库存使用数据!$A:$B,2,0),0)+IFERROR(VLOOKUP(,[3]库存使用数据!$A:$B,2,0),0)+IFERROR(VLOOKUP(A38,[4]库存使用数据!$A:$B,2,0),0)+IFERROR(VLOOKUP(A38,[5]库存使用数据!$A:$B,2,0),0)</f>
        <v>0</v>
      </c>
      <c r="C38" s="1">
        <f>IFERROR(VLOOKUP($A38,[1]库存使用数据!$A:$C,3,0),0)+IFERROR(VLOOKUP($A38,[2]库存使用数据!$A:$C,3,0),0)+IFERROR(VLOOKUP($A38,[3]库存使用数据!$A:$C,3,0),0)+IFERROR(VLOOKUP($A38,[4]库存使用数据!$A:$C,3,0),0)+IFERROR(VLOOKUP($A38,[5]库存使用数据!$A:$C,3,0),0)</f>
        <v>0</v>
      </c>
      <c r="D38" s="1">
        <f>IFERROR(VLOOKUP($A38,[1]库存使用数据!$A:$D,4,0),0)+IFERROR(VLOOKUP($A38,[2]库存使用数据!$A:$D,4,0),0)+公式!$B$1*IFERROR(VLOOKUP($A38,[3]库存使用数据!$A:$D,4,0),0)+IFERROR(VLOOKUP($A38,[4]库存使用数据!$A:$D,4,0),0)+IFERROR(VLOOKUP($A38,[5]库存使用数据!$A:$D,4,0),0)</f>
        <v>0</v>
      </c>
      <c r="E38" s="1">
        <f>IFERROR(VLOOKUP($A38,[1]库存使用数据!$A:$E,5,0),0)+IFERROR(VLOOKUP($A38,[2]库存使用数据!$A:$E,5,0),0)+IFERROR(VLOOKUP($A38,[3]库存使用数据!$A:$E,5,0),0)+IFERROR(VLOOKUP($A38,[4]库存使用数据!$A:$E,5,0),0)+IFERROR(VLOOKUP($A38,[5]库存使用数据!$A:$E,5,0),0)</f>
        <v>28219</v>
      </c>
      <c r="F38" s="1">
        <f>IFERROR(VLOOKUP($A38,[1]库存使用数据!$A:$F,6,0),0)+IFERROR(VLOOKUP($A38,[2]库存使用数据!$A:$F,6,0),0)+IFERROR(VLOOKUP($A38,[4]库存使用数据!$A:$F,6,0),0)+IFERROR(VLOOKUP($A38,[3]库存使用数据!$A:$F,6,0),0)+IFERROR(VLOOKUP($A38,[5]库存使用数据!$A:$F,6,0),0)</f>
        <v>221</v>
      </c>
      <c r="G38" s="1">
        <f>IFERROR(VLOOKUP($A38,[1]库存使用数据!$A:$G,7,0),0)+IFERROR(VLOOKUP($A38,[2]库存使用数据!$A:$G,7,0),0)+公式!$B$14*IFERROR(VLOOKUP($A38,[3]库存使用数据!$A:$G,7,0),0)+IFERROR(VLOOKUP($A38,[4]库存使用数据!$A:$G,7,0),0)+IFERROR(VLOOKUP($A38,[5]库存使用数据!$A:$G,7,0),0)</f>
        <v>25.19</v>
      </c>
      <c r="H38" s="1">
        <f>IFERROR(VLOOKUP($A38,[1]库存使用数据!$A:$H,8,0),0)+IFERROR(VLOOKUP($A38,[2]库存使用数据!$A:$H,8,0),0)+IFERROR(VLOOKUP($A38,[3]库存使用数据!$A:$H,8,0),0)+IFERROR(VLOOKUP($A38,[4]库存使用数据!$A:$H,8,0),0)+IFERROR(VLOOKUP($A38,[5]库存使用数据!$A:$H,8,0),0)</f>
        <v>69605</v>
      </c>
      <c r="I38" s="1">
        <f>IFERROR(VLOOKUP($A38,[1]库存使用数据!$A:$I,9,0),0)+IFERROR(VLOOKUP($A38,[2]库存使用数据!$A:$I,9,0),0)+IFERROR(VLOOKUP($A38,[3]库存使用数据!$A:$I,9,0),0)+IFERROR(VLOOKUP($A38,[4]库存使用数据!$A:$I,9,0),0)+IFERROR(VLOOKUP($A38,[5]库存使用数据!$A:$I,9,0),0)</f>
        <v>647</v>
      </c>
      <c r="J38" s="1">
        <f>IFERROR(VLOOKUP($A38,[1]库存使用数据!$A:$J,10,0),0)+IFERROR(VLOOKUP($A38,[2]库存使用数据!$A:$J,10,0),0)+公式!$B$14*IFERROR(VLOOKUP($A38,[3]库存使用数据!$A:$J,10,0),0)+IFERROR(VLOOKUP($A38,[4]库存使用数据!$A:$J,10,0),0)+IFERROR(VLOOKUP($A38,[5]库存使用数据!$A:$J,10,0),0)</f>
        <v>72.32</v>
      </c>
      <c r="K38" s="1">
        <f>IFERROR(VLOOKUP($A38,[1]库存使用数据!$A:$K,11,0),0)+IFERROR(VLOOKUP($A38,[2]库存使用数据!$A:$K,11,0),0)+IFERROR(VLOOKUP($A38,[3]库存使用数据!$A:$K,11,0),0)+IFERROR(VLOOKUP($A38,[4]库存使用数据!$A:$K,11,0),0)+IFERROR(VLOOKUP($A38,[5]库存使用数据!$A:$K,11,0),0)</f>
        <v>16333</v>
      </c>
      <c r="L38" s="1">
        <f>IFERROR(VLOOKUP($A38,[1]库存使用数据!$A:$L,12,0),0)+IFERROR(VLOOKUP($A38,[2]库存使用数据!$A:$L,12,0),0)+IFERROR(VLOOKUP($A38,[3]库存使用数据!$A:$L,12,0),0)+IFERROR(VLOOKUP($A38,[4]库存使用数据!$A:$L,12,0),0)+IFERROR(VLOOKUP($A38,[5]库存使用数据!$A:$L,12,0),0)</f>
        <v>210</v>
      </c>
      <c r="M38" s="1">
        <f>IFERROR(VLOOKUP($A38,[1]库存使用数据!$A:$M,13,0),0)+IFERROR(VLOOKUP($A38,[2]库存使用数据!$A:$M,13,0),0)+公式!$B$14*IFERROR(VLOOKUP($A38,[3]库存使用数据!$A:$M,13,0),0)+IFERROR(VLOOKUP($A38,[4]库存使用数据!$A:$M,13,0),0)+IFERROR(VLOOKUP($A38,[5]库存使用数据!$A:$M,13,0),0)</f>
        <v>26.5</v>
      </c>
    </row>
    <row r="39" spans="1:13">
      <c r="A39" s="5" t="s">
        <v>44</v>
      </c>
      <c r="B39" s="2">
        <f>IFERROR(VLOOKUP(A39,[1]库存使用数据!$A:$B,2,0),0)+IFERROR(VLOOKUP(A39,[2]库存使用数据!$A:$B,2,0),0)+IFERROR(VLOOKUP(,[3]库存使用数据!$A:$B,2,0),0)+IFERROR(VLOOKUP(A39,[4]库存使用数据!$A:$B,2,0),0)+IFERROR(VLOOKUP(A39,[5]库存使用数据!$A:$B,2,0),0)</f>
        <v>10724</v>
      </c>
      <c r="C39" s="1">
        <f>IFERROR(VLOOKUP($A39,[1]库存使用数据!$A:$C,3,0),0)+IFERROR(VLOOKUP($A39,[2]库存使用数据!$A:$C,3,0),0)+IFERROR(VLOOKUP($A39,[3]库存使用数据!$A:$C,3,0),0)+IFERROR(VLOOKUP($A39,[4]库存使用数据!$A:$C,3,0),0)+IFERROR(VLOOKUP($A39,[5]库存使用数据!$A:$C,3,0),0)</f>
        <v>45</v>
      </c>
      <c r="D39" s="1">
        <f>IFERROR(VLOOKUP($A39,[1]库存使用数据!$A:$D,4,0),0)+IFERROR(VLOOKUP($A39,[2]库存使用数据!$A:$D,4,0),0)+公式!$B$1*IFERROR(VLOOKUP($A39,[3]库存使用数据!$A:$D,4,0),0)+IFERROR(VLOOKUP($A39,[4]库存使用数据!$A:$D,4,0),0)+IFERROR(VLOOKUP($A39,[5]库存使用数据!$A:$D,4,0),0)</f>
        <v>6.48125</v>
      </c>
      <c r="E39" s="1">
        <f>IFERROR(VLOOKUP($A39,[1]库存使用数据!$A:$E,5,0),0)+IFERROR(VLOOKUP($A39,[2]库存使用数据!$A:$E,5,0),0)+IFERROR(VLOOKUP($A39,[3]库存使用数据!$A:$E,5,0),0)+IFERROR(VLOOKUP($A39,[4]库存使用数据!$A:$E,5,0),0)+IFERROR(VLOOKUP($A39,[5]库存使用数据!$A:$E,5,0),0)</f>
        <v>9749</v>
      </c>
      <c r="F39" s="1">
        <f>IFERROR(VLOOKUP($A39,[1]库存使用数据!$A:$F,6,0),0)+IFERROR(VLOOKUP($A39,[2]库存使用数据!$A:$F,6,0),0)+IFERROR(VLOOKUP($A39,[4]库存使用数据!$A:$F,6,0),0)+IFERROR(VLOOKUP($A39,[3]库存使用数据!$A:$F,6,0),0)+IFERROR(VLOOKUP($A39,[5]库存使用数据!$A:$F,6,0),0)</f>
        <v>38</v>
      </c>
      <c r="G39" s="1">
        <f>IFERROR(VLOOKUP($A39,[1]库存使用数据!$A:$G,7,0),0)+IFERROR(VLOOKUP($A39,[2]库存使用数据!$A:$G,7,0),0)+公式!$B$14*IFERROR(VLOOKUP($A39,[3]库存使用数据!$A:$G,7,0),0)+IFERROR(VLOOKUP($A39,[4]库存使用数据!$A:$G,7,0),0)+IFERROR(VLOOKUP($A39,[5]库存使用数据!$A:$G,7,0),0)</f>
        <v>3.94</v>
      </c>
      <c r="H39" s="1">
        <f>IFERROR(VLOOKUP($A39,[1]库存使用数据!$A:$H,8,0),0)+IFERROR(VLOOKUP($A39,[2]库存使用数据!$A:$H,8,0),0)+IFERROR(VLOOKUP($A39,[3]库存使用数据!$A:$H,8,0),0)+IFERROR(VLOOKUP($A39,[4]库存使用数据!$A:$H,8,0),0)+IFERROR(VLOOKUP($A39,[5]库存使用数据!$A:$H,8,0),0)</f>
        <v>9700</v>
      </c>
      <c r="I39" s="1">
        <f>IFERROR(VLOOKUP($A39,[1]库存使用数据!$A:$I,9,0),0)+IFERROR(VLOOKUP($A39,[2]库存使用数据!$A:$I,9,0),0)+IFERROR(VLOOKUP($A39,[3]库存使用数据!$A:$I,9,0),0)+IFERROR(VLOOKUP($A39,[4]库存使用数据!$A:$I,9,0),0)+IFERROR(VLOOKUP($A39,[5]库存使用数据!$A:$I,9,0),0)</f>
        <v>42</v>
      </c>
      <c r="J39" s="1">
        <f>IFERROR(VLOOKUP($A39,[1]库存使用数据!$A:$J,10,0),0)+IFERROR(VLOOKUP($A39,[2]库存使用数据!$A:$J,10,0),0)+公式!$B$14*IFERROR(VLOOKUP($A39,[3]库存使用数据!$A:$J,10,0),0)+IFERROR(VLOOKUP($A39,[4]库存使用数据!$A:$J,10,0),0)+IFERROR(VLOOKUP($A39,[5]库存使用数据!$A:$J,10,0),0)</f>
        <v>4.71</v>
      </c>
      <c r="K39" s="1">
        <f>IFERROR(VLOOKUP($A39,[1]库存使用数据!$A:$K,11,0),0)+IFERROR(VLOOKUP($A39,[2]库存使用数据!$A:$K,11,0),0)+IFERROR(VLOOKUP($A39,[3]库存使用数据!$A:$K,11,0),0)+IFERROR(VLOOKUP($A39,[4]库存使用数据!$A:$K,11,0),0)+IFERROR(VLOOKUP($A39,[5]库存使用数据!$A:$K,11,0),0)</f>
        <v>5622</v>
      </c>
      <c r="L39" s="1">
        <f>IFERROR(VLOOKUP($A39,[1]库存使用数据!$A:$L,12,0),0)+IFERROR(VLOOKUP($A39,[2]库存使用数据!$A:$L,12,0),0)+IFERROR(VLOOKUP($A39,[3]库存使用数据!$A:$L,12,0),0)+IFERROR(VLOOKUP($A39,[4]库存使用数据!$A:$L,12,0),0)+IFERROR(VLOOKUP($A39,[5]库存使用数据!$A:$L,12,0),0)</f>
        <v>27</v>
      </c>
      <c r="M39" s="1">
        <f>IFERROR(VLOOKUP($A39,[1]库存使用数据!$A:$M,13,0),0)+IFERROR(VLOOKUP($A39,[2]库存使用数据!$A:$M,13,0),0)+公式!$B$14*IFERROR(VLOOKUP($A39,[3]库存使用数据!$A:$M,13,0),0)+IFERROR(VLOOKUP($A39,[4]库存使用数据!$A:$M,13,0),0)+IFERROR(VLOOKUP($A39,[5]库存使用数据!$A:$M,13,0),0)</f>
        <v>4.81</v>
      </c>
    </row>
    <row r="40" spans="1:13">
      <c r="A40" s="5" t="s">
        <v>45</v>
      </c>
      <c r="B40" s="2">
        <f>IFERROR(VLOOKUP(A40,[1]库存使用数据!$A:$B,2,0),0)+IFERROR(VLOOKUP(A40,[2]库存使用数据!$A:$B,2,0),0)+IFERROR(VLOOKUP(,[3]库存使用数据!$A:$B,2,0),0)+IFERROR(VLOOKUP(A40,[4]库存使用数据!$A:$B,2,0),0)+IFERROR(VLOOKUP(A40,[5]库存使用数据!$A:$B,2,0),0)</f>
        <v>23973</v>
      </c>
      <c r="C40" s="1">
        <f>IFERROR(VLOOKUP($A40,[1]库存使用数据!$A:$C,3,0),0)+IFERROR(VLOOKUP($A40,[2]库存使用数据!$A:$C,3,0),0)+IFERROR(VLOOKUP($A40,[3]库存使用数据!$A:$C,3,0),0)+IFERROR(VLOOKUP($A40,[4]库存使用数据!$A:$C,3,0),0)+IFERROR(VLOOKUP($A40,[5]库存使用数据!$A:$C,3,0),0)</f>
        <v>132</v>
      </c>
      <c r="D40" s="1">
        <f>IFERROR(VLOOKUP($A40,[1]库存使用数据!$A:$D,4,0),0)+IFERROR(VLOOKUP($A40,[2]库存使用数据!$A:$D,4,0),0)+公式!$B$1*IFERROR(VLOOKUP($A40,[3]库存使用数据!$A:$D,4,0),0)+IFERROR(VLOOKUP($A40,[4]库存使用数据!$A:$D,4,0),0)+IFERROR(VLOOKUP($A40,[5]库存使用数据!$A:$D,4,0),0)</f>
        <v>19.43375</v>
      </c>
      <c r="E40" s="1">
        <f>IFERROR(VLOOKUP($A40,[1]库存使用数据!$A:$E,5,0),0)+IFERROR(VLOOKUP($A40,[2]库存使用数据!$A:$E,5,0),0)+IFERROR(VLOOKUP($A40,[3]库存使用数据!$A:$E,5,0),0)+IFERROR(VLOOKUP($A40,[4]库存使用数据!$A:$E,5,0),0)+IFERROR(VLOOKUP($A40,[5]库存使用数据!$A:$E,5,0),0)</f>
        <v>31037</v>
      </c>
      <c r="F40" s="1">
        <f>IFERROR(VLOOKUP($A40,[1]库存使用数据!$A:$F,6,0),0)+IFERROR(VLOOKUP($A40,[2]库存使用数据!$A:$F,6,0),0)+IFERROR(VLOOKUP($A40,[4]库存使用数据!$A:$F,6,0),0)+IFERROR(VLOOKUP($A40,[3]库存使用数据!$A:$F,6,0),0)+IFERROR(VLOOKUP($A40,[5]库存使用数据!$A:$F,6,0),0)</f>
        <v>168</v>
      </c>
      <c r="G40" s="1">
        <f>IFERROR(VLOOKUP($A40,[1]库存使用数据!$A:$G,7,0),0)+IFERROR(VLOOKUP($A40,[2]库存使用数据!$A:$G,7,0),0)+公式!$B$14*IFERROR(VLOOKUP($A40,[3]库存使用数据!$A:$G,7,0),0)+IFERROR(VLOOKUP($A40,[4]库存使用数据!$A:$G,7,0),0)+IFERROR(VLOOKUP($A40,[5]库存使用数据!$A:$G,7,0),0)</f>
        <v>26.07</v>
      </c>
      <c r="H40" s="1">
        <f>IFERROR(VLOOKUP($A40,[1]库存使用数据!$A:$H,8,0),0)+IFERROR(VLOOKUP($A40,[2]库存使用数据!$A:$H,8,0),0)+IFERROR(VLOOKUP($A40,[3]库存使用数据!$A:$H,8,0),0)+IFERROR(VLOOKUP($A40,[4]库存使用数据!$A:$H,8,0),0)+IFERROR(VLOOKUP($A40,[5]库存使用数据!$A:$H,8,0),0)</f>
        <v>19316</v>
      </c>
      <c r="I40" s="1">
        <f>IFERROR(VLOOKUP($A40,[1]库存使用数据!$A:$I,9,0),0)+IFERROR(VLOOKUP($A40,[2]库存使用数据!$A:$I,9,0),0)+IFERROR(VLOOKUP($A40,[3]库存使用数据!$A:$I,9,0),0)+IFERROR(VLOOKUP($A40,[4]库存使用数据!$A:$I,9,0),0)+IFERROR(VLOOKUP($A40,[5]库存使用数据!$A:$I,9,0),0)</f>
        <v>124</v>
      </c>
      <c r="J40" s="1">
        <f>IFERROR(VLOOKUP($A40,[1]库存使用数据!$A:$J,10,0),0)+IFERROR(VLOOKUP($A40,[2]库存使用数据!$A:$J,10,0),0)+公式!$B$14*IFERROR(VLOOKUP($A40,[3]库存使用数据!$A:$J,10,0),0)+IFERROR(VLOOKUP($A40,[4]库存使用数据!$A:$J,10,0),0)+IFERROR(VLOOKUP($A40,[5]库存使用数据!$A:$J,10,0),0)</f>
        <v>20.1</v>
      </c>
      <c r="K40" s="1">
        <f>IFERROR(VLOOKUP($A40,[1]库存使用数据!$A:$K,11,0),0)+IFERROR(VLOOKUP($A40,[2]库存使用数据!$A:$K,11,0),0)+IFERROR(VLOOKUP($A40,[3]库存使用数据!$A:$K,11,0),0)+IFERROR(VLOOKUP($A40,[4]库存使用数据!$A:$K,11,0),0)+IFERROR(VLOOKUP($A40,[5]库存使用数据!$A:$K,11,0),0)</f>
        <v>34628</v>
      </c>
      <c r="L40" s="1">
        <f>IFERROR(VLOOKUP($A40,[1]库存使用数据!$A:$L,12,0),0)+IFERROR(VLOOKUP($A40,[2]库存使用数据!$A:$L,12,0),0)+IFERROR(VLOOKUP($A40,[3]库存使用数据!$A:$L,12,0),0)+IFERROR(VLOOKUP($A40,[4]库存使用数据!$A:$L,12,0),0)+IFERROR(VLOOKUP($A40,[5]库存使用数据!$A:$L,12,0),0)</f>
        <v>277</v>
      </c>
      <c r="M40" s="1">
        <f>IFERROR(VLOOKUP($A40,[1]库存使用数据!$A:$M,13,0),0)+IFERROR(VLOOKUP($A40,[2]库存使用数据!$A:$M,13,0),0)+公式!$B$14*IFERROR(VLOOKUP($A40,[3]库存使用数据!$A:$M,13,0),0)+IFERROR(VLOOKUP($A40,[4]库存使用数据!$A:$M,13,0),0)+IFERROR(VLOOKUP($A40,[5]库存使用数据!$A:$M,13,0),0)</f>
        <v>23.68</v>
      </c>
    </row>
    <row r="41" spans="1:13">
      <c r="A41" s="5" t="s">
        <v>46</v>
      </c>
      <c r="B41" s="2">
        <f>IFERROR(VLOOKUP(A41,[1]库存使用数据!$A:$B,2,0),0)+IFERROR(VLOOKUP(A41,[2]库存使用数据!$A:$B,2,0),0)+IFERROR(VLOOKUP(,[3]库存使用数据!$A:$B,2,0),0)+IFERROR(VLOOKUP(A41,[4]库存使用数据!$A:$B,2,0),0)+IFERROR(VLOOKUP(A41,[5]库存使用数据!$A:$B,2,0),0)</f>
        <v>48215</v>
      </c>
      <c r="C41" s="1">
        <f>IFERROR(VLOOKUP($A41,[1]库存使用数据!$A:$C,3,0),0)+IFERROR(VLOOKUP($A41,[2]库存使用数据!$A:$C,3,0),0)+IFERROR(VLOOKUP($A41,[3]库存使用数据!$A:$C,3,0),0)+IFERROR(VLOOKUP($A41,[4]库存使用数据!$A:$C,3,0),0)+IFERROR(VLOOKUP($A41,[5]库存使用数据!$A:$C,3,0),0)</f>
        <v>215</v>
      </c>
      <c r="D41" s="1">
        <f>IFERROR(VLOOKUP($A41,[1]库存使用数据!$A:$D,4,0),0)+IFERROR(VLOOKUP($A41,[2]库存使用数据!$A:$D,4,0),0)+公式!$B$1*IFERROR(VLOOKUP($A41,[3]库存使用数据!$A:$D,4,0),0)+IFERROR(VLOOKUP($A41,[4]库存使用数据!$A:$D,4,0),0)+IFERROR(VLOOKUP($A41,[5]库存使用数据!$A:$D,4,0),0)</f>
        <v>45.82</v>
      </c>
      <c r="E41" s="1">
        <f>IFERROR(VLOOKUP($A41,[1]库存使用数据!$A:$E,5,0),0)+IFERROR(VLOOKUP($A41,[2]库存使用数据!$A:$E,5,0),0)+IFERROR(VLOOKUP($A41,[3]库存使用数据!$A:$E,5,0),0)+IFERROR(VLOOKUP($A41,[4]库存使用数据!$A:$E,5,0),0)+IFERROR(VLOOKUP($A41,[5]库存使用数据!$A:$E,5,0),0)</f>
        <v>103161</v>
      </c>
      <c r="F41" s="1">
        <f>IFERROR(VLOOKUP($A41,[1]库存使用数据!$A:$F,6,0),0)+IFERROR(VLOOKUP($A41,[2]库存使用数据!$A:$F,6,0),0)+IFERROR(VLOOKUP($A41,[4]库存使用数据!$A:$F,6,0),0)+IFERROR(VLOOKUP($A41,[3]库存使用数据!$A:$F,6,0),0)+IFERROR(VLOOKUP($A41,[5]库存使用数据!$A:$F,6,0),0)</f>
        <v>363</v>
      </c>
      <c r="G41" s="1">
        <f>IFERROR(VLOOKUP($A41,[1]库存使用数据!$A:$G,7,0),0)+IFERROR(VLOOKUP($A41,[2]库存使用数据!$A:$G,7,0),0)+公式!$B$14*IFERROR(VLOOKUP($A41,[3]库存使用数据!$A:$G,7,0),0)+IFERROR(VLOOKUP($A41,[4]库存使用数据!$A:$G,7,0),0)+IFERROR(VLOOKUP($A41,[5]库存使用数据!$A:$G,7,0),0)</f>
        <v>76.01</v>
      </c>
      <c r="H41" s="1">
        <f>IFERROR(VLOOKUP($A41,[1]库存使用数据!$A:$H,8,0),0)+IFERROR(VLOOKUP($A41,[2]库存使用数据!$A:$H,8,0),0)+IFERROR(VLOOKUP($A41,[3]库存使用数据!$A:$H,8,0),0)+IFERROR(VLOOKUP($A41,[4]库存使用数据!$A:$H,8,0),0)+IFERROR(VLOOKUP($A41,[5]库存使用数据!$A:$H,8,0),0)</f>
        <v>76556</v>
      </c>
      <c r="I41" s="1">
        <f>IFERROR(VLOOKUP($A41,[1]库存使用数据!$A:$I,9,0),0)+IFERROR(VLOOKUP($A41,[2]库存使用数据!$A:$I,9,0),0)+IFERROR(VLOOKUP($A41,[3]库存使用数据!$A:$I,9,0),0)+IFERROR(VLOOKUP($A41,[4]库存使用数据!$A:$I,9,0),0)+IFERROR(VLOOKUP($A41,[5]库存使用数据!$A:$I,9,0),0)</f>
        <v>240</v>
      </c>
      <c r="J41" s="1">
        <f>IFERROR(VLOOKUP($A41,[1]库存使用数据!$A:$J,10,0),0)+IFERROR(VLOOKUP($A41,[2]库存使用数据!$A:$J,10,0),0)+公式!$B$14*IFERROR(VLOOKUP($A41,[3]库存使用数据!$A:$J,10,0),0)+IFERROR(VLOOKUP($A41,[4]库存使用数据!$A:$J,10,0),0)+IFERROR(VLOOKUP($A41,[5]库存使用数据!$A:$J,10,0),0)</f>
        <v>48.82</v>
      </c>
      <c r="K41" s="1">
        <f>IFERROR(VLOOKUP($A41,[1]库存使用数据!$A:$K,11,0),0)+IFERROR(VLOOKUP($A41,[2]库存使用数据!$A:$K,11,0),0)+IFERROR(VLOOKUP($A41,[3]库存使用数据!$A:$K,11,0),0)+IFERROR(VLOOKUP($A41,[4]库存使用数据!$A:$K,11,0),0)+IFERROR(VLOOKUP($A41,[5]库存使用数据!$A:$K,11,0),0)</f>
        <v>41031</v>
      </c>
      <c r="L41" s="1">
        <f>IFERROR(VLOOKUP($A41,[1]库存使用数据!$A:$L,12,0),0)+IFERROR(VLOOKUP($A41,[2]库存使用数据!$A:$L,12,0),0)+IFERROR(VLOOKUP($A41,[3]库存使用数据!$A:$L,12,0),0)+IFERROR(VLOOKUP($A41,[4]库存使用数据!$A:$L,12,0),0)+IFERROR(VLOOKUP($A41,[5]库存使用数据!$A:$L,12,0),0)</f>
        <v>170</v>
      </c>
      <c r="M41" s="1">
        <f>IFERROR(VLOOKUP($A41,[1]库存使用数据!$A:$M,13,0),0)+IFERROR(VLOOKUP($A41,[2]库存使用数据!$A:$M,13,0),0)+公式!$B$14*IFERROR(VLOOKUP($A41,[3]库存使用数据!$A:$M,13,0),0)+IFERROR(VLOOKUP($A41,[4]库存使用数据!$A:$M,13,0),0)+IFERROR(VLOOKUP($A41,[5]库存使用数据!$A:$M,13,0),0)</f>
        <v>28.26</v>
      </c>
    </row>
    <row r="42" spans="1:13">
      <c r="A42" s="5" t="s">
        <v>47</v>
      </c>
      <c r="B42" s="2">
        <f>IFERROR(VLOOKUP(A42,[1]库存使用数据!$A:$B,2,0),0)+IFERROR(VLOOKUP(A42,[2]库存使用数据!$A:$B,2,0),0)+IFERROR(VLOOKUP(,[3]库存使用数据!$A:$B,2,0),0)+IFERROR(VLOOKUP(A42,[4]库存使用数据!$A:$B,2,0),0)+IFERROR(VLOOKUP(A42,[5]库存使用数据!$A:$B,2,0),0)</f>
        <v>27558</v>
      </c>
      <c r="C42" s="1">
        <f>IFERROR(VLOOKUP($A42,[1]库存使用数据!$A:$C,3,0),0)+IFERROR(VLOOKUP($A42,[2]库存使用数据!$A:$C,3,0),0)+IFERROR(VLOOKUP($A42,[3]库存使用数据!$A:$C,3,0),0)+IFERROR(VLOOKUP($A42,[4]库存使用数据!$A:$C,3,0),0)+IFERROR(VLOOKUP($A42,[5]库存使用数据!$A:$C,3,0),0)</f>
        <v>113</v>
      </c>
      <c r="D42" s="1">
        <f>IFERROR(VLOOKUP($A42,[1]库存使用数据!$A:$D,4,0),0)+IFERROR(VLOOKUP($A42,[2]库存使用数据!$A:$D,4,0),0)+公式!$B$1*IFERROR(VLOOKUP($A42,[3]库存使用数据!$A:$D,4,0),0)+IFERROR(VLOOKUP($A42,[4]库存使用数据!$A:$D,4,0),0)+IFERROR(VLOOKUP($A42,[5]库存使用数据!$A:$D,4,0),0)</f>
        <v>19.19</v>
      </c>
      <c r="E42" s="1">
        <f>IFERROR(VLOOKUP($A42,[1]库存使用数据!$A:$E,5,0),0)+IFERROR(VLOOKUP($A42,[2]库存使用数据!$A:$E,5,0),0)+IFERROR(VLOOKUP($A42,[3]库存使用数据!$A:$E,5,0),0)+IFERROR(VLOOKUP($A42,[4]库存使用数据!$A:$E,5,0),0)+IFERROR(VLOOKUP($A42,[5]库存使用数据!$A:$E,5,0),0)</f>
        <v>21245</v>
      </c>
      <c r="F42" s="1">
        <f>IFERROR(VLOOKUP($A42,[1]库存使用数据!$A:$F,6,0),0)+IFERROR(VLOOKUP($A42,[2]库存使用数据!$A:$F,6,0),0)+IFERROR(VLOOKUP($A42,[4]库存使用数据!$A:$F,6,0),0)+IFERROR(VLOOKUP($A42,[3]库存使用数据!$A:$F,6,0),0)+IFERROR(VLOOKUP($A42,[5]库存使用数据!$A:$F,6,0),0)</f>
        <v>79</v>
      </c>
      <c r="G42" s="1">
        <f>IFERROR(VLOOKUP($A42,[1]库存使用数据!$A:$G,7,0),0)+IFERROR(VLOOKUP($A42,[2]库存使用数据!$A:$G,7,0),0)+公式!$B$14*IFERROR(VLOOKUP($A42,[3]库存使用数据!$A:$G,7,0),0)+IFERROR(VLOOKUP($A42,[4]库存使用数据!$A:$G,7,0),0)+IFERROR(VLOOKUP($A42,[5]库存使用数据!$A:$G,7,0),0)</f>
        <v>16.7</v>
      </c>
      <c r="H42" s="1">
        <f>IFERROR(VLOOKUP($A42,[1]库存使用数据!$A:$H,8,0),0)+IFERROR(VLOOKUP($A42,[2]库存使用数据!$A:$H,8,0),0)+IFERROR(VLOOKUP($A42,[3]库存使用数据!$A:$H,8,0),0)+IFERROR(VLOOKUP($A42,[4]库存使用数据!$A:$H,8,0),0)+IFERROR(VLOOKUP($A42,[5]库存使用数据!$A:$H,8,0),0)</f>
        <v>41396</v>
      </c>
      <c r="I42" s="1">
        <f>IFERROR(VLOOKUP($A42,[1]库存使用数据!$A:$I,9,0),0)+IFERROR(VLOOKUP($A42,[2]库存使用数据!$A:$I,9,0),0)+IFERROR(VLOOKUP($A42,[3]库存使用数据!$A:$I,9,0),0)+IFERROR(VLOOKUP($A42,[4]库存使用数据!$A:$I,9,0),0)+IFERROR(VLOOKUP($A42,[5]库存使用数据!$A:$I,9,0),0)</f>
        <v>124</v>
      </c>
      <c r="J42" s="1">
        <f>IFERROR(VLOOKUP($A42,[1]库存使用数据!$A:$J,10,0),0)+IFERROR(VLOOKUP($A42,[2]库存使用数据!$A:$J,10,0),0)+公式!$B$14*IFERROR(VLOOKUP($A42,[3]库存使用数据!$A:$J,10,0),0)+IFERROR(VLOOKUP($A42,[4]库存使用数据!$A:$J,10,0),0)+IFERROR(VLOOKUP($A42,[5]库存使用数据!$A:$J,10,0),0)</f>
        <v>24.79</v>
      </c>
      <c r="K42" s="1">
        <f>IFERROR(VLOOKUP($A42,[1]库存使用数据!$A:$K,11,0),0)+IFERROR(VLOOKUP($A42,[2]库存使用数据!$A:$K,11,0),0)+IFERROR(VLOOKUP($A42,[3]库存使用数据!$A:$K,11,0),0)+IFERROR(VLOOKUP($A42,[4]库存使用数据!$A:$K,11,0),0)+IFERROR(VLOOKUP($A42,[5]库存使用数据!$A:$K,11,0),0)</f>
        <v>46313</v>
      </c>
      <c r="L42" s="1">
        <f>IFERROR(VLOOKUP($A42,[1]库存使用数据!$A:$L,12,0),0)+IFERROR(VLOOKUP($A42,[2]库存使用数据!$A:$L,12,0),0)+IFERROR(VLOOKUP($A42,[3]库存使用数据!$A:$L,12,0),0)+IFERROR(VLOOKUP($A42,[4]库存使用数据!$A:$L,12,0),0)+IFERROR(VLOOKUP($A42,[5]库存使用数据!$A:$L,12,0),0)</f>
        <v>131</v>
      </c>
      <c r="M42" s="1">
        <f>IFERROR(VLOOKUP($A42,[1]库存使用数据!$A:$M,13,0),0)+IFERROR(VLOOKUP($A42,[2]库存使用数据!$A:$M,13,0),0)+公式!$B$14*IFERROR(VLOOKUP($A42,[3]库存使用数据!$A:$M,13,0),0)+IFERROR(VLOOKUP($A42,[4]库存使用数据!$A:$M,13,0),0)+IFERROR(VLOOKUP($A42,[5]库存使用数据!$A:$M,13,0),0)</f>
        <v>24.39</v>
      </c>
    </row>
    <row r="43" spans="1:13">
      <c r="A43" s="5" t="s">
        <v>48</v>
      </c>
      <c r="B43" s="2">
        <f>IFERROR(VLOOKUP(A43,[1]库存使用数据!$A:$B,2,0),0)+IFERROR(VLOOKUP(A43,[2]库存使用数据!$A:$B,2,0),0)+IFERROR(VLOOKUP(,[3]库存使用数据!$A:$B,2,0),0)+IFERROR(VLOOKUP(A43,[4]库存使用数据!$A:$B,2,0),0)+IFERROR(VLOOKUP(A43,[5]库存使用数据!$A:$B,2,0),0)</f>
        <v>38359</v>
      </c>
      <c r="C43" s="1">
        <f>IFERROR(VLOOKUP($A43,[1]库存使用数据!$A:$C,3,0),0)+IFERROR(VLOOKUP($A43,[2]库存使用数据!$A:$C,3,0),0)+IFERROR(VLOOKUP($A43,[3]库存使用数据!$A:$C,3,0),0)+IFERROR(VLOOKUP($A43,[4]库存使用数据!$A:$C,3,0),0)+IFERROR(VLOOKUP($A43,[5]库存使用数据!$A:$C,3,0),0)</f>
        <v>206</v>
      </c>
      <c r="D43" s="1">
        <f>IFERROR(VLOOKUP($A43,[1]库存使用数据!$A:$D,4,0),0)+IFERROR(VLOOKUP($A43,[2]库存使用数据!$A:$D,4,0),0)+公式!$B$1*IFERROR(VLOOKUP($A43,[3]库存使用数据!$A:$D,4,0),0)+IFERROR(VLOOKUP($A43,[4]库存使用数据!$A:$D,4,0),0)+IFERROR(VLOOKUP($A43,[5]库存使用数据!$A:$D,4,0),0)</f>
        <v>38.28</v>
      </c>
      <c r="E43" s="1">
        <f>IFERROR(VLOOKUP($A43,[1]库存使用数据!$A:$E,5,0),0)+IFERROR(VLOOKUP($A43,[2]库存使用数据!$A:$E,5,0),0)+IFERROR(VLOOKUP($A43,[3]库存使用数据!$A:$E,5,0),0)+IFERROR(VLOOKUP($A43,[4]库存使用数据!$A:$E,5,0),0)+IFERROR(VLOOKUP($A43,[5]库存使用数据!$A:$E,5,0),0)</f>
        <v>24241</v>
      </c>
      <c r="F43" s="1">
        <f>IFERROR(VLOOKUP($A43,[1]库存使用数据!$A:$F,6,0),0)+IFERROR(VLOOKUP($A43,[2]库存使用数据!$A:$F,6,0),0)+IFERROR(VLOOKUP($A43,[4]库存使用数据!$A:$F,6,0),0)+IFERROR(VLOOKUP($A43,[3]库存使用数据!$A:$F,6,0),0)+IFERROR(VLOOKUP($A43,[5]库存使用数据!$A:$F,6,0),0)</f>
        <v>166</v>
      </c>
      <c r="G43" s="1">
        <f>IFERROR(VLOOKUP($A43,[1]库存使用数据!$A:$G,7,0),0)+IFERROR(VLOOKUP($A43,[2]库存使用数据!$A:$G,7,0),0)+公式!$B$14*IFERROR(VLOOKUP($A43,[3]库存使用数据!$A:$G,7,0),0)+IFERROR(VLOOKUP($A43,[4]库存使用数据!$A:$G,7,0),0)+IFERROR(VLOOKUP($A43,[5]库存使用数据!$A:$G,7,0),0)</f>
        <v>26.64</v>
      </c>
      <c r="H43" s="1">
        <f>IFERROR(VLOOKUP($A43,[1]库存使用数据!$A:$H,8,0),0)+IFERROR(VLOOKUP($A43,[2]库存使用数据!$A:$H,8,0),0)+IFERROR(VLOOKUP($A43,[3]库存使用数据!$A:$H,8,0),0)+IFERROR(VLOOKUP($A43,[4]库存使用数据!$A:$H,8,0),0)+IFERROR(VLOOKUP($A43,[5]库存使用数据!$A:$H,8,0),0)</f>
        <v>17565</v>
      </c>
      <c r="I43" s="1">
        <f>IFERROR(VLOOKUP($A43,[1]库存使用数据!$A:$I,9,0),0)+IFERROR(VLOOKUP($A43,[2]库存使用数据!$A:$I,9,0),0)+IFERROR(VLOOKUP($A43,[3]库存使用数据!$A:$I,9,0),0)+IFERROR(VLOOKUP($A43,[4]库存使用数据!$A:$I,9,0),0)+IFERROR(VLOOKUP($A43,[5]库存使用数据!$A:$I,9,0),0)</f>
        <v>42</v>
      </c>
      <c r="J43" s="1">
        <f>IFERROR(VLOOKUP($A43,[1]库存使用数据!$A:$J,10,0),0)+IFERROR(VLOOKUP($A43,[2]库存使用数据!$A:$J,10,0),0)+公式!$B$14*IFERROR(VLOOKUP($A43,[3]库存使用数据!$A:$J,10,0),0)+IFERROR(VLOOKUP($A43,[4]库存使用数据!$A:$J,10,0),0)+IFERROR(VLOOKUP($A43,[5]库存使用数据!$A:$J,10,0),0)</f>
        <v>7.51</v>
      </c>
      <c r="K43" s="1">
        <f>IFERROR(VLOOKUP($A43,[1]库存使用数据!$A:$K,11,0),0)+IFERROR(VLOOKUP($A43,[2]库存使用数据!$A:$K,11,0),0)+IFERROR(VLOOKUP($A43,[3]库存使用数据!$A:$K,11,0),0)+IFERROR(VLOOKUP($A43,[4]库存使用数据!$A:$K,11,0),0)+IFERROR(VLOOKUP($A43,[5]库存使用数据!$A:$K,11,0),0)</f>
        <v>24458</v>
      </c>
      <c r="L43" s="1">
        <f>IFERROR(VLOOKUP($A43,[1]库存使用数据!$A:$L,12,0),0)+IFERROR(VLOOKUP($A43,[2]库存使用数据!$A:$L,12,0),0)+IFERROR(VLOOKUP($A43,[3]库存使用数据!$A:$L,12,0),0)+IFERROR(VLOOKUP($A43,[4]库存使用数据!$A:$L,12,0),0)+IFERROR(VLOOKUP($A43,[5]库存使用数据!$A:$L,12,0),0)</f>
        <v>113</v>
      </c>
      <c r="M43" s="1">
        <f>IFERROR(VLOOKUP($A43,[1]库存使用数据!$A:$M,13,0),0)+IFERROR(VLOOKUP($A43,[2]库存使用数据!$A:$M,13,0),0)+公式!$B$14*IFERROR(VLOOKUP($A43,[3]库存使用数据!$A:$M,13,0),0)+IFERROR(VLOOKUP($A43,[4]库存使用数据!$A:$M,13,0),0)+IFERROR(VLOOKUP($A43,[5]库存使用数据!$A:$M,13,0),0)</f>
        <v>22.12</v>
      </c>
    </row>
    <row r="44" spans="1:13">
      <c r="A44" s="5" t="s">
        <v>49</v>
      </c>
      <c r="B44" s="2">
        <f>IFERROR(VLOOKUP(A44,[1]库存使用数据!$A:$B,2,0),0)+IFERROR(VLOOKUP(A44,[2]库存使用数据!$A:$B,2,0),0)+IFERROR(VLOOKUP(,[3]库存使用数据!$A:$B,2,0),0)+IFERROR(VLOOKUP(A44,[4]库存使用数据!$A:$B,2,0),0)+IFERROR(VLOOKUP(A44,[5]库存使用数据!$A:$B,2,0),0)</f>
        <v>11038</v>
      </c>
      <c r="C44" s="1">
        <f>IFERROR(VLOOKUP($A44,[1]库存使用数据!$A:$C,3,0),0)+IFERROR(VLOOKUP($A44,[2]库存使用数据!$A:$C,3,0),0)+IFERROR(VLOOKUP($A44,[3]库存使用数据!$A:$C,3,0),0)+IFERROR(VLOOKUP($A44,[4]库存使用数据!$A:$C,3,0),0)+IFERROR(VLOOKUP($A44,[5]库存使用数据!$A:$C,3,0),0)</f>
        <v>76</v>
      </c>
      <c r="D44" s="1">
        <f>IFERROR(VLOOKUP($A44,[1]库存使用数据!$A:$D,4,0),0)+IFERROR(VLOOKUP($A44,[2]库存使用数据!$A:$D,4,0),0)+公式!$B$1*IFERROR(VLOOKUP($A44,[3]库存使用数据!$A:$D,4,0),0)+IFERROR(VLOOKUP($A44,[4]库存使用数据!$A:$D,4,0),0)+IFERROR(VLOOKUP($A44,[5]库存使用数据!$A:$D,4,0),0)</f>
        <v>16.90875</v>
      </c>
      <c r="E44" s="1">
        <f>IFERROR(VLOOKUP($A44,[1]库存使用数据!$A:$E,5,0),0)+IFERROR(VLOOKUP($A44,[2]库存使用数据!$A:$E,5,0),0)+IFERROR(VLOOKUP($A44,[3]库存使用数据!$A:$E,5,0),0)+IFERROR(VLOOKUP($A44,[4]库存使用数据!$A:$E,5,0),0)+IFERROR(VLOOKUP($A44,[5]库存使用数据!$A:$E,5,0),0)</f>
        <v>54795</v>
      </c>
      <c r="F44" s="1">
        <f>IFERROR(VLOOKUP($A44,[1]库存使用数据!$A:$F,6,0),0)+IFERROR(VLOOKUP($A44,[2]库存使用数据!$A:$F,6,0),0)+IFERROR(VLOOKUP($A44,[4]库存使用数据!$A:$F,6,0),0)+IFERROR(VLOOKUP($A44,[3]库存使用数据!$A:$F,6,0),0)+IFERROR(VLOOKUP($A44,[5]库存使用数据!$A:$F,6,0),0)</f>
        <v>313</v>
      </c>
      <c r="G44" s="1">
        <f>IFERROR(VLOOKUP($A44,[1]库存使用数据!$A:$G,7,0),0)+IFERROR(VLOOKUP($A44,[2]库存使用数据!$A:$G,7,0),0)+公式!$B$14*IFERROR(VLOOKUP($A44,[3]库存使用数据!$A:$G,7,0),0)+IFERROR(VLOOKUP($A44,[4]库存使用数据!$A:$G,7,0),0)+IFERROR(VLOOKUP($A44,[5]库存使用数据!$A:$G,7,0),0)</f>
        <v>60.45</v>
      </c>
      <c r="H44" s="1">
        <f>IFERROR(VLOOKUP($A44,[1]库存使用数据!$A:$H,8,0),0)+IFERROR(VLOOKUP($A44,[2]库存使用数据!$A:$H,8,0),0)+IFERROR(VLOOKUP($A44,[3]库存使用数据!$A:$H,8,0),0)+IFERROR(VLOOKUP($A44,[4]库存使用数据!$A:$H,8,0),0)+IFERROR(VLOOKUP($A44,[5]库存使用数据!$A:$H,8,0),0)</f>
        <v>36759</v>
      </c>
      <c r="I44" s="1">
        <f>IFERROR(VLOOKUP($A44,[1]库存使用数据!$A:$I,9,0),0)+IFERROR(VLOOKUP($A44,[2]库存使用数据!$A:$I,9,0),0)+IFERROR(VLOOKUP($A44,[3]库存使用数据!$A:$I,9,0),0)+IFERROR(VLOOKUP($A44,[4]库存使用数据!$A:$I,9,0),0)+IFERROR(VLOOKUP($A44,[5]库存使用数据!$A:$I,9,0),0)</f>
        <v>195</v>
      </c>
      <c r="J44" s="1">
        <f>IFERROR(VLOOKUP($A44,[1]库存使用数据!$A:$J,10,0),0)+IFERROR(VLOOKUP($A44,[2]库存使用数据!$A:$J,10,0),0)+公式!$B$14*IFERROR(VLOOKUP($A44,[3]库存使用数据!$A:$J,10,0),0)+IFERROR(VLOOKUP($A44,[4]库存使用数据!$A:$J,10,0),0)+IFERROR(VLOOKUP($A44,[5]库存使用数据!$A:$J,10,0),0)</f>
        <v>40.78</v>
      </c>
      <c r="K44" s="1">
        <f>IFERROR(VLOOKUP($A44,[1]库存使用数据!$A:$K,11,0),0)+IFERROR(VLOOKUP($A44,[2]库存使用数据!$A:$K,11,0),0)+IFERROR(VLOOKUP($A44,[3]库存使用数据!$A:$K,11,0),0)+IFERROR(VLOOKUP($A44,[4]库存使用数据!$A:$K,11,0),0)+IFERROR(VLOOKUP($A44,[5]库存使用数据!$A:$K,11,0),0)</f>
        <v>7231</v>
      </c>
      <c r="L44" s="1">
        <f>IFERROR(VLOOKUP($A44,[1]库存使用数据!$A:$L,12,0),0)+IFERROR(VLOOKUP($A44,[2]库存使用数据!$A:$L,12,0),0)+IFERROR(VLOOKUP($A44,[3]库存使用数据!$A:$L,12,0),0)+IFERROR(VLOOKUP($A44,[4]库存使用数据!$A:$L,12,0),0)+IFERROR(VLOOKUP($A44,[5]库存使用数据!$A:$L,12,0),0)</f>
        <v>38</v>
      </c>
      <c r="M44" s="1">
        <f>IFERROR(VLOOKUP($A44,[1]库存使用数据!$A:$M,13,0),0)+IFERROR(VLOOKUP($A44,[2]库存使用数据!$A:$M,13,0),0)+公式!$B$14*IFERROR(VLOOKUP($A44,[3]库存使用数据!$A:$M,13,0),0)+IFERROR(VLOOKUP($A44,[4]库存使用数据!$A:$M,13,0),0)+IFERROR(VLOOKUP($A44,[5]库存使用数据!$A:$M,13,0),0)</f>
        <v>7.06</v>
      </c>
    </row>
    <row r="45" spans="1:13">
      <c r="A45" s="5" t="s">
        <v>50</v>
      </c>
      <c r="B45" s="2">
        <f>IFERROR(VLOOKUP(A45,[1]库存使用数据!$A:$B,2,0),0)+IFERROR(VLOOKUP(A45,[2]库存使用数据!$A:$B,2,0),0)+IFERROR(VLOOKUP(,[3]库存使用数据!$A:$B,2,0),0)+IFERROR(VLOOKUP(A45,[4]库存使用数据!$A:$B,2,0),0)+IFERROR(VLOOKUP(A45,[5]库存使用数据!$A:$B,2,0),0)</f>
        <v>23793</v>
      </c>
      <c r="C45" s="1">
        <f>IFERROR(VLOOKUP($A45,[1]库存使用数据!$A:$C,3,0),0)+IFERROR(VLOOKUP($A45,[2]库存使用数据!$A:$C,3,0),0)+IFERROR(VLOOKUP($A45,[3]库存使用数据!$A:$C,3,0),0)+IFERROR(VLOOKUP($A45,[4]库存使用数据!$A:$C,3,0),0)+IFERROR(VLOOKUP($A45,[5]库存使用数据!$A:$C,3,0),0)</f>
        <v>173</v>
      </c>
      <c r="D45" s="1">
        <f>IFERROR(VLOOKUP($A45,[1]库存使用数据!$A:$D,4,0),0)+IFERROR(VLOOKUP($A45,[2]库存使用数据!$A:$D,4,0),0)+公式!$B$1*IFERROR(VLOOKUP($A45,[3]库存使用数据!$A:$D,4,0),0)+IFERROR(VLOOKUP($A45,[4]库存使用数据!$A:$D,4,0),0)+IFERROR(VLOOKUP($A45,[5]库存使用数据!$A:$D,4,0),0)</f>
        <v>44.0875</v>
      </c>
      <c r="E45" s="1">
        <f>IFERROR(VLOOKUP($A45,[1]库存使用数据!$A:$E,5,0),0)+IFERROR(VLOOKUP($A45,[2]库存使用数据!$A:$E,5,0),0)+IFERROR(VLOOKUP($A45,[3]库存使用数据!$A:$E,5,0),0)+IFERROR(VLOOKUP($A45,[4]库存使用数据!$A:$E,5,0),0)+IFERROR(VLOOKUP($A45,[5]库存使用数据!$A:$E,5,0),0)</f>
        <v>21664</v>
      </c>
      <c r="F45" s="1">
        <f>IFERROR(VLOOKUP($A45,[1]库存使用数据!$A:$F,6,0),0)+IFERROR(VLOOKUP($A45,[2]库存使用数据!$A:$F,6,0),0)+IFERROR(VLOOKUP($A45,[4]库存使用数据!$A:$F,6,0),0)+IFERROR(VLOOKUP($A45,[3]库存使用数据!$A:$F,6,0),0)+IFERROR(VLOOKUP($A45,[5]库存使用数据!$A:$F,6,0),0)</f>
        <v>106</v>
      </c>
      <c r="G45" s="1">
        <f>IFERROR(VLOOKUP($A45,[1]库存使用数据!$A:$G,7,0),0)+IFERROR(VLOOKUP($A45,[2]库存使用数据!$A:$G,7,0),0)+公式!$B$14*IFERROR(VLOOKUP($A45,[3]库存使用数据!$A:$G,7,0),0)+IFERROR(VLOOKUP($A45,[4]库存使用数据!$A:$G,7,0),0)+IFERROR(VLOOKUP($A45,[5]库存使用数据!$A:$G,7,0),0)</f>
        <v>17.38</v>
      </c>
      <c r="H45" s="1">
        <f>IFERROR(VLOOKUP($A45,[1]库存使用数据!$A:$H,8,0),0)+IFERROR(VLOOKUP($A45,[2]库存使用数据!$A:$H,8,0),0)+IFERROR(VLOOKUP($A45,[3]库存使用数据!$A:$H,8,0),0)+IFERROR(VLOOKUP($A45,[4]库存使用数据!$A:$H,8,0),0)+IFERROR(VLOOKUP($A45,[5]库存使用数据!$A:$H,8,0),0)</f>
        <v>5985</v>
      </c>
      <c r="I45" s="1">
        <f>IFERROR(VLOOKUP($A45,[1]库存使用数据!$A:$I,9,0),0)+IFERROR(VLOOKUP($A45,[2]库存使用数据!$A:$I,9,0),0)+IFERROR(VLOOKUP($A45,[3]库存使用数据!$A:$I,9,0),0)+IFERROR(VLOOKUP($A45,[4]库存使用数据!$A:$I,9,0),0)+IFERROR(VLOOKUP($A45,[5]库存使用数据!$A:$I,9,0),0)</f>
        <v>32</v>
      </c>
      <c r="J45" s="1">
        <f>IFERROR(VLOOKUP($A45,[1]库存使用数据!$A:$J,10,0),0)+IFERROR(VLOOKUP($A45,[2]库存使用数据!$A:$J,10,0),0)+公式!$B$14*IFERROR(VLOOKUP($A45,[3]库存使用数据!$A:$J,10,0),0)+IFERROR(VLOOKUP($A45,[4]库存使用数据!$A:$J,10,0),0)+IFERROR(VLOOKUP($A45,[5]库存使用数据!$A:$J,10,0),0)</f>
        <v>5.31</v>
      </c>
      <c r="K45" s="1">
        <f>IFERROR(VLOOKUP($A45,[1]库存使用数据!$A:$K,11,0),0)+IFERROR(VLOOKUP($A45,[2]库存使用数据!$A:$K,11,0),0)+IFERROR(VLOOKUP($A45,[3]库存使用数据!$A:$K,11,0),0)+IFERROR(VLOOKUP($A45,[4]库存使用数据!$A:$K,11,0),0)+IFERROR(VLOOKUP($A45,[5]库存使用数据!$A:$K,11,0),0)</f>
        <v>0</v>
      </c>
      <c r="L45" s="1">
        <f>IFERROR(VLOOKUP($A45,[1]库存使用数据!$A:$L,12,0),0)+IFERROR(VLOOKUP($A45,[2]库存使用数据!$A:$L,12,0),0)+IFERROR(VLOOKUP($A45,[3]库存使用数据!$A:$L,12,0),0)+IFERROR(VLOOKUP($A45,[4]库存使用数据!$A:$L,12,0),0)+IFERROR(VLOOKUP($A45,[5]库存使用数据!$A:$L,12,0),0)</f>
        <v>0</v>
      </c>
      <c r="M45" s="1">
        <f>IFERROR(VLOOKUP($A45,[1]库存使用数据!$A:$M,13,0),0)+IFERROR(VLOOKUP($A45,[2]库存使用数据!$A:$M,13,0),0)+公式!$B$14*IFERROR(VLOOKUP($A45,[3]库存使用数据!$A:$M,13,0),0)+IFERROR(VLOOKUP($A45,[4]库存使用数据!$A:$M,13,0),0)+IFERROR(VLOOKUP($A45,[5]库存使用数据!$A:$M,13,0),0)</f>
        <v>0</v>
      </c>
    </row>
    <row r="46" spans="1:13">
      <c r="A46" s="5" t="s">
        <v>51</v>
      </c>
      <c r="B46" s="2">
        <f>IFERROR(VLOOKUP(A46,[1]库存使用数据!$A:$B,2,0),0)+IFERROR(VLOOKUP(A46,[2]库存使用数据!$A:$B,2,0),0)+IFERROR(VLOOKUP(,[3]库存使用数据!$A:$B,2,0),0)+IFERROR(VLOOKUP(A46,[4]库存使用数据!$A:$B,2,0),0)+IFERROR(VLOOKUP(A46,[5]库存使用数据!$A:$B,2,0),0)</f>
        <v>4833</v>
      </c>
      <c r="C46" s="1">
        <f>IFERROR(VLOOKUP($A46,[1]库存使用数据!$A:$C,3,0),0)+IFERROR(VLOOKUP($A46,[2]库存使用数据!$A:$C,3,0),0)+IFERROR(VLOOKUP($A46,[3]库存使用数据!$A:$C,3,0),0)+IFERROR(VLOOKUP($A46,[4]库存使用数据!$A:$C,3,0),0)+IFERROR(VLOOKUP($A46,[5]库存使用数据!$A:$C,3,0),0)</f>
        <v>64</v>
      </c>
      <c r="D46" s="1">
        <f>IFERROR(VLOOKUP($A46,[1]库存使用数据!$A:$D,4,0),0)+IFERROR(VLOOKUP($A46,[2]库存使用数据!$A:$D,4,0),0)+公式!$B$1*IFERROR(VLOOKUP($A46,[3]库存使用数据!$A:$D,4,0),0)+IFERROR(VLOOKUP($A46,[4]库存使用数据!$A:$D,4,0),0)+IFERROR(VLOOKUP($A46,[5]库存使用数据!$A:$D,4,0),0)</f>
        <v>11.675</v>
      </c>
      <c r="E46" s="1">
        <f>IFERROR(VLOOKUP($A46,[1]库存使用数据!$A:$E,5,0),0)+IFERROR(VLOOKUP($A46,[2]库存使用数据!$A:$E,5,0),0)+IFERROR(VLOOKUP($A46,[3]库存使用数据!$A:$E,5,0),0)+IFERROR(VLOOKUP($A46,[4]库存使用数据!$A:$E,5,0),0)+IFERROR(VLOOKUP($A46,[5]库存使用数据!$A:$E,5,0),0)</f>
        <v>403</v>
      </c>
      <c r="F46" s="1">
        <f>IFERROR(VLOOKUP($A46,[1]库存使用数据!$A:$F,6,0),0)+IFERROR(VLOOKUP($A46,[2]库存使用数据!$A:$F,6,0),0)+IFERROR(VLOOKUP($A46,[4]库存使用数据!$A:$F,6,0),0)+IFERROR(VLOOKUP($A46,[3]库存使用数据!$A:$F,6,0),0)+IFERROR(VLOOKUP($A46,[5]库存使用数据!$A:$F,6,0),0)</f>
        <v>9</v>
      </c>
      <c r="G46" s="1">
        <f>IFERROR(VLOOKUP($A46,[1]库存使用数据!$A:$G,7,0),0)+IFERROR(VLOOKUP($A46,[2]库存使用数据!$A:$G,7,0),0)+公式!$B$14*IFERROR(VLOOKUP($A46,[3]库存使用数据!$A:$G,7,0),0)+IFERROR(VLOOKUP($A46,[4]库存使用数据!$A:$G,7,0),0)+IFERROR(VLOOKUP($A46,[5]库存使用数据!$A:$G,7,0),0)</f>
        <v>0.86</v>
      </c>
      <c r="H46" s="1">
        <f>IFERROR(VLOOKUP($A46,[1]库存使用数据!$A:$H,8,0),0)+IFERROR(VLOOKUP($A46,[2]库存使用数据!$A:$H,8,0),0)+IFERROR(VLOOKUP($A46,[3]库存使用数据!$A:$H,8,0),0)+IFERROR(VLOOKUP($A46,[4]库存使用数据!$A:$H,8,0),0)+IFERROR(VLOOKUP($A46,[5]库存使用数据!$A:$H,8,0),0)</f>
        <v>0</v>
      </c>
      <c r="I46" s="1">
        <f>IFERROR(VLOOKUP($A46,[1]库存使用数据!$A:$I,9,0),0)+IFERROR(VLOOKUP($A46,[2]库存使用数据!$A:$I,9,0),0)+IFERROR(VLOOKUP($A46,[3]库存使用数据!$A:$I,9,0),0)+IFERROR(VLOOKUP($A46,[4]库存使用数据!$A:$I,9,0),0)+IFERROR(VLOOKUP($A46,[5]库存使用数据!$A:$I,9,0),0)</f>
        <v>0</v>
      </c>
      <c r="J46" s="1">
        <f>IFERROR(VLOOKUP($A46,[1]库存使用数据!$A:$J,10,0),0)+IFERROR(VLOOKUP($A46,[2]库存使用数据!$A:$J,10,0),0)+公式!$B$14*IFERROR(VLOOKUP($A46,[3]库存使用数据!$A:$J,10,0),0)+IFERROR(VLOOKUP($A46,[4]库存使用数据!$A:$J,10,0),0)+IFERROR(VLOOKUP($A46,[5]库存使用数据!$A:$J,10,0),0)</f>
        <v>0</v>
      </c>
      <c r="K46" s="1">
        <f>IFERROR(VLOOKUP($A46,[1]库存使用数据!$A:$K,11,0),0)+IFERROR(VLOOKUP($A46,[2]库存使用数据!$A:$K,11,0),0)+IFERROR(VLOOKUP($A46,[3]库存使用数据!$A:$K,11,0),0)+IFERROR(VLOOKUP($A46,[4]库存使用数据!$A:$K,11,0),0)+IFERROR(VLOOKUP($A46,[5]库存使用数据!$A:$K,11,0),0)</f>
        <v>0</v>
      </c>
      <c r="L46" s="1">
        <f>IFERROR(VLOOKUP($A46,[1]库存使用数据!$A:$L,12,0),0)+IFERROR(VLOOKUP($A46,[2]库存使用数据!$A:$L,12,0),0)+IFERROR(VLOOKUP($A46,[3]库存使用数据!$A:$L,12,0),0)+IFERROR(VLOOKUP($A46,[4]库存使用数据!$A:$L,12,0),0)+IFERROR(VLOOKUP($A46,[5]库存使用数据!$A:$L,12,0),0)</f>
        <v>0</v>
      </c>
      <c r="M46" s="1">
        <f>IFERROR(VLOOKUP($A46,[1]库存使用数据!$A:$M,13,0),0)+IFERROR(VLOOKUP($A46,[2]库存使用数据!$A:$M,13,0),0)+公式!$B$14*IFERROR(VLOOKUP($A46,[3]库存使用数据!$A:$M,13,0),0)+IFERROR(VLOOKUP($A46,[4]库存使用数据!$A:$M,13,0),0)+IFERROR(VLOOKUP($A46,[5]库存使用数据!$A:$M,13,0),0)</f>
        <v>0</v>
      </c>
    </row>
    <row r="47" spans="1:13">
      <c r="A47" s="5" t="s">
        <v>52</v>
      </c>
      <c r="B47" s="2">
        <f>IFERROR(VLOOKUP(A47,[1]库存使用数据!$A:$B,2,0),0)+IFERROR(VLOOKUP(A47,[2]库存使用数据!$A:$B,2,0),0)+IFERROR(VLOOKUP(,[3]库存使用数据!$A:$B,2,0),0)+IFERROR(VLOOKUP(A47,[4]库存使用数据!$A:$B,2,0),0)+IFERROR(VLOOKUP(A47,[5]库存使用数据!$A:$B,2,0),0)</f>
        <v>0</v>
      </c>
      <c r="C47" s="1">
        <f>IFERROR(VLOOKUP($A47,[1]库存使用数据!$A:$C,3,0),0)+IFERROR(VLOOKUP($A47,[2]库存使用数据!$A:$C,3,0),0)+IFERROR(VLOOKUP($A47,[3]库存使用数据!$A:$C,3,0),0)+IFERROR(VLOOKUP($A47,[4]库存使用数据!$A:$C,3,0),0)+IFERROR(VLOOKUP($A47,[5]库存使用数据!$A:$C,3,0),0)</f>
        <v>105</v>
      </c>
      <c r="D47" s="1">
        <f>IFERROR(VLOOKUP($A47,[1]库存使用数据!$A:$D,4,0),0)+IFERROR(VLOOKUP($A47,[2]库存使用数据!$A:$D,4,0),0)+公式!$B$1*IFERROR(VLOOKUP($A47,[3]库存使用数据!$A:$D,4,0),0)+IFERROR(VLOOKUP($A47,[4]库存使用数据!$A:$D,4,0),0)+IFERROR(VLOOKUP($A47,[5]库存使用数据!$A:$D,4,0),0)</f>
        <v>21.99375</v>
      </c>
      <c r="E47" s="1">
        <f>IFERROR(VLOOKUP($A47,[1]库存使用数据!$A:$E,5,0),0)+IFERROR(VLOOKUP($A47,[2]库存使用数据!$A:$E,5,0),0)+IFERROR(VLOOKUP($A47,[3]库存使用数据!$A:$E,5,0),0)+IFERROR(VLOOKUP($A47,[4]库存使用数据!$A:$E,5,0),0)+IFERROR(VLOOKUP($A47,[5]库存使用数据!$A:$E,5,0),0)</f>
        <v>20709</v>
      </c>
      <c r="F47" s="1">
        <f>IFERROR(VLOOKUP($A47,[1]库存使用数据!$A:$F,6,0),0)+IFERROR(VLOOKUP($A47,[2]库存使用数据!$A:$F,6,0),0)+IFERROR(VLOOKUP($A47,[4]库存使用数据!$A:$F,6,0),0)+IFERROR(VLOOKUP($A47,[3]库存使用数据!$A:$F,6,0),0)+IFERROR(VLOOKUP($A47,[5]库存使用数据!$A:$F,6,0),0)</f>
        <v>116</v>
      </c>
      <c r="G47" s="1">
        <f>IFERROR(VLOOKUP($A47,[1]库存使用数据!$A:$G,7,0),0)+IFERROR(VLOOKUP($A47,[2]库存使用数据!$A:$G,7,0),0)+公式!$B$14*IFERROR(VLOOKUP($A47,[3]库存使用数据!$A:$G,7,0),0)+IFERROR(VLOOKUP($A47,[4]库存使用数据!$A:$G,7,0),0)+IFERROR(VLOOKUP($A47,[5]库存使用数据!$A:$G,7,0),0)</f>
        <v>0</v>
      </c>
      <c r="H47" s="1">
        <f>IFERROR(VLOOKUP($A47,[1]库存使用数据!$A:$H,8,0),0)+IFERROR(VLOOKUP($A47,[2]库存使用数据!$A:$H,8,0),0)+IFERROR(VLOOKUP($A47,[3]库存使用数据!$A:$H,8,0),0)+IFERROR(VLOOKUP($A47,[4]库存使用数据!$A:$H,8,0),0)+IFERROR(VLOOKUP($A47,[5]库存使用数据!$A:$H,8,0),0)</f>
        <v>12687</v>
      </c>
      <c r="I47" s="1">
        <f>IFERROR(VLOOKUP($A47,[1]库存使用数据!$A:$I,9,0),0)+IFERROR(VLOOKUP($A47,[2]库存使用数据!$A:$I,9,0),0)+IFERROR(VLOOKUP($A47,[3]库存使用数据!$A:$I,9,0),0)+IFERROR(VLOOKUP($A47,[4]库存使用数据!$A:$I,9,0),0)+IFERROR(VLOOKUP($A47,[5]库存使用数据!$A:$I,9,0),0)</f>
        <v>80</v>
      </c>
      <c r="J47" s="1">
        <f>IFERROR(VLOOKUP($A47,[1]库存使用数据!$A:$J,10,0),0)+IFERROR(VLOOKUP($A47,[2]库存使用数据!$A:$J,10,0),0)+公式!$B$14*IFERROR(VLOOKUP($A47,[3]库存使用数据!$A:$J,10,0),0)+IFERROR(VLOOKUP($A47,[4]库存使用数据!$A:$J,10,0),0)+IFERROR(VLOOKUP($A47,[5]库存使用数据!$A:$J,10,0),0)</f>
        <v>0</v>
      </c>
      <c r="K47" s="1">
        <f>IFERROR(VLOOKUP($A47,[1]库存使用数据!$A:$K,11,0),0)+IFERROR(VLOOKUP($A47,[2]库存使用数据!$A:$K,11,0),0)+IFERROR(VLOOKUP($A47,[3]库存使用数据!$A:$K,11,0),0)+IFERROR(VLOOKUP($A47,[4]库存使用数据!$A:$K,11,0),0)+IFERROR(VLOOKUP($A47,[5]库存使用数据!$A:$K,11,0),0)</f>
        <v>8055</v>
      </c>
      <c r="L47" s="1">
        <f>IFERROR(VLOOKUP($A47,[1]库存使用数据!$A:$L,12,0),0)+IFERROR(VLOOKUP($A47,[2]库存使用数据!$A:$L,12,0),0)+IFERROR(VLOOKUP($A47,[3]库存使用数据!$A:$L,12,0),0)+IFERROR(VLOOKUP($A47,[4]库存使用数据!$A:$L,12,0),0)+IFERROR(VLOOKUP($A47,[5]库存使用数据!$A:$L,12,0),0)</f>
        <v>76</v>
      </c>
      <c r="M47" s="1">
        <f>IFERROR(VLOOKUP($A47,[1]库存使用数据!$A:$M,13,0),0)+IFERROR(VLOOKUP($A47,[2]库存使用数据!$A:$M,13,0),0)+公式!$B$14*IFERROR(VLOOKUP($A47,[3]库存使用数据!$A:$M,13,0),0)+IFERROR(VLOOKUP($A47,[4]库存使用数据!$A:$M,13,0),0)+IFERROR(VLOOKUP($A47,[5]库存使用数据!$A:$M,13,0),0)</f>
        <v>0</v>
      </c>
    </row>
    <row r="48" spans="1:13">
      <c r="A48" s="5" t="s">
        <v>53</v>
      </c>
      <c r="B48" s="2">
        <f>IFERROR(VLOOKUP(A48,[1]库存使用数据!$A:$B,2,0),0)+IFERROR(VLOOKUP(A48,[2]库存使用数据!$A:$B,2,0),0)+IFERROR(VLOOKUP(,[3]库存使用数据!$A:$B,2,0),0)+IFERROR(VLOOKUP(A48,[4]库存使用数据!$A:$B,2,0),0)+IFERROR(VLOOKUP(A48,[5]库存使用数据!$A:$B,2,0),0)</f>
        <v>2773</v>
      </c>
      <c r="C48" s="1">
        <f>IFERROR(VLOOKUP($A48,[1]库存使用数据!$A:$C,3,0),0)+IFERROR(VLOOKUP($A48,[2]库存使用数据!$A:$C,3,0),0)+IFERROR(VLOOKUP($A48,[3]库存使用数据!$A:$C,3,0),0)+IFERROR(VLOOKUP($A48,[4]库存使用数据!$A:$C,3,0),0)+IFERROR(VLOOKUP($A48,[5]库存使用数据!$A:$C,3,0),0)</f>
        <v>66</v>
      </c>
      <c r="D48" s="1">
        <f>IFERROR(VLOOKUP($A48,[1]库存使用数据!$A:$D,4,0),0)+IFERROR(VLOOKUP($A48,[2]库存使用数据!$A:$D,4,0),0)+公式!$B$1*IFERROR(VLOOKUP($A48,[3]库存使用数据!$A:$D,4,0),0)+IFERROR(VLOOKUP($A48,[4]库存使用数据!$A:$D,4,0),0)+IFERROR(VLOOKUP($A48,[5]库存使用数据!$A:$D,4,0),0)</f>
        <v>12.925</v>
      </c>
      <c r="E48" s="1">
        <f>IFERROR(VLOOKUP($A48,[1]库存使用数据!$A:$E,5,0),0)+IFERROR(VLOOKUP($A48,[2]库存使用数据!$A:$E,5,0),0)+IFERROR(VLOOKUP($A48,[3]库存使用数据!$A:$E,5,0),0)+IFERROR(VLOOKUP($A48,[4]库存使用数据!$A:$E,5,0),0)+IFERROR(VLOOKUP($A48,[5]库存使用数据!$A:$E,5,0),0)</f>
        <v>19822</v>
      </c>
      <c r="F48" s="1">
        <f>IFERROR(VLOOKUP($A48,[1]库存使用数据!$A:$F,6,0),0)+IFERROR(VLOOKUP($A48,[2]库存使用数据!$A:$F,6,0),0)+IFERROR(VLOOKUP($A48,[4]库存使用数据!$A:$F,6,0),0)+IFERROR(VLOOKUP($A48,[3]库存使用数据!$A:$F,6,0),0)+IFERROR(VLOOKUP($A48,[5]库存使用数据!$A:$F,6,0),0)</f>
        <v>137</v>
      </c>
      <c r="G48" s="1">
        <f>IFERROR(VLOOKUP($A48,[1]库存使用数据!$A:$G,7,0),0)+IFERROR(VLOOKUP($A48,[2]库存使用数据!$A:$G,7,0),0)+公式!$B$14*IFERROR(VLOOKUP($A48,[3]库存使用数据!$A:$G,7,0),0)+IFERROR(VLOOKUP($A48,[4]库存使用数据!$A:$G,7,0),0)+IFERROR(VLOOKUP($A48,[5]库存使用数据!$A:$G,7,0),0)</f>
        <v>9.36</v>
      </c>
      <c r="H48" s="1">
        <f>IFERROR(VLOOKUP($A48,[1]库存使用数据!$A:$H,8,0),0)+IFERROR(VLOOKUP($A48,[2]库存使用数据!$A:$H,8,0),0)+IFERROR(VLOOKUP($A48,[3]库存使用数据!$A:$H,8,0),0)+IFERROR(VLOOKUP($A48,[4]库存使用数据!$A:$H,8,0),0)+IFERROR(VLOOKUP($A48,[5]库存使用数据!$A:$H,8,0),0)</f>
        <v>17729</v>
      </c>
      <c r="I48" s="1">
        <f>IFERROR(VLOOKUP($A48,[1]库存使用数据!$A:$I,9,0),0)+IFERROR(VLOOKUP($A48,[2]库存使用数据!$A:$I,9,0),0)+IFERROR(VLOOKUP($A48,[3]库存使用数据!$A:$I,9,0),0)+IFERROR(VLOOKUP($A48,[4]库存使用数据!$A:$I,9,0),0)+IFERROR(VLOOKUP($A48,[5]库存使用数据!$A:$I,9,0),0)</f>
        <v>142</v>
      </c>
      <c r="J48" s="1">
        <f>IFERROR(VLOOKUP($A48,[1]库存使用数据!$A:$J,10,0),0)+IFERROR(VLOOKUP($A48,[2]库存使用数据!$A:$J,10,0),0)+公式!$B$14*IFERROR(VLOOKUP($A48,[3]库存使用数据!$A:$J,10,0),0)+IFERROR(VLOOKUP($A48,[4]库存使用数据!$A:$J,10,0),0)+IFERROR(VLOOKUP($A48,[5]库存使用数据!$A:$J,10,0),0)</f>
        <v>11.59</v>
      </c>
      <c r="K48" s="1">
        <f>IFERROR(VLOOKUP($A48,[1]库存使用数据!$A:$K,11,0),0)+IFERROR(VLOOKUP($A48,[2]库存使用数据!$A:$K,11,0),0)+IFERROR(VLOOKUP($A48,[3]库存使用数据!$A:$K,11,0),0)+IFERROR(VLOOKUP($A48,[4]库存使用数据!$A:$K,11,0),0)+IFERROR(VLOOKUP($A48,[5]库存使用数据!$A:$K,11,0),0)</f>
        <v>13522</v>
      </c>
      <c r="L48" s="1">
        <f>IFERROR(VLOOKUP($A48,[1]库存使用数据!$A:$L,12,0),0)+IFERROR(VLOOKUP($A48,[2]库存使用数据!$A:$L,12,0),0)+IFERROR(VLOOKUP($A48,[3]库存使用数据!$A:$L,12,0),0)+IFERROR(VLOOKUP($A48,[4]库存使用数据!$A:$L,12,0),0)+IFERROR(VLOOKUP($A48,[5]库存使用数据!$A:$L,12,0),0)</f>
        <v>116</v>
      </c>
      <c r="M48" s="1">
        <f>IFERROR(VLOOKUP($A48,[1]库存使用数据!$A:$M,13,0),0)+IFERROR(VLOOKUP($A48,[2]库存使用数据!$A:$M,13,0),0)+公式!$B$14*IFERROR(VLOOKUP($A48,[3]库存使用数据!$A:$M,13,0),0)+IFERROR(VLOOKUP($A48,[4]库存使用数据!$A:$M,13,0),0)+IFERROR(VLOOKUP($A48,[5]库存使用数据!$A:$M,13,0),0)</f>
        <v>10.28</v>
      </c>
    </row>
    <row r="49" spans="1:13">
      <c r="A49" s="5" t="s">
        <v>54</v>
      </c>
      <c r="B49" s="2">
        <f>IFERROR(VLOOKUP(A49,[1]库存使用数据!$A:$B,2,0),0)+IFERROR(VLOOKUP(A49,[2]库存使用数据!$A:$B,2,0),0)+IFERROR(VLOOKUP(,[3]库存使用数据!$A:$B,2,0),0)+IFERROR(VLOOKUP(A49,[4]库存使用数据!$A:$B,2,0),0)+IFERROR(VLOOKUP(A49,[5]库存使用数据!$A:$B,2,0),0)</f>
        <v>275</v>
      </c>
      <c r="C49" s="1">
        <f>IFERROR(VLOOKUP($A49,[1]库存使用数据!$A:$C,3,0),0)+IFERROR(VLOOKUP($A49,[2]库存使用数据!$A:$C,3,0),0)+IFERROR(VLOOKUP($A49,[3]库存使用数据!$A:$C,3,0),0)+IFERROR(VLOOKUP($A49,[4]库存使用数据!$A:$C,3,0),0)+IFERROR(VLOOKUP($A49,[5]库存使用数据!$A:$C,3,0),0)</f>
        <v>3</v>
      </c>
      <c r="D49" s="1">
        <f>IFERROR(VLOOKUP($A49,[1]库存使用数据!$A:$D,4,0),0)+IFERROR(VLOOKUP($A49,[2]库存使用数据!$A:$D,4,0),0)+公式!$B$1*IFERROR(VLOOKUP($A49,[3]库存使用数据!$A:$D,4,0),0)+IFERROR(VLOOKUP($A49,[4]库存使用数据!$A:$D,4,0),0)+IFERROR(VLOOKUP($A49,[5]库存使用数据!$A:$D,4,0),0)</f>
        <v>0.5625</v>
      </c>
      <c r="E49" s="1">
        <f>IFERROR(VLOOKUP($A49,[1]库存使用数据!$A:$E,5,0),0)+IFERROR(VLOOKUP($A49,[2]库存使用数据!$A:$E,5,0),0)+IFERROR(VLOOKUP($A49,[3]库存使用数据!$A:$E,5,0),0)+IFERROR(VLOOKUP($A49,[4]库存使用数据!$A:$E,5,0),0)+IFERROR(VLOOKUP($A49,[5]库存使用数据!$A:$E,5,0),0)</f>
        <v>15109</v>
      </c>
      <c r="F49" s="1">
        <f>IFERROR(VLOOKUP($A49,[1]库存使用数据!$A:$F,6,0),0)+IFERROR(VLOOKUP($A49,[2]库存使用数据!$A:$F,6,0),0)+IFERROR(VLOOKUP($A49,[4]库存使用数据!$A:$F,6,0),0)+IFERROR(VLOOKUP($A49,[3]库存使用数据!$A:$F,6,0),0)+IFERROR(VLOOKUP($A49,[5]库存使用数据!$A:$F,6,0),0)</f>
        <v>77</v>
      </c>
      <c r="G49" s="1">
        <f>IFERROR(VLOOKUP($A49,[1]库存使用数据!$A:$G,7,0),0)+IFERROR(VLOOKUP($A49,[2]库存使用数据!$A:$G,7,0),0)+公式!$B$14*IFERROR(VLOOKUP($A49,[3]库存使用数据!$A:$G,7,0),0)+IFERROR(VLOOKUP($A49,[4]库存使用数据!$A:$G,7,0),0)+IFERROR(VLOOKUP($A49,[5]库存使用数据!$A:$G,7,0),0)</f>
        <v>2.15</v>
      </c>
      <c r="H49" s="1">
        <f>IFERROR(VLOOKUP($A49,[1]库存使用数据!$A:$H,8,0),0)+IFERROR(VLOOKUP($A49,[2]库存使用数据!$A:$H,8,0),0)+IFERROR(VLOOKUP($A49,[3]库存使用数据!$A:$H,8,0),0)+IFERROR(VLOOKUP($A49,[4]库存使用数据!$A:$H,8,0),0)+IFERROR(VLOOKUP($A49,[5]库存使用数据!$A:$H,8,0),0)</f>
        <v>27044</v>
      </c>
      <c r="I49" s="1">
        <f>IFERROR(VLOOKUP($A49,[1]库存使用数据!$A:$I,9,0),0)+IFERROR(VLOOKUP($A49,[2]库存使用数据!$A:$I,9,0),0)+IFERROR(VLOOKUP($A49,[3]库存使用数据!$A:$I,9,0),0)+IFERROR(VLOOKUP($A49,[4]库存使用数据!$A:$I,9,0),0)+IFERROR(VLOOKUP($A49,[5]库存使用数据!$A:$I,9,0),0)</f>
        <v>130</v>
      </c>
      <c r="J49" s="1">
        <f>IFERROR(VLOOKUP($A49,[1]库存使用数据!$A:$J,10,0),0)+IFERROR(VLOOKUP($A49,[2]库存使用数据!$A:$J,10,0),0)+公式!$B$14*IFERROR(VLOOKUP($A49,[3]库存使用数据!$A:$J,10,0),0)+IFERROR(VLOOKUP($A49,[4]库存使用数据!$A:$J,10,0),0)+IFERROR(VLOOKUP($A49,[5]库存使用数据!$A:$J,10,0),0)</f>
        <v>5.34</v>
      </c>
      <c r="K49" s="1">
        <f>IFERROR(VLOOKUP($A49,[1]库存使用数据!$A:$K,11,0),0)+IFERROR(VLOOKUP($A49,[2]库存使用数据!$A:$K,11,0),0)+IFERROR(VLOOKUP($A49,[3]库存使用数据!$A:$K,11,0),0)+IFERROR(VLOOKUP($A49,[4]库存使用数据!$A:$K,11,0),0)+IFERROR(VLOOKUP($A49,[5]库存使用数据!$A:$K,11,0),0)</f>
        <v>20659</v>
      </c>
      <c r="L49" s="1">
        <f>IFERROR(VLOOKUP($A49,[1]库存使用数据!$A:$L,12,0),0)+IFERROR(VLOOKUP($A49,[2]库存使用数据!$A:$L,12,0),0)+IFERROR(VLOOKUP($A49,[3]库存使用数据!$A:$L,12,0),0)+IFERROR(VLOOKUP($A49,[4]库存使用数据!$A:$L,12,0),0)+IFERROR(VLOOKUP($A49,[5]库存使用数据!$A:$L,12,0),0)</f>
        <v>121</v>
      </c>
      <c r="M49" s="1">
        <f>IFERROR(VLOOKUP($A49,[1]库存使用数据!$A:$M,13,0),0)+IFERROR(VLOOKUP($A49,[2]库存使用数据!$A:$M,13,0),0)+公式!$B$14*IFERROR(VLOOKUP($A49,[3]库存使用数据!$A:$M,13,0),0)+IFERROR(VLOOKUP($A49,[4]库存使用数据!$A:$M,13,0),0)+IFERROR(VLOOKUP($A49,[5]库存使用数据!$A:$M,13,0),0)</f>
        <v>5.03</v>
      </c>
    </row>
    <row r="50" spans="1:13">
      <c r="A50" s="5" t="s">
        <v>55</v>
      </c>
      <c r="B50" s="2">
        <f>IFERROR(VLOOKUP(A50,[1]库存使用数据!$A:$B,2,0),0)+IFERROR(VLOOKUP(A50,[2]库存使用数据!$A:$B,2,0),0)+IFERROR(VLOOKUP(,[3]库存使用数据!$A:$B,2,0),0)+IFERROR(VLOOKUP(A50,[4]库存使用数据!$A:$B,2,0),0)+IFERROR(VLOOKUP(A50,[5]库存使用数据!$A:$B,2,0),0)</f>
        <v>3404</v>
      </c>
      <c r="C50" s="1">
        <f>IFERROR(VLOOKUP($A50,[1]库存使用数据!$A:$C,3,0),0)+IFERROR(VLOOKUP($A50,[2]库存使用数据!$A:$C,3,0),0)+IFERROR(VLOOKUP($A50,[3]库存使用数据!$A:$C,3,0),0)+IFERROR(VLOOKUP($A50,[4]库存使用数据!$A:$C,3,0),0)+IFERROR(VLOOKUP($A50,[5]库存使用数据!$A:$C,3,0),0)</f>
        <v>26</v>
      </c>
      <c r="D50" s="1">
        <f>IFERROR(VLOOKUP($A50,[1]库存使用数据!$A:$D,4,0),0)+IFERROR(VLOOKUP($A50,[2]库存使用数据!$A:$D,4,0),0)+公式!$B$1*IFERROR(VLOOKUP($A50,[3]库存使用数据!$A:$D,4,0),0)+IFERROR(VLOOKUP($A50,[4]库存使用数据!$A:$D,4,0),0)+IFERROR(VLOOKUP($A50,[5]库存使用数据!$A:$D,4,0),0)</f>
        <v>4.135</v>
      </c>
      <c r="E50" s="1">
        <f>IFERROR(VLOOKUP($A50,[1]库存使用数据!$A:$E,5,0),0)+IFERROR(VLOOKUP($A50,[2]库存使用数据!$A:$E,5,0),0)+IFERROR(VLOOKUP($A50,[3]库存使用数据!$A:$E,5,0),0)+IFERROR(VLOOKUP($A50,[4]库存使用数据!$A:$E,5,0),0)+IFERROR(VLOOKUP($A50,[5]库存使用数据!$A:$E,5,0),0)</f>
        <v>4753</v>
      </c>
      <c r="F50" s="1">
        <f>IFERROR(VLOOKUP($A50,[1]库存使用数据!$A:$F,6,0),0)+IFERROR(VLOOKUP($A50,[2]库存使用数据!$A:$F,6,0),0)+IFERROR(VLOOKUP($A50,[4]库存使用数据!$A:$F,6,0),0)+IFERROR(VLOOKUP($A50,[3]库存使用数据!$A:$F,6,0),0)+IFERROR(VLOOKUP($A50,[5]库存使用数据!$A:$F,6,0),0)</f>
        <v>21</v>
      </c>
      <c r="G50" s="1">
        <f>IFERROR(VLOOKUP($A50,[1]库存使用数据!$A:$G,7,0),0)+IFERROR(VLOOKUP($A50,[2]库存使用数据!$A:$G,7,0),0)+公式!$B$14*IFERROR(VLOOKUP($A50,[3]库存使用数据!$A:$G,7,0),0)+IFERROR(VLOOKUP($A50,[4]库存使用数据!$A:$G,7,0),0)+IFERROR(VLOOKUP($A50,[5]库存使用数据!$A:$G,7,0),0)</f>
        <v>2</v>
      </c>
      <c r="H50" s="1">
        <f>IFERROR(VLOOKUP($A50,[1]库存使用数据!$A:$H,8,0),0)+IFERROR(VLOOKUP($A50,[2]库存使用数据!$A:$H,8,0),0)+IFERROR(VLOOKUP($A50,[3]库存使用数据!$A:$H,8,0),0)+IFERROR(VLOOKUP($A50,[4]库存使用数据!$A:$H,8,0),0)+IFERROR(VLOOKUP($A50,[5]库存使用数据!$A:$H,8,0),0)</f>
        <v>4436</v>
      </c>
      <c r="I50" s="1">
        <f>IFERROR(VLOOKUP($A50,[1]库存使用数据!$A:$I,9,0),0)+IFERROR(VLOOKUP($A50,[2]库存使用数据!$A:$I,9,0),0)+IFERROR(VLOOKUP($A50,[3]库存使用数据!$A:$I,9,0),0)+IFERROR(VLOOKUP($A50,[4]库存使用数据!$A:$I,9,0),0)+IFERROR(VLOOKUP($A50,[5]库存使用数据!$A:$I,9,0),0)</f>
        <v>20</v>
      </c>
      <c r="J50" s="1">
        <f>IFERROR(VLOOKUP($A50,[1]库存使用数据!$A:$J,10,0),0)+IFERROR(VLOOKUP($A50,[2]库存使用数据!$A:$J,10,0),0)+公式!$B$14*IFERROR(VLOOKUP($A50,[3]库存使用数据!$A:$J,10,0),0)+IFERROR(VLOOKUP($A50,[4]库存使用数据!$A:$J,10,0),0)+IFERROR(VLOOKUP($A50,[5]库存使用数据!$A:$J,10,0),0)</f>
        <v>1.65</v>
      </c>
      <c r="K50" s="1">
        <f>IFERROR(VLOOKUP($A50,[1]库存使用数据!$A:$K,11,0),0)+IFERROR(VLOOKUP($A50,[2]库存使用数据!$A:$K,11,0),0)+IFERROR(VLOOKUP($A50,[3]库存使用数据!$A:$K,11,0),0)+IFERROR(VLOOKUP($A50,[4]库存使用数据!$A:$K,11,0),0)+IFERROR(VLOOKUP($A50,[5]库存使用数据!$A:$K,11,0),0)</f>
        <v>6033</v>
      </c>
      <c r="L50" s="1">
        <f>IFERROR(VLOOKUP($A50,[1]库存使用数据!$A:$L,12,0),0)+IFERROR(VLOOKUP($A50,[2]库存使用数据!$A:$L,12,0),0)+IFERROR(VLOOKUP($A50,[3]库存使用数据!$A:$L,12,0),0)+IFERROR(VLOOKUP($A50,[4]库存使用数据!$A:$L,12,0),0)+IFERROR(VLOOKUP($A50,[5]库存使用数据!$A:$L,12,0),0)</f>
        <v>20</v>
      </c>
      <c r="M50" s="1">
        <f>IFERROR(VLOOKUP($A50,[1]库存使用数据!$A:$M,13,0),0)+IFERROR(VLOOKUP($A50,[2]库存使用数据!$A:$M,13,0),0)+公式!$B$14*IFERROR(VLOOKUP($A50,[3]库存使用数据!$A:$M,13,0),0)+IFERROR(VLOOKUP($A50,[4]库存使用数据!$A:$M,13,0),0)+IFERROR(VLOOKUP($A50,[5]库存使用数据!$A:$M,13,0),0)</f>
        <v>2.37</v>
      </c>
    </row>
    <row r="51" spans="1:13">
      <c r="A51" s="5" t="s">
        <v>56</v>
      </c>
      <c r="B51" s="2">
        <f>IFERROR(VLOOKUP(A51,[1]库存使用数据!$A:$B,2,0),0)+IFERROR(VLOOKUP(A51,[2]库存使用数据!$A:$B,2,0),0)+IFERROR(VLOOKUP(,[3]库存使用数据!$A:$B,2,0),0)+IFERROR(VLOOKUP(A51,[4]库存使用数据!$A:$B,2,0),0)+IFERROR(VLOOKUP(A51,[5]库存使用数据!$A:$B,2,0),0)</f>
        <v>22577</v>
      </c>
      <c r="C51" s="1">
        <f>IFERROR(VLOOKUP($A51,[1]库存使用数据!$A:$C,3,0),0)+IFERROR(VLOOKUP($A51,[2]库存使用数据!$A:$C,3,0),0)+IFERROR(VLOOKUP($A51,[3]库存使用数据!$A:$C,3,0),0)+IFERROR(VLOOKUP($A51,[4]库存使用数据!$A:$C,3,0),0)+IFERROR(VLOOKUP($A51,[5]库存使用数据!$A:$C,3,0),0)</f>
        <v>80</v>
      </c>
      <c r="D51" s="1">
        <f>IFERROR(VLOOKUP($A51,[1]库存使用数据!$A:$D,4,0),0)+IFERROR(VLOOKUP($A51,[2]库存使用数据!$A:$D,4,0),0)+公式!$B$1*IFERROR(VLOOKUP($A51,[3]库存使用数据!$A:$D,4,0),0)+IFERROR(VLOOKUP($A51,[4]库存使用数据!$A:$D,4,0),0)+IFERROR(VLOOKUP($A51,[5]库存使用数据!$A:$D,4,0),0)</f>
        <v>15.055</v>
      </c>
      <c r="E51" s="1">
        <f>IFERROR(VLOOKUP($A51,[1]库存使用数据!$A:$E,5,0),0)+IFERROR(VLOOKUP($A51,[2]库存使用数据!$A:$E,5,0),0)+IFERROR(VLOOKUP($A51,[3]库存使用数据!$A:$E,5,0),0)+IFERROR(VLOOKUP($A51,[4]库存使用数据!$A:$E,5,0),0)+IFERROR(VLOOKUP($A51,[5]库存使用数据!$A:$E,5,0),0)</f>
        <v>13381</v>
      </c>
      <c r="F51" s="1">
        <f>IFERROR(VLOOKUP($A51,[1]库存使用数据!$A:$F,6,0),0)+IFERROR(VLOOKUP($A51,[2]库存使用数据!$A:$F,6,0),0)+IFERROR(VLOOKUP($A51,[4]库存使用数据!$A:$F,6,0),0)+IFERROR(VLOOKUP($A51,[3]库存使用数据!$A:$F,6,0),0)+IFERROR(VLOOKUP($A51,[5]库存使用数据!$A:$F,6,0),0)</f>
        <v>50</v>
      </c>
      <c r="G51" s="1">
        <f>IFERROR(VLOOKUP($A51,[1]库存使用数据!$A:$G,7,0),0)+IFERROR(VLOOKUP($A51,[2]库存使用数据!$A:$G,7,0),0)+公式!$B$14*IFERROR(VLOOKUP($A51,[3]库存使用数据!$A:$G,7,0),0)+IFERROR(VLOOKUP($A51,[4]库存使用数据!$A:$G,7,0),0)+IFERROR(VLOOKUP($A51,[5]库存使用数据!$A:$G,7,0),0)</f>
        <v>8.41</v>
      </c>
      <c r="H51" s="1">
        <f>IFERROR(VLOOKUP($A51,[1]库存使用数据!$A:$H,8,0),0)+IFERROR(VLOOKUP($A51,[2]库存使用数据!$A:$H,8,0),0)+IFERROR(VLOOKUP($A51,[3]库存使用数据!$A:$H,8,0),0)+IFERROR(VLOOKUP($A51,[4]库存使用数据!$A:$H,8,0),0)+IFERROR(VLOOKUP($A51,[5]库存使用数据!$A:$H,8,0),0)</f>
        <v>10658</v>
      </c>
      <c r="I51" s="1">
        <f>IFERROR(VLOOKUP($A51,[1]库存使用数据!$A:$I,9,0),0)+IFERROR(VLOOKUP($A51,[2]库存使用数据!$A:$I,9,0),0)+IFERROR(VLOOKUP($A51,[3]库存使用数据!$A:$I,9,0),0)+IFERROR(VLOOKUP($A51,[4]库存使用数据!$A:$I,9,0),0)+IFERROR(VLOOKUP($A51,[5]库存使用数据!$A:$I,9,0),0)</f>
        <v>47</v>
      </c>
      <c r="J51" s="1">
        <f>IFERROR(VLOOKUP($A51,[1]库存使用数据!$A:$J,10,0),0)+IFERROR(VLOOKUP($A51,[2]库存使用数据!$A:$J,10,0),0)+公式!$B$14*IFERROR(VLOOKUP($A51,[3]库存使用数据!$A:$J,10,0),0)+IFERROR(VLOOKUP($A51,[4]库存使用数据!$A:$J,10,0),0)+IFERROR(VLOOKUP($A51,[5]库存使用数据!$A:$J,10,0),0)</f>
        <v>9.57</v>
      </c>
      <c r="K51" s="1">
        <f>IFERROR(VLOOKUP($A51,[1]库存使用数据!$A:$K,11,0),0)+IFERROR(VLOOKUP($A51,[2]库存使用数据!$A:$K,11,0),0)+IFERROR(VLOOKUP($A51,[3]库存使用数据!$A:$K,11,0),0)+IFERROR(VLOOKUP($A51,[4]库存使用数据!$A:$K,11,0),0)+IFERROR(VLOOKUP($A51,[5]库存使用数据!$A:$K,11,0),0)</f>
        <v>35548</v>
      </c>
      <c r="L51" s="1">
        <f>IFERROR(VLOOKUP($A51,[1]库存使用数据!$A:$L,12,0),0)+IFERROR(VLOOKUP($A51,[2]库存使用数据!$A:$L,12,0),0)+IFERROR(VLOOKUP($A51,[3]库存使用数据!$A:$L,12,0),0)+IFERROR(VLOOKUP($A51,[4]库存使用数据!$A:$L,12,0),0)+IFERROR(VLOOKUP($A51,[5]库存使用数据!$A:$L,12,0),0)</f>
        <v>124</v>
      </c>
      <c r="M51" s="1">
        <f>IFERROR(VLOOKUP($A51,[1]库存使用数据!$A:$M,13,0),0)+IFERROR(VLOOKUP($A51,[2]库存使用数据!$A:$M,13,0),0)+公式!$B$14*IFERROR(VLOOKUP($A51,[3]库存使用数据!$A:$M,13,0),0)+IFERROR(VLOOKUP($A51,[4]库存使用数据!$A:$M,13,0),0)+IFERROR(VLOOKUP($A51,[5]库存使用数据!$A:$M,13,0),0)</f>
        <v>29.43</v>
      </c>
    </row>
    <row r="52" spans="1:13">
      <c r="A52" s="5" t="s">
        <v>57</v>
      </c>
      <c r="B52" s="2">
        <f>IFERROR(VLOOKUP(A52,[1]库存使用数据!$A:$B,2,0),0)+IFERROR(VLOOKUP(A52,[2]库存使用数据!$A:$B,2,0),0)+IFERROR(VLOOKUP(,[3]库存使用数据!$A:$B,2,0),0)+IFERROR(VLOOKUP(A52,[4]库存使用数据!$A:$B,2,0),0)+IFERROR(VLOOKUP(A52,[5]库存使用数据!$A:$B,2,0),0)</f>
        <v>0</v>
      </c>
      <c r="C52" s="1">
        <f>IFERROR(VLOOKUP($A52,[1]库存使用数据!$A:$C,3,0),0)+IFERROR(VLOOKUP($A52,[2]库存使用数据!$A:$C,3,0),0)+IFERROR(VLOOKUP($A52,[3]库存使用数据!$A:$C,3,0),0)+IFERROR(VLOOKUP($A52,[4]库存使用数据!$A:$C,3,0),0)+IFERROR(VLOOKUP($A52,[5]库存使用数据!$A:$C,3,0),0)</f>
        <v>0</v>
      </c>
      <c r="D52" s="1">
        <f>IFERROR(VLOOKUP($A52,[1]库存使用数据!$A:$D,4,0),0)+IFERROR(VLOOKUP($A52,[2]库存使用数据!$A:$D,4,0),0)+公式!$B$1*IFERROR(VLOOKUP($A52,[3]库存使用数据!$A:$D,4,0),0)+IFERROR(VLOOKUP($A52,[4]库存使用数据!$A:$D,4,0),0)+IFERROR(VLOOKUP($A52,[5]库存使用数据!$A:$D,4,0),0)</f>
        <v>0</v>
      </c>
      <c r="E52" s="1">
        <f>IFERROR(VLOOKUP($A52,[1]库存使用数据!$A:$E,5,0),0)+IFERROR(VLOOKUP($A52,[2]库存使用数据!$A:$E,5,0),0)+IFERROR(VLOOKUP($A52,[3]库存使用数据!$A:$E,5,0),0)+IFERROR(VLOOKUP($A52,[4]库存使用数据!$A:$E,5,0),0)+IFERROR(VLOOKUP($A52,[5]库存使用数据!$A:$E,5,0),0)</f>
        <v>0</v>
      </c>
      <c r="F52" s="1">
        <f>IFERROR(VLOOKUP($A52,[1]库存使用数据!$A:$F,6,0),0)+IFERROR(VLOOKUP($A52,[2]库存使用数据!$A:$F,6,0),0)+IFERROR(VLOOKUP($A52,[4]库存使用数据!$A:$F,6,0),0)+IFERROR(VLOOKUP($A52,[3]库存使用数据!$A:$F,6,0),0)+IFERROR(VLOOKUP($A52,[5]库存使用数据!$A:$F,6,0),0)</f>
        <v>0</v>
      </c>
      <c r="G52" s="1">
        <f>IFERROR(VLOOKUP($A52,[1]库存使用数据!$A:$G,7,0),0)+IFERROR(VLOOKUP($A52,[2]库存使用数据!$A:$G,7,0),0)+公式!$B$14*IFERROR(VLOOKUP($A52,[3]库存使用数据!$A:$G,7,0),0)+IFERROR(VLOOKUP($A52,[4]库存使用数据!$A:$G,7,0),0)+IFERROR(VLOOKUP($A52,[5]库存使用数据!$A:$G,7,0),0)</f>
        <v>0</v>
      </c>
      <c r="H52" s="1">
        <f>IFERROR(VLOOKUP($A52,[1]库存使用数据!$A:$H,8,0),0)+IFERROR(VLOOKUP($A52,[2]库存使用数据!$A:$H,8,0),0)+IFERROR(VLOOKUP($A52,[3]库存使用数据!$A:$H,8,0),0)+IFERROR(VLOOKUP($A52,[4]库存使用数据!$A:$H,8,0),0)+IFERROR(VLOOKUP($A52,[5]库存使用数据!$A:$H,8,0),0)</f>
        <v>0</v>
      </c>
      <c r="I52" s="1">
        <f>IFERROR(VLOOKUP($A52,[1]库存使用数据!$A:$I,9,0),0)+IFERROR(VLOOKUP($A52,[2]库存使用数据!$A:$I,9,0),0)+IFERROR(VLOOKUP($A52,[3]库存使用数据!$A:$I,9,0),0)+IFERROR(VLOOKUP($A52,[4]库存使用数据!$A:$I,9,0),0)+IFERROR(VLOOKUP($A52,[5]库存使用数据!$A:$I,9,0),0)</f>
        <v>0</v>
      </c>
      <c r="J52" s="1">
        <f>IFERROR(VLOOKUP($A52,[1]库存使用数据!$A:$J,10,0),0)+IFERROR(VLOOKUP($A52,[2]库存使用数据!$A:$J,10,0),0)+公式!$B$14*IFERROR(VLOOKUP($A52,[3]库存使用数据!$A:$J,10,0),0)+IFERROR(VLOOKUP($A52,[4]库存使用数据!$A:$J,10,0),0)+IFERROR(VLOOKUP($A52,[5]库存使用数据!$A:$J,10,0),0)</f>
        <v>0</v>
      </c>
      <c r="K52" s="1">
        <f>IFERROR(VLOOKUP($A52,[1]库存使用数据!$A:$K,11,0),0)+IFERROR(VLOOKUP($A52,[2]库存使用数据!$A:$K,11,0),0)+IFERROR(VLOOKUP($A52,[3]库存使用数据!$A:$K,11,0),0)+IFERROR(VLOOKUP($A52,[4]库存使用数据!$A:$K,11,0),0)+IFERROR(VLOOKUP($A52,[5]库存使用数据!$A:$K,11,0),0)</f>
        <v>0</v>
      </c>
      <c r="L52" s="1">
        <f>IFERROR(VLOOKUP($A52,[1]库存使用数据!$A:$L,12,0),0)+IFERROR(VLOOKUP($A52,[2]库存使用数据!$A:$L,12,0),0)+IFERROR(VLOOKUP($A52,[3]库存使用数据!$A:$L,12,0),0)+IFERROR(VLOOKUP($A52,[4]库存使用数据!$A:$L,12,0),0)+IFERROR(VLOOKUP($A52,[5]库存使用数据!$A:$L,12,0),0)</f>
        <v>0</v>
      </c>
      <c r="M52" s="1">
        <f>IFERROR(VLOOKUP($A52,[1]库存使用数据!$A:$M,13,0),0)+IFERROR(VLOOKUP($A52,[2]库存使用数据!$A:$M,13,0),0)+公式!$B$14*IFERROR(VLOOKUP($A52,[3]库存使用数据!$A:$M,13,0),0)+IFERROR(VLOOKUP($A52,[4]库存使用数据!$A:$M,13,0),0)+IFERROR(VLOOKUP($A52,[5]库存使用数据!$A:$M,13,0),0)</f>
        <v>0</v>
      </c>
    </row>
    <row r="53" spans="1:13">
      <c r="A53" s="5" t="s">
        <v>58</v>
      </c>
      <c r="B53" s="2">
        <f>IFERROR(VLOOKUP(A53,[1]库存使用数据!$A:$B,2,0),0)+IFERROR(VLOOKUP(A53,[2]库存使用数据!$A:$B,2,0),0)+IFERROR(VLOOKUP(,[3]库存使用数据!$A:$B,2,0),0)+IFERROR(VLOOKUP(A53,[4]库存使用数据!$A:$B,2,0),0)+IFERROR(VLOOKUP(A53,[5]库存使用数据!$A:$B,2,0),0)</f>
        <v>0</v>
      </c>
      <c r="C53" s="1">
        <f>IFERROR(VLOOKUP($A53,[1]库存使用数据!$A:$C,3,0),0)+IFERROR(VLOOKUP($A53,[2]库存使用数据!$A:$C,3,0),0)+IFERROR(VLOOKUP($A53,[3]库存使用数据!$A:$C,3,0),0)+IFERROR(VLOOKUP($A53,[4]库存使用数据!$A:$C,3,0),0)+IFERROR(VLOOKUP($A53,[5]库存使用数据!$A:$C,3,0),0)</f>
        <v>0</v>
      </c>
      <c r="D53" s="1">
        <f>IFERROR(VLOOKUP($A53,[1]库存使用数据!$A:$D,4,0),0)+IFERROR(VLOOKUP($A53,[2]库存使用数据!$A:$D,4,0),0)+公式!$B$1*IFERROR(VLOOKUP($A53,[3]库存使用数据!$A:$D,4,0),0)+IFERROR(VLOOKUP($A53,[4]库存使用数据!$A:$D,4,0),0)+IFERROR(VLOOKUP($A53,[5]库存使用数据!$A:$D,4,0),0)</f>
        <v>0</v>
      </c>
      <c r="E53" s="1">
        <f>IFERROR(VLOOKUP($A53,[1]库存使用数据!$A:$E,5,0),0)+IFERROR(VLOOKUP($A53,[2]库存使用数据!$A:$E,5,0),0)+IFERROR(VLOOKUP($A53,[3]库存使用数据!$A:$E,5,0),0)+IFERROR(VLOOKUP($A53,[4]库存使用数据!$A:$E,5,0),0)+IFERROR(VLOOKUP($A53,[5]库存使用数据!$A:$E,5,0),0)</f>
        <v>0</v>
      </c>
      <c r="F53" s="1">
        <f>IFERROR(VLOOKUP($A53,[1]库存使用数据!$A:$F,6,0),0)+IFERROR(VLOOKUP($A53,[2]库存使用数据!$A:$F,6,0),0)+IFERROR(VLOOKUP($A53,[4]库存使用数据!$A:$F,6,0),0)+IFERROR(VLOOKUP($A53,[3]库存使用数据!$A:$F,6,0),0)+IFERROR(VLOOKUP($A53,[5]库存使用数据!$A:$F,6,0),0)</f>
        <v>0</v>
      </c>
      <c r="G53" s="1">
        <f>IFERROR(VLOOKUP($A53,[1]库存使用数据!$A:$G,7,0),0)+IFERROR(VLOOKUP($A53,[2]库存使用数据!$A:$G,7,0),0)+公式!$B$14*IFERROR(VLOOKUP($A53,[3]库存使用数据!$A:$G,7,0),0)+IFERROR(VLOOKUP($A53,[4]库存使用数据!$A:$G,7,0),0)+IFERROR(VLOOKUP($A53,[5]库存使用数据!$A:$G,7,0),0)</f>
        <v>0</v>
      </c>
      <c r="H53" s="1">
        <f>IFERROR(VLOOKUP($A53,[1]库存使用数据!$A:$H,8,0),0)+IFERROR(VLOOKUP($A53,[2]库存使用数据!$A:$H,8,0),0)+IFERROR(VLOOKUP($A53,[3]库存使用数据!$A:$H,8,0),0)+IFERROR(VLOOKUP($A53,[4]库存使用数据!$A:$H,8,0),0)+IFERROR(VLOOKUP($A53,[5]库存使用数据!$A:$H,8,0),0)</f>
        <v>1086</v>
      </c>
      <c r="I53" s="1">
        <f>IFERROR(VLOOKUP($A53,[1]库存使用数据!$A:$I,9,0),0)+IFERROR(VLOOKUP($A53,[2]库存使用数据!$A:$I,9,0),0)+IFERROR(VLOOKUP($A53,[3]库存使用数据!$A:$I,9,0),0)+IFERROR(VLOOKUP($A53,[4]库存使用数据!$A:$I,9,0),0)+IFERROR(VLOOKUP($A53,[5]库存使用数据!$A:$I,9,0),0)</f>
        <v>30</v>
      </c>
      <c r="J53" s="1">
        <f>IFERROR(VLOOKUP($A53,[1]库存使用数据!$A:$J,10,0),0)+IFERROR(VLOOKUP($A53,[2]库存使用数据!$A:$J,10,0),0)+公式!$B$14*IFERROR(VLOOKUP($A53,[3]库存使用数据!$A:$J,10,0),0)+IFERROR(VLOOKUP($A53,[4]库存使用数据!$A:$J,10,0),0)+IFERROR(VLOOKUP($A53,[5]库存使用数据!$A:$J,10,0),0)</f>
        <v>3.29</v>
      </c>
      <c r="K53" s="1">
        <f>IFERROR(VLOOKUP($A53,[1]库存使用数据!$A:$K,11,0),0)+IFERROR(VLOOKUP($A53,[2]库存使用数据!$A:$K,11,0),0)+IFERROR(VLOOKUP($A53,[3]库存使用数据!$A:$K,11,0),0)+IFERROR(VLOOKUP($A53,[4]库存使用数据!$A:$K,11,0),0)+IFERROR(VLOOKUP($A53,[5]库存使用数据!$A:$K,11,0),0)</f>
        <v>13963</v>
      </c>
      <c r="L53" s="1">
        <f>IFERROR(VLOOKUP($A53,[1]库存使用数据!$A:$L,12,0),0)+IFERROR(VLOOKUP($A53,[2]库存使用数据!$A:$L,12,0),0)+IFERROR(VLOOKUP($A53,[3]库存使用数据!$A:$L,12,0),0)+IFERROR(VLOOKUP($A53,[4]库存使用数据!$A:$L,12,0),0)+IFERROR(VLOOKUP($A53,[5]库存使用数据!$A:$L,12,0),0)</f>
        <v>190</v>
      </c>
      <c r="M53" s="1">
        <f>IFERROR(VLOOKUP($A53,[1]库存使用数据!$A:$M,13,0),0)+IFERROR(VLOOKUP($A53,[2]库存使用数据!$A:$M,13,0),0)+公式!$B$14*IFERROR(VLOOKUP($A53,[3]库存使用数据!$A:$M,13,0),0)+IFERROR(VLOOKUP($A53,[4]库存使用数据!$A:$M,13,0),0)+IFERROR(VLOOKUP($A53,[5]库存使用数据!$A:$M,13,0),0)</f>
        <v>20.97</v>
      </c>
    </row>
    <row r="54" spans="2:13">
      <c r="B54" s="2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2:13">
      <c r="B55" s="2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2:13">
      <c r="B56" s="2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2:13">
      <c r="B57" s="2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2:13">
      <c r="B58" s="2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2:13">
      <c r="B59" s="2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2:13">
      <c r="B60" s="2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2:13">
      <c r="B61" s="2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2:13">
      <c r="B62" s="2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2:13">
      <c r="B63" s="2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2:13">
      <c r="B64" s="2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2:13">
      <c r="B65" s="2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2:13">
      <c r="B66" s="2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2:13">
      <c r="B67" s="2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2:13">
      <c r="B68" s="2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2:13">
      <c r="B69" s="2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2:13">
      <c r="B70" s="2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2:13">
      <c r="B71" s="2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2:13">
      <c r="B72" s="2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2:13">
      <c r="B73" s="2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2:13">
      <c r="B74" s="2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</row>
    <row r="75" spans="2:13">
      <c r="B75" s="2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</row>
    <row r="76" spans="2:13">
      <c r="B76" s="2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</row>
    <row r="77" spans="2:13">
      <c r="B77" s="2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2:13">
      <c r="B78" s="2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2:13">
      <c r="B79" s="2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2:13">
      <c r="B80" s="2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2:13">
      <c r="B81" s="2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2:13">
      <c r="B82" s="2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2:13">
      <c r="B83" s="2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2:13">
      <c r="B84" s="2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2:13">
      <c r="B85" s="2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2:13">
      <c r="B86" s="2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2:13">
      <c r="B87" s="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2:13">
      <c r="B88" s="2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2:13">
      <c r="B89" s="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2:13">
      <c r="B90" s="2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2:13">
      <c r="B91" s="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2:13">
      <c r="B92" s="2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2:13">
      <c r="B93" s="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2:13">
      <c r="B94" s="2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</row>
    <row r="95" spans="2:13">
      <c r="B95" s="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</row>
    <row r="96" spans="2:13">
      <c r="B96" s="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</row>
    <row r="97" spans="2:13">
      <c r="B97" s="2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</row>
    <row r="98" spans="2:13">
      <c r="B98" s="2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</row>
    <row r="99" spans="2:13">
      <c r="B99" s="2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</row>
    <row r="100" spans="2:13">
      <c r="B100" s="2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</row>
    <row r="101" spans="2:13">
      <c r="B101" s="2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</row>
    <row r="102" spans="2:13">
      <c r="B102" s="2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</row>
    <row r="103" spans="2:13">
      <c r="B103" s="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</row>
    <row r="104" spans="2:13">
      <c r="B104" s="2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</row>
    <row r="105" spans="2:13">
      <c r="B105" s="2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</row>
    <row r="106" spans="2:13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</row>
    <row r="107" spans="2:13">
      <c r="B107" s="2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</row>
    <row r="108" spans="2:13">
      <c r="B108" s="2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</row>
    <row r="109" spans="2:13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</row>
    <row r="110" spans="2:13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</row>
    <row r="111" spans="2:13">
      <c r="B111" s="2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</row>
    <row r="112" spans="2:13">
      <c r="B112" s="2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</row>
    <row r="113" spans="2:13">
      <c r="B113" s="2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</row>
    <row r="114" spans="2:13">
      <c r="B114" s="2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</row>
    <row r="115" spans="2:13">
      <c r="B115" s="2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</row>
    <row r="116" spans="2:13">
      <c r="B116" s="2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r="117" spans="2:13">
      <c r="B117" s="2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</row>
    <row r="118" spans="2:13">
      <c r="B118" s="2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</row>
    <row r="119" spans="2:13">
      <c r="B119" s="2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</row>
    <row r="120" spans="2:13">
      <c r="B120" s="2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</row>
    <row r="121" spans="2:13">
      <c r="B121" s="2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</row>
    <row r="122" spans="2:13">
      <c r="B122" s="2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</row>
    <row r="123" spans="2:13">
      <c r="B123" s="2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</row>
    <row r="124" spans="2:13">
      <c r="B124" s="2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</row>
    <row r="125" spans="2:13">
      <c r="B125" s="2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</row>
    <row r="126" spans="2:13">
      <c r="B126" s="2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</row>
    <row r="127" spans="2:13">
      <c r="B127" s="2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</row>
    <row r="128" spans="2:13">
      <c r="B128" s="2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</row>
    <row r="129" spans="2:13">
      <c r="B129" s="2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</row>
    <row r="130" spans="2:13">
      <c r="B130" s="2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</row>
    <row r="131" spans="2:13">
      <c r="B131" s="2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</row>
    <row r="132" spans="2:13">
      <c r="B132" s="2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</row>
    <row r="133" spans="2:13">
      <c r="B133" s="2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</row>
    <row r="134" spans="2:13">
      <c r="B134" s="2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</row>
    <row r="135" spans="2:13">
      <c r="B135" s="2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</row>
    <row r="136" spans="2:13">
      <c r="B136" s="2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</row>
    <row r="137" spans="2:13">
      <c r="B137" s="2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</row>
    <row r="138" spans="2:13">
      <c r="B138" s="2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</row>
    <row r="139" spans="2:13">
      <c r="B139" s="2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</row>
    <row r="140" spans="2:13">
      <c r="B140" s="2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</row>
    <row r="141" spans="2:13">
      <c r="B141" s="2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</row>
    <row r="142" spans="2:13">
      <c r="B142" s="2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</row>
    <row r="143" spans="2:13">
      <c r="B143" s="2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</row>
    <row r="144" spans="2:13">
      <c r="B144" s="2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</row>
    <row r="145" spans="2:13">
      <c r="B145" s="2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</row>
    <row r="146" spans="2:13">
      <c r="B146" s="2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</row>
    <row r="147" spans="2:13">
      <c r="B147" s="2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</row>
    <row r="148" spans="2:13">
      <c r="B148" s="2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</row>
    <row r="149" spans="2:13">
      <c r="B149" s="2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</row>
    <row r="150" spans="2:13">
      <c r="B150" s="2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</row>
    <row r="151" spans="2:13">
      <c r="B151" s="2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</row>
    <row r="152" spans="2:13">
      <c r="B152" s="2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</row>
    <row r="153" spans="2:13">
      <c r="B153" s="2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</row>
    <row r="154" spans="2:13">
      <c r="B154" s="2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</row>
    <row r="155" spans="2:13">
      <c r="B155" s="2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</row>
    <row r="156" spans="2:13">
      <c r="B156" s="2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</row>
    <row r="157" spans="2:13">
      <c r="B157" s="2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</row>
    <row r="158" spans="2:13">
      <c r="B158" s="2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</row>
    <row r="159" spans="2:13">
      <c r="B159" s="2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</row>
    <row r="160" spans="2:13">
      <c r="B160" s="2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</row>
    <row r="161" spans="2:13">
      <c r="B161" s="2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</row>
    <row r="162" spans="2:13">
      <c r="B162" s="2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</row>
    <row r="163" spans="2:13">
      <c r="B163" s="2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</row>
    <row r="164" spans="2:13">
      <c r="B164" s="2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</row>
    <row r="165" spans="2:13">
      <c r="B165" s="2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</row>
    <row r="166" spans="2:13">
      <c r="B166" s="2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</row>
    <row r="167" spans="2:13">
      <c r="B167" s="2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</row>
    <row r="168" spans="2:13">
      <c r="B168" s="2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</row>
    <row r="169" spans="2:13">
      <c r="B169" s="2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</row>
    <row r="170" spans="2:13">
      <c r="B170" s="2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</row>
    <row r="171" spans="2:13">
      <c r="B171" s="2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</row>
    <row r="172" spans="2:13">
      <c r="B172" s="2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</row>
    <row r="173" spans="2:13">
      <c r="B173" s="2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</row>
    <row r="174" spans="2:13">
      <c r="B174" s="2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</row>
    <row r="175" spans="2:13">
      <c r="B175" s="2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</row>
    <row r="176" spans="2:13">
      <c r="B176" s="2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</row>
    <row r="177" spans="2:13">
      <c r="B177" s="2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</row>
    <row r="178" spans="2:13">
      <c r="B178" s="2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</row>
    <row r="179" spans="2:13">
      <c r="B179" s="2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</row>
    <row r="180" spans="2:13">
      <c r="B180" s="2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</row>
    <row r="181" spans="2:13">
      <c r="B181" s="2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2" spans="2:13">
      <c r="B182" s="2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</row>
    <row r="183" spans="2:13">
      <c r="B183" s="2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</row>
    <row r="184" spans="2:13">
      <c r="B184" s="2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</row>
    <row r="185" spans="2:13">
      <c r="B185" s="2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</row>
    <row r="186" spans="2:13">
      <c r="B186" s="2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</row>
    <row r="187" spans="2:13">
      <c r="B187" s="2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</row>
    <row r="188" spans="2:13">
      <c r="B188" s="2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</row>
    <row r="189" spans="2:13">
      <c r="B189" s="2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</row>
    <row r="190" spans="2:13">
      <c r="B190" s="2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</row>
    <row r="191" spans="2:13">
      <c r="B191" s="2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</row>
    <row r="192" spans="2:13">
      <c r="B192" s="2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</row>
    <row r="193" spans="2:13">
      <c r="B193" s="2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</row>
    <row r="194" spans="2:13">
      <c r="B194" s="2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</row>
    <row r="195" spans="2:13">
      <c r="B195" s="2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</row>
    <row r="196" spans="2:13">
      <c r="B196" s="2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</row>
    <row r="197" spans="2:13">
      <c r="B197" s="2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</row>
    <row r="198" spans="2:13">
      <c r="B198" s="2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</row>
    <row r="199" spans="2:13">
      <c r="B199" s="2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</row>
    <row r="200" spans="2:13">
      <c r="B200" s="2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</row>
    <row r="201" spans="2:13">
      <c r="B201" s="2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</row>
    <row r="202" spans="2:13">
      <c r="B202" s="2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</row>
    <row r="203" spans="2:13">
      <c r="B203" s="2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</row>
    <row r="204" spans="2:13">
      <c r="B204" s="2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</row>
    <row r="205" spans="2:13">
      <c r="B205" s="2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</row>
    <row r="206" spans="2:13">
      <c r="B206" s="2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</row>
    <row r="207" spans="2:13">
      <c r="B207" s="2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</row>
    <row r="208" spans="2:13">
      <c r="B208" s="2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</row>
    <row r="209" spans="2:13">
      <c r="B209" s="2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</row>
    <row r="210" spans="2:13">
      <c r="B210" s="2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</row>
    <row r="211" spans="2:13">
      <c r="B211" s="2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</row>
    <row r="212" spans="2:13">
      <c r="B212" s="2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</row>
    <row r="213" spans="2:13">
      <c r="B213" s="2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</row>
    <row r="214" spans="2:13">
      <c r="B214" s="2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</row>
    <row r="215" spans="2:13">
      <c r="B215" s="2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</row>
    <row r="216" spans="2:13">
      <c r="B216" s="2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</row>
    <row r="217" spans="2:13">
      <c r="B217" s="2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</row>
    <row r="218" spans="2:13">
      <c r="B218" s="2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</row>
    <row r="219" spans="2:13">
      <c r="B219" s="2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</row>
    <row r="220" spans="2:13">
      <c r="B220" s="2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</row>
    <row r="221" spans="2:13">
      <c r="B221" s="2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</row>
    <row r="222" spans="2:13">
      <c r="B222" s="2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</row>
    <row r="223" spans="2:13">
      <c r="B223" s="2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</row>
    <row r="224" spans="2:13">
      <c r="B224" s="2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</row>
    <row r="225" spans="2:13">
      <c r="B225" s="2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</row>
    <row r="226" spans="2:13">
      <c r="B226" s="2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</row>
    <row r="227" spans="2:13">
      <c r="B227" s="2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</row>
    <row r="228" spans="2:13">
      <c r="B228" s="2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</row>
    <row r="229" spans="2:13">
      <c r="B229" s="2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</row>
    <row r="230" spans="2:13">
      <c r="B230" s="2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</row>
    <row r="231" spans="2:13">
      <c r="B231" s="2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</row>
    <row r="232" spans="2:13">
      <c r="B232" s="2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</row>
    <row r="233" spans="2:13">
      <c r="B233" s="2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</row>
    <row r="234" spans="2:13">
      <c r="B234" s="2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</row>
    <row r="235" spans="2:13">
      <c r="B235" s="2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</row>
    <row r="236" spans="2:13">
      <c r="B236" s="2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</row>
    <row r="237" spans="2:13">
      <c r="B237" s="2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</row>
    <row r="238" spans="2:13">
      <c r="B238" s="2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</row>
    <row r="239" spans="2:13">
      <c r="B239" s="2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</row>
    <row r="240" spans="2:13">
      <c r="B240" s="2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</row>
    <row r="241" spans="2:13">
      <c r="B241" s="2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</row>
    <row r="242" spans="2:13">
      <c r="B242" s="2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</row>
    <row r="243" spans="2:13">
      <c r="B243" s="2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</row>
    <row r="244" spans="2:13">
      <c r="B244" s="2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</row>
    <row r="245" spans="2:13">
      <c r="B245" s="2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</row>
    <row r="246" spans="2:13">
      <c r="B246" s="2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</row>
    <row r="247" spans="2:13">
      <c r="B247" s="2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</row>
    <row r="248" spans="2:13">
      <c r="B248" s="2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</row>
    <row r="249" spans="2:13">
      <c r="B249" s="2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</row>
    <row r="250" spans="2:13">
      <c r="B250" s="2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</row>
    <row r="251" spans="2:13">
      <c r="B251" s="2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</row>
    <row r="252" spans="2:13">
      <c r="B252" s="2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</row>
    <row r="253" spans="2:13">
      <c r="B253" s="2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</row>
    <row r="254" spans="2:13">
      <c r="B254" s="2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</row>
    <row r="255" spans="2:13">
      <c r="B255" s="2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</row>
    <row r="256" spans="2:13">
      <c r="B256" s="2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</row>
    <row r="257" spans="2:13">
      <c r="B257" s="2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</row>
    <row r="258" spans="2:13">
      <c r="B258" s="2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</row>
    <row r="259" spans="2:13">
      <c r="B259" s="2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</row>
    <row r="260" spans="2:13">
      <c r="B260" s="2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</row>
    <row r="261" spans="2:13">
      <c r="B261" s="2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</row>
    <row r="262" spans="2:13">
      <c r="B262" s="2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</row>
    <row r="263" spans="2:13">
      <c r="B263" s="2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</row>
    <row r="264" spans="2:13">
      <c r="B264" s="2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</row>
    <row r="265" spans="2:13">
      <c r="B265" s="2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</row>
    <row r="266" spans="2:13">
      <c r="B266" s="2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</row>
    <row r="267" spans="2:13">
      <c r="B267" s="2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</row>
    <row r="268" spans="2:13">
      <c r="B268" s="2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</row>
    <row r="269" spans="2:13">
      <c r="B269" s="2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</row>
    <row r="270" spans="2:13">
      <c r="B270" s="2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</row>
    <row r="271" spans="2:13">
      <c r="B271" s="2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</row>
    <row r="272" spans="2:13">
      <c r="B272" s="2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</row>
    <row r="273" spans="2:13">
      <c r="B273" s="2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</row>
    <row r="274" spans="2:13">
      <c r="B274" s="2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</row>
    <row r="275" spans="2:13">
      <c r="B275" s="2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</row>
    <row r="276" spans="2:13">
      <c r="B276" s="2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</row>
    <row r="277" spans="2:13">
      <c r="B277" s="2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</row>
    <row r="278" spans="2:13">
      <c r="B278" s="2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</row>
    <row r="279" spans="2:13">
      <c r="B279" s="2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</row>
    <row r="280" spans="2:13">
      <c r="B280" s="2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</row>
    <row r="281" spans="2:13">
      <c r="B281" s="2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</row>
    <row r="282" spans="2:13">
      <c r="B282" s="2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</row>
    <row r="283" spans="2:13">
      <c r="B283" s="2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</row>
    <row r="284" spans="2:13">
      <c r="B284" s="2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</row>
    <row r="285" spans="2:13">
      <c r="B285" s="2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</row>
    <row r="286" spans="2:13">
      <c r="B286" s="2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</row>
    <row r="287" spans="2:13">
      <c r="B287" s="2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</row>
    <row r="288" spans="2:13">
      <c r="B288" s="2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</row>
    <row r="289" spans="2:13">
      <c r="B289" s="2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</row>
    <row r="290" spans="2:13">
      <c r="B290" s="2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</row>
    <row r="291" spans="2:13">
      <c r="B291" s="2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</row>
    <row r="292" spans="2:13">
      <c r="B292" s="2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</row>
    <row r="293" spans="2:13">
      <c r="B293" s="2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</row>
    <row r="294" spans="2:13">
      <c r="B294" s="2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</row>
    <row r="295" spans="2:13">
      <c r="B295" s="2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</row>
    <row r="296" spans="2:13">
      <c r="B296" s="2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</row>
    <row r="297" spans="2:13">
      <c r="B297" s="2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</row>
    <row r="298" spans="2:13">
      <c r="B298" s="2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</row>
    <row r="299" spans="2:13">
      <c r="B299" s="2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</row>
    <row r="300" spans="2:13">
      <c r="B300" s="2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</row>
    <row r="301" spans="2:13">
      <c r="B301" s="2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</row>
    <row r="302" spans="2:13">
      <c r="B302" s="2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</row>
    <row r="303" spans="2:13">
      <c r="B303" s="2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</row>
    <row r="304" spans="2:13">
      <c r="B304" s="2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</row>
    <row r="305" spans="2:13">
      <c r="B305" s="2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</row>
    <row r="306" spans="2:13">
      <c r="B306" s="2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</row>
    <row r="307" spans="2:13">
      <c r="B307" s="2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</row>
    <row r="308" spans="2:13">
      <c r="B308" s="2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</row>
    <row r="309" spans="2:13">
      <c r="B309" s="2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</row>
    <row r="310" spans="2:13">
      <c r="B310" s="2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</row>
    <row r="311" spans="2:13">
      <c r="B311" s="2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</row>
    <row r="312" spans="2:13">
      <c r="B312" s="2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</row>
    <row r="313" spans="2:13">
      <c r="B313" s="2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</row>
    <row r="314" spans="2:13">
      <c r="B314" s="2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</row>
    <row r="315" spans="2:13">
      <c r="B315" s="2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</row>
    <row r="316" spans="2:13">
      <c r="B316" s="2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</row>
    <row r="317" spans="2:13">
      <c r="B317" s="2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</row>
    <row r="318" spans="2:13">
      <c r="B318" s="2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</row>
    <row r="319" spans="2:13">
      <c r="B319" s="2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</row>
    <row r="320" spans="2:13">
      <c r="B320" s="2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</row>
    <row r="321" spans="2:13">
      <c r="B321" s="2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</row>
    <row r="322" spans="2:13">
      <c r="B322" s="2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</row>
    <row r="323" spans="2:13">
      <c r="B323" s="2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</row>
    <row r="324" spans="2:13">
      <c r="B324" s="2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</row>
    <row r="325" spans="2:13">
      <c r="B325" s="2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</row>
    <row r="326" spans="2:13">
      <c r="B326" s="2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</row>
    <row r="327" spans="2:13">
      <c r="B327" s="2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</row>
    <row r="328" spans="2:13">
      <c r="B328" s="2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</row>
    <row r="329" spans="2:13">
      <c r="B329" s="2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</row>
    <row r="330" spans="2:13">
      <c r="B330" s="2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</row>
    <row r="331" spans="2:13">
      <c r="B331" s="2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</row>
    <row r="332" spans="2:13">
      <c r="B332" s="2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</row>
    <row r="333" spans="2:13">
      <c r="B333" s="2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</row>
    <row r="334" spans="2:13">
      <c r="B334" s="2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</row>
    <row r="335" spans="2:13">
      <c r="B335" s="2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</row>
    <row r="336" spans="2:13">
      <c r="B336" s="2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</row>
    <row r="337" spans="2:13">
      <c r="B337" s="2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</row>
    <row r="338" spans="2:13">
      <c r="B338" s="2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</row>
    <row r="339" spans="2:13">
      <c r="B339" s="2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</row>
    <row r="340" spans="2:13">
      <c r="B340" s="2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</row>
    <row r="341" spans="2:13">
      <c r="B341" s="2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</row>
    <row r="342" spans="2:13">
      <c r="B342" s="2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</row>
    <row r="343" spans="2:13">
      <c r="B343" s="2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</row>
    <row r="344" spans="2:13">
      <c r="B344" s="2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</row>
    <row r="345" spans="2:13">
      <c r="B345" s="2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</row>
    <row r="346" spans="2:13">
      <c r="B346" s="2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</row>
    <row r="347" spans="2:13">
      <c r="B347" s="2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</row>
    <row r="348" spans="2:13">
      <c r="B348" s="2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</row>
    <row r="349" spans="2:13">
      <c r="B349" s="2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</row>
    <row r="350" spans="2:13">
      <c r="B350" s="2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</row>
    <row r="351" spans="2:13">
      <c r="B351" s="2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</row>
    <row r="352" spans="2:13">
      <c r="B352" s="2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</row>
    <row r="353" spans="2:13">
      <c r="B353" s="2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</row>
    <row r="354" spans="2:13">
      <c r="B354" s="2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</row>
    <row r="355" spans="2:13">
      <c r="B355" s="2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</row>
    <row r="356" spans="2:13">
      <c r="B356" s="2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</row>
    <row r="357" spans="2:13">
      <c r="B357" s="2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</row>
    <row r="358" spans="2:13">
      <c r="B358" s="2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</row>
    <row r="359" spans="2:13">
      <c r="B359" s="2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</row>
    <row r="360" spans="2:13">
      <c r="B360" s="2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</row>
    <row r="361" spans="2:13">
      <c r="B361" s="2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</row>
    <row r="362" spans="2:13">
      <c r="B362" s="2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</row>
    <row r="363" spans="2:13">
      <c r="B363" s="2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</row>
    <row r="364" spans="2:13">
      <c r="B364" s="2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</row>
    <row r="365" spans="2:13">
      <c r="B365" s="2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</row>
    <row r="366" spans="2:13">
      <c r="B366" s="2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</row>
    <row r="367" spans="2:13">
      <c r="B367" s="2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</row>
    <row r="368" spans="2:13">
      <c r="B368" s="2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</row>
    <row r="369" spans="2:13">
      <c r="B369" s="2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</row>
    <row r="370" spans="2:13">
      <c r="B370" s="2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</row>
    <row r="371" spans="2:13">
      <c r="B371" s="2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</row>
    <row r="372" spans="2:13">
      <c r="B372" s="2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</row>
    <row r="373" spans="2:13">
      <c r="B373" s="2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</row>
    <row r="374" spans="2:13">
      <c r="B374" s="2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</row>
    <row r="375" spans="2:13">
      <c r="B375" s="2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</row>
    <row r="376" spans="2:13">
      <c r="B376" s="2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</row>
    <row r="377" spans="2:13">
      <c r="B377" s="2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</row>
    <row r="378" spans="2:13">
      <c r="B378" s="2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</row>
    <row r="379" spans="2:13">
      <c r="B379" s="2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</row>
    <row r="380" spans="2:13">
      <c r="B380" s="2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</row>
    <row r="381" spans="2:13">
      <c r="B381" s="2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</row>
    <row r="382" spans="2:13">
      <c r="B382" s="2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</row>
    <row r="383" spans="2:13">
      <c r="B383" s="2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</row>
    <row r="384" spans="2:13">
      <c r="B384" s="2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</row>
    <row r="385" spans="2:13">
      <c r="B385" s="2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</row>
    <row r="386" spans="2:13">
      <c r="B386" s="2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</row>
    <row r="387" spans="2:13">
      <c r="B387" s="2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</row>
    <row r="388" spans="2:13">
      <c r="B388" s="2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</row>
    <row r="389" spans="2:13">
      <c r="B389" s="2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</row>
    <row r="390" spans="2:13">
      <c r="B390" s="2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</row>
    <row r="391" spans="2:13">
      <c r="B391" s="2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</row>
    <row r="392" spans="2:13">
      <c r="B392" s="2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</row>
    <row r="393" spans="2:13">
      <c r="B393" s="2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</row>
    <row r="394" spans="2:13">
      <c r="B394" s="2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</row>
    <row r="395" spans="2:13">
      <c r="B395" s="2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</row>
    <row r="396" spans="2:13">
      <c r="B396" s="2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</row>
    <row r="397" spans="2:13">
      <c r="B397" s="2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</row>
    <row r="398" spans="2:13">
      <c r="B398" s="2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</row>
    <row r="399" spans="2:13">
      <c r="B399" s="2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</row>
    <row r="400" spans="2:13">
      <c r="B400" s="2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</row>
    <row r="401" spans="2:13">
      <c r="B401" s="2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</row>
    <row r="402" spans="2:13">
      <c r="B402" s="2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</row>
    <row r="403" spans="2:13">
      <c r="B403" s="2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</row>
    <row r="404" spans="2:13">
      <c r="B404" s="2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</row>
    <row r="405" spans="2:13">
      <c r="B405" s="2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</row>
    <row r="406" spans="2:13">
      <c r="B406" s="2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</row>
    <row r="407" spans="2:13">
      <c r="B407" s="2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</row>
    <row r="408" spans="2:13">
      <c r="B408" s="2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</row>
    <row r="409" spans="2:13">
      <c r="B409" s="2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</row>
    <row r="410" spans="2:13">
      <c r="B410" s="2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</row>
    <row r="411" spans="2:13">
      <c r="B411" s="2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</row>
    <row r="412" spans="2:13">
      <c r="B412" s="2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</row>
    <row r="413" spans="2:13">
      <c r="B413" s="2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</row>
    <row r="414" spans="2:13">
      <c r="B414" s="2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</row>
    <row r="415" spans="2:13">
      <c r="B415" s="2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</row>
    <row r="416" spans="2:13">
      <c r="B416" s="2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</row>
    <row r="417" spans="2:13">
      <c r="B417" s="2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</row>
    <row r="418" spans="2:13">
      <c r="B418" s="2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</row>
    <row r="419" spans="2:13">
      <c r="B419" s="2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</row>
    <row r="420" spans="2:13">
      <c r="B420" s="2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</row>
    <row r="421" spans="2:13">
      <c r="B421" s="2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</row>
    <row r="422" spans="2:13">
      <c r="B422" s="2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</row>
    <row r="423" spans="2:13">
      <c r="B423" s="2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</row>
    <row r="424" spans="2:13">
      <c r="B424" s="2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</row>
    <row r="425" spans="2:13">
      <c r="B425" s="2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</row>
    <row r="426" spans="2:13">
      <c r="B426" s="2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</row>
    <row r="427" spans="2:13">
      <c r="B427" s="2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</row>
    <row r="428" spans="2:13">
      <c r="B428" s="2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</row>
    <row r="429" spans="2:13">
      <c r="B429" s="2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</row>
    <row r="430" spans="2:13">
      <c r="B430" s="2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</row>
    <row r="431" spans="2:13">
      <c r="B431" s="2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</row>
    <row r="432" spans="2:13">
      <c r="B432" s="2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</row>
    <row r="433" spans="2:13">
      <c r="B433" s="2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</row>
    <row r="434" spans="2:13">
      <c r="B434" s="2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</row>
    <row r="435" spans="2:13">
      <c r="B435" s="2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</row>
    <row r="436" spans="2:13">
      <c r="B436" s="2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</row>
    <row r="437" spans="2:13">
      <c r="B437" s="2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</row>
    <row r="438" spans="2:13">
      <c r="B438" s="2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</row>
    <row r="439" spans="2:13">
      <c r="B439" s="2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</row>
    <row r="440" spans="2:13">
      <c r="B440" s="2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</row>
    <row r="441" spans="2:13">
      <c r="B441" s="2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</row>
    <row r="442" spans="2:13">
      <c r="B442" s="2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</row>
    <row r="443" spans="2:13">
      <c r="B443" s="2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</row>
    <row r="444" spans="2:13">
      <c r="B444" s="2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</row>
    <row r="445" spans="2:13">
      <c r="B445" s="2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</row>
    <row r="446" spans="2:13">
      <c r="B446" s="2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</row>
    <row r="447" spans="2:13">
      <c r="B447" s="2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</row>
    <row r="448" spans="2:13">
      <c r="B448" s="2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</row>
    <row r="449" spans="2:13">
      <c r="B449" s="2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</row>
    <row r="450" spans="2:13">
      <c r="B450" s="2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</row>
    <row r="451" spans="2:13">
      <c r="B451" s="2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</row>
    <row r="452" spans="2:13">
      <c r="B452" s="2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</row>
    <row r="453" spans="2:13">
      <c r="B453" s="2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</row>
    <row r="454" spans="2:13">
      <c r="B454" s="2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</row>
    <row r="455" spans="2:13">
      <c r="B455" s="2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</row>
    <row r="456" spans="2:13">
      <c r="B456" s="2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</row>
    <row r="457" spans="2:13">
      <c r="B457" s="2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</row>
    <row r="458" spans="2:13">
      <c r="B458" s="2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</row>
    <row r="459" spans="2:13">
      <c r="B459" s="2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</row>
    <row r="460" spans="2:13">
      <c r="B460" s="2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</row>
    <row r="461" spans="2:13">
      <c r="B461" s="2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</row>
    <row r="462" spans="2:13">
      <c r="B462" s="2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</row>
    <row r="463" spans="2:13">
      <c r="B463" s="2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</row>
    <row r="464" spans="2:13">
      <c r="B464" s="2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</row>
    <row r="465" spans="2:13">
      <c r="B465" s="2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</row>
    <row r="466" spans="2:13">
      <c r="B466" s="2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</row>
    <row r="467" spans="2:13">
      <c r="B467" s="2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</row>
    <row r="468" spans="2:13">
      <c r="B468" s="2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</row>
    <row r="469" spans="2:13">
      <c r="B469" s="2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</row>
    <row r="470" spans="2:13">
      <c r="B470" s="2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</row>
    <row r="471" spans="2:13">
      <c r="B471" s="2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</row>
    <row r="472" spans="2:13">
      <c r="B472" s="2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</row>
    <row r="473" spans="2:13">
      <c r="B473" s="2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</row>
    <row r="474" spans="2:13">
      <c r="B474" s="2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</row>
    <row r="475" spans="2:13">
      <c r="B475" s="2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</row>
    <row r="476" spans="2:13">
      <c r="B476" s="2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</row>
    <row r="477" spans="2:13">
      <c r="B477" s="2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</row>
    <row r="478" spans="2:13">
      <c r="B478" s="2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</row>
    <row r="479" spans="2:13">
      <c r="B479" s="2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</row>
    <row r="480" spans="2:13">
      <c r="B480" s="2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</row>
    <row r="481" spans="2:13">
      <c r="B481" s="2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</row>
    <row r="482" spans="2:13">
      <c r="B482" s="2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</row>
    <row r="483" spans="2:13">
      <c r="B483" s="2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</row>
    <row r="484" spans="2:13">
      <c r="B484" s="2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</row>
    <row r="485" spans="2:13">
      <c r="B485" s="2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</row>
    <row r="486" spans="2:13">
      <c r="B486" s="2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</row>
    <row r="487" spans="2:13">
      <c r="B487" s="2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</row>
    <row r="488" spans="2:13">
      <c r="B488" s="2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</row>
    <row r="489" spans="2:13">
      <c r="B489" s="2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</row>
    <row r="490" spans="2:13">
      <c r="B490" s="2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</row>
    <row r="491" spans="2:13">
      <c r="B491" s="2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</row>
    <row r="492" spans="2:13">
      <c r="B492" s="2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</row>
    <row r="493" spans="2:13">
      <c r="B493" s="2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</row>
    <row r="494" spans="2:13">
      <c r="B494" s="2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</row>
    <row r="495" spans="2:13">
      <c r="B495" s="2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</row>
    <row r="496" spans="2:13">
      <c r="B496" s="2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</row>
    <row r="497" spans="2:13">
      <c r="B497" s="2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</row>
    <row r="498" spans="2:13">
      <c r="B498" s="2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</row>
    <row r="499" spans="2:13">
      <c r="B499" s="2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</row>
    <row r="500" spans="2:13">
      <c r="B500" s="2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</row>
    <row r="501" spans="2:13">
      <c r="B501" s="2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</row>
    <row r="502" spans="2:13">
      <c r="B502" s="2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</row>
    <row r="503" spans="2:13">
      <c r="B503" s="2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</row>
    <row r="504" spans="2:13">
      <c r="B504" s="2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</row>
    <row r="505" spans="2:13">
      <c r="B505" s="2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</row>
    <row r="506" spans="2:13">
      <c r="B506" s="2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</row>
    <row r="507" spans="2:13">
      <c r="B507" s="2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</row>
    <row r="508" spans="2:13">
      <c r="B508" s="2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</row>
    <row r="509" spans="2:13">
      <c r="B509" s="2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</row>
    <row r="510" spans="2:13">
      <c r="B510" s="2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</row>
    <row r="511" spans="2:13">
      <c r="B511" s="2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</row>
    <row r="512" spans="2:13">
      <c r="B512" s="2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</row>
    <row r="513" spans="2:13">
      <c r="B513" s="2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</row>
    <row r="514" spans="2:13">
      <c r="B514" s="2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</row>
    <row r="515" spans="2:13">
      <c r="B515" s="2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</row>
    <row r="516" spans="2:13">
      <c r="B516" s="2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</row>
    <row r="517" spans="2:13">
      <c r="B517" s="2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</row>
    <row r="518" spans="2:13">
      <c r="B518" s="2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</row>
    <row r="519" spans="2:13">
      <c r="B519" s="2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</row>
    <row r="520" spans="2:13">
      <c r="B520" s="2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</row>
    <row r="521" spans="2:13">
      <c r="B521" s="2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</row>
    <row r="522" spans="2:13">
      <c r="B522" s="2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</row>
    <row r="523" spans="2:13">
      <c r="B523" s="2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</row>
    <row r="524" spans="2:13">
      <c r="B524" s="2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</row>
    <row r="525" spans="2:13">
      <c r="B525" s="2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</row>
    <row r="526" spans="2:13">
      <c r="B526" s="2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</row>
    <row r="527" spans="2:13">
      <c r="B527" s="2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</row>
    <row r="528" spans="2:13">
      <c r="B528" s="2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</row>
    <row r="529" spans="2:13">
      <c r="B529" s="2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</row>
    <row r="530" spans="2:13">
      <c r="B530" s="2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</row>
    <row r="531" spans="2:13">
      <c r="B531" s="2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</row>
    <row r="532" spans="2:13">
      <c r="B532" s="2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</row>
    <row r="533" spans="2:13">
      <c r="B533" s="2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</row>
    <row r="534" spans="2:13">
      <c r="B534" s="2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</row>
    <row r="535" spans="2:13">
      <c r="B535" s="2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</row>
    <row r="536" spans="2:13">
      <c r="B536" s="2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</row>
    <row r="537" spans="2:13">
      <c r="B537" s="2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</row>
    <row r="538" spans="2:13">
      <c r="B538" s="2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</row>
    <row r="539" spans="2:13">
      <c r="B539" s="2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</row>
    <row r="540" spans="2:13">
      <c r="B540" s="2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</row>
    <row r="541" spans="2:13">
      <c r="B541" s="2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</row>
    <row r="542" spans="2:13">
      <c r="B542" s="2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</row>
    <row r="543" spans="2:13">
      <c r="B543" s="2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</row>
    <row r="544" spans="2:13">
      <c r="B544" s="2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</row>
    <row r="545" spans="2:13">
      <c r="B545" s="2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</row>
    <row r="546" spans="2:13">
      <c r="B546" s="2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</row>
    <row r="547" spans="2:13">
      <c r="B547" s="2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</row>
    <row r="548" spans="2:13">
      <c r="B548" s="2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</row>
    <row r="549" spans="2:13">
      <c r="B549" s="2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</row>
    <row r="550" spans="2:13">
      <c r="B550" s="2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</row>
    <row r="551" spans="2:13">
      <c r="B551" s="2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</row>
    <row r="552" spans="2:13">
      <c r="B552" s="2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</row>
    <row r="553" spans="2:13">
      <c r="B553" s="2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</row>
    <row r="554" spans="2:13">
      <c r="B554" s="2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</row>
    <row r="555" spans="2:13">
      <c r="B555" s="2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</row>
    <row r="556" spans="2:13">
      <c r="B556" s="2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</row>
    <row r="557" spans="2:13">
      <c r="B557" s="2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</row>
    <row r="558" spans="2:13">
      <c r="B558" s="2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</row>
    <row r="559" spans="2:13">
      <c r="B559" s="2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</row>
    <row r="560" spans="2:13">
      <c r="B560" s="2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</row>
    <row r="561" spans="2:13">
      <c r="B561" s="2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</row>
    <row r="562" spans="2:13">
      <c r="B562" s="2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</row>
    <row r="563" spans="2:13">
      <c r="B563" s="2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</row>
    <row r="564" spans="2:13">
      <c r="B564" s="2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</row>
    <row r="565" spans="2:13">
      <c r="B565" s="2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</row>
    <row r="566" spans="2:13">
      <c r="B566" s="2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</row>
    <row r="567" spans="2:13">
      <c r="B567" s="2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</row>
    <row r="568" spans="2:13">
      <c r="B568" s="2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</row>
    <row r="569" spans="2:13">
      <c r="B569" s="2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</row>
    <row r="570" spans="2:13">
      <c r="B570" s="2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</row>
    <row r="571" spans="2:13">
      <c r="B571" s="2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</row>
    <row r="572" spans="2:13">
      <c r="B572" s="2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</row>
    <row r="573" spans="2:13">
      <c r="B573" s="2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</row>
    <row r="574" spans="2:13">
      <c r="B574" s="2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</row>
    <row r="575" spans="2:13">
      <c r="B575" s="2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</row>
    <row r="576" spans="2:13">
      <c r="B576" s="2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</row>
    <row r="577" spans="2:13">
      <c r="B577" s="2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</row>
    <row r="578" spans="2:13">
      <c r="B578" s="2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</row>
    <row r="579" spans="2:13">
      <c r="B579" s="2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</row>
    <row r="580" spans="2:13">
      <c r="B580" s="2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</row>
    <row r="581" spans="2:13">
      <c r="B581" s="2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</row>
    <row r="582" spans="2:13">
      <c r="B582" s="2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</row>
    <row r="583" spans="2:13">
      <c r="B583" s="2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</row>
    <row r="584" spans="2:13">
      <c r="B584" s="2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</row>
    <row r="585" spans="2:13">
      <c r="B585" s="2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</row>
    <row r="586" spans="2:13">
      <c r="B586" s="2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</row>
    <row r="587" spans="2:13">
      <c r="B587" s="2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</row>
    <row r="588" spans="2:13">
      <c r="B588" s="2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</row>
    <row r="589" spans="2:13">
      <c r="B589" s="2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</row>
    <row r="590" spans="2:13">
      <c r="B590" s="2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</row>
    <row r="591" spans="2:13">
      <c r="B591" s="2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</row>
    <row r="592" spans="2:13">
      <c r="B592" s="2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</row>
    <row r="593" spans="2:13">
      <c r="B593" s="2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</row>
    <row r="594" spans="2:13">
      <c r="B594" s="2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</row>
    <row r="595" spans="2:13">
      <c r="B595" s="2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</row>
    <row r="596" spans="2:13">
      <c r="B596" s="2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</row>
    <row r="597" spans="2:13">
      <c r="B597" s="2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</row>
    <row r="598" spans="2:13">
      <c r="B598" s="2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</row>
    <row r="599" spans="2:13">
      <c r="B599" s="2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</row>
    <row r="600" spans="2:13">
      <c r="B600" s="2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</row>
    <row r="601" spans="2:13">
      <c r="B601" s="2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</row>
    <row r="602" spans="2:13">
      <c r="B602" s="2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</row>
    <row r="603" spans="2:13">
      <c r="B603" s="2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</row>
    <row r="604" spans="2:13">
      <c r="B604" s="2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</row>
    <row r="605" spans="2:13">
      <c r="B605" s="2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</row>
    <row r="606" spans="2:13">
      <c r="B606" s="2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</row>
    <row r="607" spans="2:13">
      <c r="B607" s="2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</row>
    <row r="608" spans="2:13">
      <c r="B608" s="2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</row>
    <row r="609" spans="2:13">
      <c r="B609" s="2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</row>
    <row r="610" spans="2:13">
      <c r="B610" s="2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</row>
    <row r="611" spans="2:13">
      <c r="B611" s="2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</row>
    <row r="612" spans="2:13">
      <c r="B612" s="2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</row>
    <row r="613" spans="2:13">
      <c r="B613" s="2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</row>
    <row r="614" spans="2:13">
      <c r="B614" s="2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</row>
    <row r="615" spans="2:13">
      <c r="B615" s="2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</row>
    <row r="616" spans="2:13">
      <c r="B616" s="2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</row>
    <row r="617" spans="2:13">
      <c r="B617" s="2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</row>
    <row r="618" spans="2:13">
      <c r="B618" s="2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</row>
    <row r="619" spans="2:13">
      <c r="B619" s="2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</row>
    <row r="620" spans="2:13">
      <c r="B620" s="2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</row>
    <row r="621" spans="2:13">
      <c r="B621" s="2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</row>
    <row r="622" spans="2:13">
      <c r="B622" s="2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</row>
    <row r="623" spans="2:13">
      <c r="B623" s="2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</row>
    <row r="624" spans="2:13">
      <c r="B624" s="2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</row>
    <row r="625" spans="2:13">
      <c r="B625" s="2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</row>
    <row r="626" spans="2:13">
      <c r="B626" s="2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</row>
    <row r="627" spans="2:13">
      <c r="B627" s="2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</row>
    <row r="628" spans="2:13">
      <c r="B628" s="2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</row>
    <row r="629" spans="2:13">
      <c r="B629" s="2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</row>
    <row r="630" spans="2:13">
      <c r="B630" s="2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</row>
    <row r="631" spans="2:13">
      <c r="B631" s="2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</row>
    <row r="632" spans="2:13">
      <c r="B632" s="2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</row>
    <row r="633" spans="2:13">
      <c r="B633" s="2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</row>
    <row r="634" spans="2:13">
      <c r="B634" s="2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</row>
    <row r="635" spans="2:13">
      <c r="B635" s="2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</row>
    <row r="636" spans="2:13">
      <c r="B636" s="2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</row>
    <row r="637" spans="2:13">
      <c r="B637" s="2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</row>
    <row r="638" spans="2:13">
      <c r="B638" s="2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</row>
    <row r="639" spans="2:13">
      <c r="B639" s="2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</row>
    <row r="640" spans="2:13">
      <c r="B640" s="2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</row>
    <row r="641" spans="2:13">
      <c r="B641" s="2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</row>
    <row r="642" spans="2:13">
      <c r="B642" s="2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</row>
    <row r="643" spans="2:13">
      <c r="B643" s="2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</row>
    <row r="644" spans="2:13">
      <c r="B644" s="2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</row>
    <row r="645" spans="2:13">
      <c r="B645" s="2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</row>
    <row r="646" spans="2:13">
      <c r="B646" s="2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</row>
    <row r="647" spans="2:13">
      <c r="B647" s="2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</row>
    <row r="648" spans="2:13">
      <c r="B648" s="2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</row>
    <row r="649" spans="2:13">
      <c r="B649" s="2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</row>
    <row r="650" spans="2:13">
      <c r="B650" s="2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</row>
    <row r="651" spans="2:13">
      <c r="B651" s="2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</row>
    <row r="652" spans="2:13">
      <c r="B652" s="2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</row>
    <row r="653" spans="2:13">
      <c r="B653" s="2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</row>
    <row r="654" spans="2:13">
      <c r="B654" s="2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</row>
    <row r="655" spans="2:13">
      <c r="B655" s="2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</row>
    <row r="656" spans="2:13">
      <c r="B656" s="2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</row>
    <row r="657" spans="2:13">
      <c r="B657" s="2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</row>
    <row r="658" spans="2:13">
      <c r="B658" s="2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</row>
    <row r="659" spans="2:13">
      <c r="B659" s="2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</row>
    <row r="660" spans="2:13">
      <c r="B660" s="2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</row>
    <row r="661" spans="2:13">
      <c r="B661" s="2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</row>
    <row r="662" spans="2:13">
      <c r="B662" s="2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</row>
    <row r="663" spans="2:13">
      <c r="B663" s="2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</row>
    <row r="664" spans="2:13">
      <c r="B664" s="2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</row>
    <row r="665" spans="2:13">
      <c r="B665" s="2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</row>
    <row r="666" spans="2:13">
      <c r="B666" s="2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</row>
    <row r="667" spans="2:13">
      <c r="B667" s="2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</row>
    <row r="668" spans="2:13">
      <c r="B668" s="2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</row>
    <row r="669" spans="2:13">
      <c r="B669" s="2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</row>
    <row r="670" spans="2:13">
      <c r="B670" s="2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</row>
    <row r="671" spans="2:13">
      <c r="B671" s="2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</row>
    <row r="672" spans="2:13">
      <c r="B672" s="2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</row>
    <row r="673" spans="2:13">
      <c r="B673" s="2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</row>
    <row r="674" spans="2:13">
      <c r="B674" s="2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</row>
    <row r="675" spans="2:13">
      <c r="B675" s="2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</row>
    <row r="676" spans="2:13">
      <c r="B676" s="2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</row>
    <row r="677" spans="2:13">
      <c r="B677" s="2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</row>
    <row r="678" spans="2:13">
      <c r="B678" s="2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</row>
    <row r="679" spans="2:13">
      <c r="B679" s="2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</row>
    <row r="680" spans="2:13">
      <c r="B680" s="2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</row>
    <row r="681" spans="2:13">
      <c r="B681" s="2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</row>
    <row r="682" spans="2:13">
      <c r="B682" s="2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</row>
    <row r="683" spans="2:13">
      <c r="B683" s="2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</row>
    <row r="684" spans="2:13">
      <c r="B684" s="2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</row>
    <row r="685" spans="2:13">
      <c r="B685" s="2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</row>
    <row r="686" spans="2:13">
      <c r="B686" s="2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</row>
    <row r="687" spans="2:13">
      <c r="B687" s="2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</row>
    <row r="688" spans="2:13">
      <c r="B688" s="2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</row>
    <row r="689" spans="2:13">
      <c r="B689" s="2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</row>
    <row r="690" spans="2:13">
      <c r="B690" s="2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</row>
    <row r="691" spans="2:13">
      <c r="B691" s="2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</row>
    <row r="692" spans="2:13">
      <c r="B692" s="2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</row>
    <row r="693" spans="2:13">
      <c r="B693" s="2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</row>
    <row r="694" spans="2:13">
      <c r="B694" s="2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</row>
    <row r="695" spans="2:13">
      <c r="B695" s="2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</row>
    <row r="696" spans="2:13">
      <c r="B696" s="2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</row>
    <row r="697" spans="2:13">
      <c r="B697" s="2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</row>
    <row r="698" spans="2:13">
      <c r="B698" s="2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</row>
    <row r="699" spans="2:13">
      <c r="B699" s="2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</row>
    <row r="700" spans="2:13">
      <c r="B700" s="2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</row>
    <row r="701" spans="2:13">
      <c r="B701" s="2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</row>
    <row r="702" spans="2:13">
      <c r="B702" s="2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</row>
    <row r="703" spans="2:13">
      <c r="B703" s="2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</row>
    <row r="704" spans="2:13">
      <c r="B704" s="2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</row>
    <row r="705" spans="2:13">
      <c r="B705" s="2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</row>
    <row r="706" spans="2:13">
      <c r="B706" s="2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</row>
    <row r="707" spans="2:13">
      <c r="B707" s="2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</row>
    <row r="708" spans="2:13">
      <c r="B708" s="2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</row>
    <row r="709" spans="2:13">
      <c r="B709" s="2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</row>
    <row r="710" spans="2:13">
      <c r="B710" s="2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</row>
    <row r="711" spans="2:13">
      <c r="B711" s="2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</row>
    <row r="712" spans="2:13">
      <c r="B712" s="2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</row>
    <row r="713" spans="2:13">
      <c r="B713" s="2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</row>
    <row r="714" spans="2:13">
      <c r="B714" s="2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</row>
    <row r="715" spans="2:13">
      <c r="B715" s="2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</row>
    <row r="716" spans="2:13">
      <c r="B716" s="2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</row>
    <row r="717" spans="2:13">
      <c r="B717" s="2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</row>
    <row r="718" spans="2:13">
      <c r="B718" s="2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</row>
    <row r="719" spans="2:13">
      <c r="B719" s="2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</row>
    <row r="720" spans="2:13">
      <c r="B720" s="2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</row>
    <row r="721" spans="2:13">
      <c r="B721" s="2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</row>
    <row r="722" spans="2:13">
      <c r="B722" s="2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</row>
    <row r="723" spans="2:13">
      <c r="B723" s="2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</row>
    <row r="724" spans="2:13">
      <c r="B724" s="2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</row>
    <row r="725" spans="2:13">
      <c r="B725" s="2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</row>
    <row r="726" spans="2:13">
      <c r="B726" s="2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</row>
    <row r="727" spans="2:13">
      <c r="B727" s="2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</row>
    <row r="728" spans="2:13">
      <c r="B728" s="2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</row>
    <row r="729" spans="2:13">
      <c r="B729" s="2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</row>
    <row r="730" spans="2:13">
      <c r="B730" s="2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</row>
    <row r="731" spans="2:13">
      <c r="B731" s="2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</row>
    <row r="732" spans="2:13">
      <c r="B732" s="2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</row>
    <row r="733" spans="2:13">
      <c r="B733" s="2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</row>
    <row r="734" spans="2:13">
      <c r="B734" s="2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</row>
    <row r="735" spans="2:13">
      <c r="B735" s="2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</row>
    <row r="736" spans="2:13">
      <c r="B736" s="2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</row>
    <row r="737" spans="2:13">
      <c r="B737" s="2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</row>
    <row r="738" spans="2:13">
      <c r="B738" s="2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</row>
    <row r="739" spans="2:13">
      <c r="B739" s="2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</row>
    <row r="740" spans="2:13">
      <c r="B740" s="2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</row>
    <row r="741" spans="2:13">
      <c r="B741" s="2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</row>
    <row r="742" spans="2:13">
      <c r="B742" s="2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</row>
    <row r="743" spans="2:13">
      <c r="B743" s="2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</row>
    <row r="744" spans="2:13">
      <c r="B744" s="2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</row>
    <row r="745" spans="2:13">
      <c r="B745" s="2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</row>
    <row r="746" spans="2:13">
      <c r="B746" s="2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</row>
    <row r="747" spans="2:13">
      <c r="B747" s="2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</row>
    <row r="748" spans="2:13">
      <c r="B748" s="2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</row>
    <row r="749" spans="2:13">
      <c r="B749" s="2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</row>
    <row r="750" spans="2:13">
      <c r="B750" s="2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</row>
    <row r="751" spans="2:13">
      <c r="B751" s="2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</row>
    <row r="752" spans="2:13">
      <c r="B752" s="2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</row>
    <row r="753" spans="2:13">
      <c r="B753" s="2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</row>
    <row r="754" spans="2:13">
      <c r="B754" s="2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</row>
    <row r="755" spans="2:13">
      <c r="B755" s="2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</row>
    <row r="756" spans="2:13">
      <c r="B756" s="2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</row>
    <row r="757" spans="2:13">
      <c r="B757" s="2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</row>
    <row r="758" spans="2:13">
      <c r="B758" s="2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</row>
    <row r="759" spans="2:13">
      <c r="B759" s="2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</row>
    <row r="760" spans="2:13">
      <c r="B760" s="2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</row>
    <row r="761" spans="2:13">
      <c r="B761" s="2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</row>
    <row r="762" spans="2:13">
      <c r="B762" s="2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</row>
    <row r="763" spans="2:13">
      <c r="B763" s="2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</row>
    <row r="764" spans="2:13">
      <c r="B764" s="2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</row>
    <row r="765" spans="2:13">
      <c r="B765" s="2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</row>
    <row r="766" spans="2:13">
      <c r="B766" s="2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</row>
    <row r="767" spans="2:13">
      <c r="B767" s="2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</row>
    <row r="768" spans="2:13">
      <c r="B768" s="2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</row>
    <row r="769" spans="2:13">
      <c r="B769" s="2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</row>
    <row r="770" spans="2:13">
      <c r="B770" s="2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</row>
    <row r="771" spans="2:13">
      <c r="B771" s="2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</row>
    <row r="772" spans="2:13">
      <c r="B772" s="2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</row>
    <row r="773" spans="2:13">
      <c r="B773" s="2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</row>
    <row r="774" spans="2:13">
      <c r="B774" s="2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</row>
    <row r="775" spans="2:13">
      <c r="B775" s="2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</row>
    <row r="776" spans="2:13">
      <c r="B776" s="2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</row>
    <row r="777" spans="2:13">
      <c r="B777" s="2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</row>
    <row r="778" spans="2:13">
      <c r="B778" s="2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</row>
    <row r="779" spans="2:13">
      <c r="B779" s="2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</row>
    <row r="780" spans="2:13">
      <c r="B780" s="2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</row>
    <row r="781" spans="2:13">
      <c r="B781" s="2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</row>
    <row r="782" spans="2:13">
      <c r="B782" s="2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</row>
    <row r="783" spans="2:13">
      <c r="B783" s="2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</row>
    <row r="784" spans="2:13">
      <c r="B784" s="2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</row>
    <row r="785" spans="2:13">
      <c r="B785" s="2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</row>
    <row r="786" spans="2:13">
      <c r="B786" s="2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</row>
    <row r="787" spans="2:13">
      <c r="B787" s="2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</row>
    <row r="788" spans="2:13">
      <c r="B788" s="2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</row>
    <row r="789" spans="2:13">
      <c r="B789" s="2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</row>
    <row r="790" spans="2:13">
      <c r="B790" s="2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</row>
    <row r="791" spans="2:13">
      <c r="B791" s="2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</row>
    <row r="792" spans="2:13">
      <c r="B792" s="2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</row>
    <row r="793" spans="2:13">
      <c r="B793" s="2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</row>
    <row r="794" spans="2:13">
      <c r="B794" s="2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</row>
    <row r="795" spans="2:13">
      <c r="B795" s="2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</row>
    <row r="796" spans="2:13">
      <c r="B796" s="2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</row>
    <row r="797" spans="2:13">
      <c r="B797" s="2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</row>
    <row r="798" spans="2:13">
      <c r="B798" s="2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</row>
    <row r="799" spans="2:13">
      <c r="B799" s="2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</row>
    <row r="800" spans="2:13">
      <c r="B800" s="2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</row>
    <row r="801" spans="2:13">
      <c r="B801" s="2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</row>
    <row r="802" spans="2:13">
      <c r="B802" s="2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</row>
    <row r="803" spans="2:13">
      <c r="B803" s="2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</row>
    <row r="804" spans="2:13">
      <c r="B804" s="2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</row>
    <row r="805" spans="2:13">
      <c r="B805" s="2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</row>
    <row r="806" spans="2:13">
      <c r="B806" s="2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</row>
    <row r="807" spans="2:13">
      <c r="B807" s="2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</row>
    <row r="808" spans="2:13">
      <c r="B808" s="2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</row>
    <row r="809" spans="2:13">
      <c r="B809" s="2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</row>
    <row r="810" spans="2:13">
      <c r="B810" s="2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</row>
    <row r="811" spans="2:13">
      <c r="B811" s="2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</row>
    <row r="812" spans="2:13">
      <c r="B812" s="2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</row>
    <row r="813" spans="2:13">
      <c r="B813" s="2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</row>
    <row r="814" spans="2:13">
      <c r="B814" s="2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</row>
    <row r="815" spans="2:13">
      <c r="B815" s="2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</row>
    <row r="816" spans="2:13">
      <c r="B816" s="2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</row>
    <row r="817" spans="2:13">
      <c r="B817" s="2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</row>
    <row r="818" spans="2:13">
      <c r="B818" s="2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</row>
    <row r="819" spans="2:13">
      <c r="B819" s="2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</row>
    <row r="820" spans="2:13">
      <c r="B820" s="2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</row>
    <row r="821" spans="2:13">
      <c r="B821" s="2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</row>
    <row r="822" spans="2:13">
      <c r="B822" s="2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</row>
    <row r="823" spans="2:13">
      <c r="B823" s="2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</row>
    <row r="824" spans="2:13">
      <c r="B824" s="2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</row>
    <row r="825" spans="2:13">
      <c r="B825" s="2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</row>
    <row r="826" spans="2:13">
      <c r="B826" s="2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</row>
    <row r="827" spans="2:13">
      <c r="B827" s="2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</row>
    <row r="828" spans="2:13">
      <c r="B828" s="2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</row>
    <row r="829" spans="2:13">
      <c r="B829" s="2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</row>
    <row r="830" spans="2:13">
      <c r="B830" s="2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</row>
    <row r="831" spans="2:13">
      <c r="B831" s="2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</row>
    <row r="832" spans="2:13">
      <c r="B832" s="2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</row>
    <row r="833" spans="2:13">
      <c r="B833" s="2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</row>
    <row r="834" spans="2:13">
      <c r="B834" s="2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</row>
    <row r="835" spans="2:13">
      <c r="B835" s="2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</row>
    <row r="836" spans="2:13">
      <c r="B836" s="2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</row>
    <row r="837" spans="2:13">
      <c r="B837" s="2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</row>
    <row r="838" spans="2:13">
      <c r="B838" s="2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</row>
    <row r="839" spans="2:13">
      <c r="B839" s="2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</row>
    <row r="840" spans="2:13">
      <c r="B840" s="2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</row>
    <row r="841" spans="2:13">
      <c r="B841" s="2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</row>
    <row r="842" spans="2:13">
      <c r="B842" s="2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</row>
    <row r="843" spans="2:13">
      <c r="B843" s="2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</row>
    <row r="844" spans="2:13">
      <c r="B844" s="2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</row>
    <row r="845" spans="2:13">
      <c r="B845" s="2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</row>
    <row r="846" spans="2:13">
      <c r="B846" s="2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</row>
    <row r="847" spans="2:13">
      <c r="B847" s="2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</row>
    <row r="848" spans="2:13">
      <c r="B848" s="2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</row>
    <row r="849" spans="2:13">
      <c r="B849" s="2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</row>
    <row r="850" spans="2:13">
      <c r="B850" s="2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</row>
    <row r="851" spans="2:13">
      <c r="B851" s="2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</row>
    <row r="852" spans="2:13">
      <c r="B852" s="2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</row>
    <row r="853" spans="2:13">
      <c r="B853" s="2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</row>
    <row r="854" spans="2:13">
      <c r="B854" s="2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</row>
    <row r="855" spans="2:13">
      <c r="B855" s="2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</row>
    <row r="856" spans="2:13">
      <c r="B856" s="2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</row>
    <row r="857" spans="2:13">
      <c r="B857" s="2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</row>
    <row r="858" spans="2:13">
      <c r="B858" s="2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</row>
    <row r="859" spans="2:13">
      <c r="B859" s="2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</row>
    <row r="860" spans="2:13">
      <c r="B860" s="2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</row>
    <row r="861" spans="2:13">
      <c r="B861" s="2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</row>
    <row r="862" spans="2:13">
      <c r="B862" s="2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</row>
    <row r="863" spans="2:13">
      <c r="B863" s="2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</row>
    <row r="864" spans="2:13">
      <c r="B864" s="2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</row>
    <row r="865" spans="2:13">
      <c r="B865" s="2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</row>
    <row r="866" spans="2:13">
      <c r="B866" s="2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</row>
    <row r="867" spans="2:13">
      <c r="B867" s="2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</row>
    <row r="868" spans="2:13">
      <c r="B868" s="2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</row>
    <row r="869" spans="2:13">
      <c r="B869" s="2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</row>
    <row r="870" spans="2:13">
      <c r="B870" s="2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</row>
    <row r="871" spans="2:13">
      <c r="B871" s="2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</row>
    <row r="872" spans="2:13">
      <c r="B872" s="2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</row>
    <row r="873" spans="2:13">
      <c r="B873" s="2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</row>
    <row r="874" spans="2:13">
      <c r="B874" s="2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</row>
    <row r="875" spans="2:13">
      <c r="B875" s="2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</row>
    <row r="876" spans="2:13">
      <c r="B876" s="2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</row>
    <row r="877" spans="2:13">
      <c r="B877" s="2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</row>
    <row r="878" spans="2:13">
      <c r="B878" s="2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</row>
    <row r="879" spans="2:13">
      <c r="B879" s="2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</row>
    <row r="880" spans="2:13">
      <c r="B880" s="2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</row>
    <row r="881" spans="2:13">
      <c r="B881" s="2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</row>
    <row r="882" spans="2:13">
      <c r="B882" s="2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</row>
    <row r="883" spans="2:13">
      <c r="B883" s="2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</row>
    <row r="884" spans="2:13">
      <c r="B884" s="2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</row>
    <row r="885" spans="2:13">
      <c r="B885" s="2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</row>
    <row r="886" spans="2:13">
      <c r="B886" s="2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</row>
    <row r="887" spans="2:13">
      <c r="B887" s="2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</row>
    <row r="888" spans="2:13">
      <c r="B888" s="2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</row>
    <row r="889" spans="2:13">
      <c r="B889" s="2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</row>
    <row r="890" spans="2:13">
      <c r="B890" s="2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</row>
    <row r="891" spans="2:13">
      <c r="B891" s="2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</row>
    <row r="892" spans="2:13">
      <c r="B892" s="2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</row>
    <row r="893" spans="2:13">
      <c r="B893" s="2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</row>
    <row r="894" spans="2:13">
      <c r="B894" s="2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</row>
    <row r="895" spans="2:13">
      <c r="B895" s="2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</row>
    <row r="896" spans="2:13">
      <c r="B896" s="2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</row>
    <row r="897" spans="2:13">
      <c r="B897" s="2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</row>
    <row r="898" spans="2:13">
      <c r="B898" s="2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</row>
    <row r="899" spans="2:13">
      <c r="B899" s="2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</row>
    <row r="900" spans="2:13">
      <c r="B900" s="2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</row>
    <row r="901" spans="2:13">
      <c r="B901" s="2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</row>
    <row r="902" spans="2:13">
      <c r="B902" s="2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</row>
    <row r="903" spans="2:13">
      <c r="B903" s="2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</row>
    <row r="904" spans="2:13">
      <c r="B904" s="2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</row>
    <row r="905" spans="2:13">
      <c r="B905" s="2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</row>
    <row r="906" spans="2:13">
      <c r="B906" s="2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</row>
    <row r="907" spans="2:13">
      <c r="B907" s="2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</row>
    <row r="908" spans="2:13">
      <c r="B908" s="2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</row>
    <row r="909" spans="2:13">
      <c r="B909" s="2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</row>
    <row r="910" spans="2:13">
      <c r="B910" s="2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</row>
    <row r="911" spans="2:13">
      <c r="B911" s="2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</row>
    <row r="912" spans="2:13">
      <c r="B912" s="2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</row>
    <row r="913" spans="2:13">
      <c r="B913" s="2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</row>
    <row r="914" spans="2:13">
      <c r="B914" s="2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</row>
    <row r="915" spans="2:13">
      <c r="B915" s="2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</row>
    <row r="916" spans="2:13">
      <c r="B916" s="2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</row>
    <row r="917" spans="2:13">
      <c r="B917" s="2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</row>
    <row r="918" spans="2:13">
      <c r="B918" s="2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</row>
    <row r="919" spans="2:13">
      <c r="B919" s="2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</row>
  </sheetData>
  <mergeCells count="4">
    <mergeCell ref="B1:D1"/>
    <mergeCell ref="E1:G1"/>
    <mergeCell ref="H1:J1"/>
    <mergeCell ref="K1:M1"/>
  </mergeCell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13</xdr:col>
                <xdr:colOff>9525</xdr:colOff>
                <xdr:row>0</xdr:row>
                <xdr:rowOff>635</xdr:rowOff>
              </from>
              <to>
                <xdr:col>15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"/>
  <sheetViews>
    <sheetView workbookViewId="0">
      <selection activeCell="A1" sqref="A1:B1"/>
    </sheetView>
  </sheetViews>
  <sheetFormatPr defaultColWidth="9" defaultRowHeight="13.5" outlineLevelCol="1"/>
  <sheetData>
    <row r="1" spans="1:2">
      <c r="A1" s="1" t="s">
        <v>59</v>
      </c>
      <c r="B1" s="1">
        <v>1.125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广告周报表</vt:lpstr>
      <vt:lpstr>公式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LMY</dc:creator>
  <cp:lastModifiedBy>LMY</cp:lastModifiedBy>
  <dcterms:created xsi:type="dcterms:W3CDTF">2018-07-03T07:32:00Z</dcterms:created>
  <dcterms:modified xsi:type="dcterms:W3CDTF">2018-08-29T10:30:15Z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