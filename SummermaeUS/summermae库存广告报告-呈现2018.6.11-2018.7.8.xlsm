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'库存（父sku）'!$A$4:$AT$2422</definedName>
    <definedName name="_xlnm._FilterDatabase" localSheetId="0" hidden="1">'库存（子SKU）'!$A$4:$AW$3220</definedName>
  </definedNames>
  <calcPr calcId="144525" concurrentCalc="0"/>
</workbook>
</file>

<file path=xl/sharedStrings.xml><?xml version="1.0" encoding="utf-8"?>
<sst xmlns="http://schemas.openxmlformats.org/spreadsheetml/2006/main" count="2391">
  <si>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</si>
  <si>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</si>
  <si>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</si>
  <si>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</si>
  <si>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</si>
  <si>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</si>
  <si>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</si>
  <si>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</si>
  <si>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</si>
  <si>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</si>
  <si>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</si>
  <si>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</si>
  <si>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</si>
  <si>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</si>
  <si>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</si>
  <si>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</si>
  <si>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</si>
  <si>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</si>
  <si>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</si>
  <si>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</si>
  <si>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</si>
  <si>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</si>
  <si>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</si>
  <si>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</si>
  <si>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</si>
  <si>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</si>
  <si>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</si>
  <si>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</si>
  <si>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</si>
  <si>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</si>
  <si>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</si>
  <si>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</si>
  <si>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</si>
  <si>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</si>
  <si>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</si>
  <si>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</si>
  <si>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</si>
  <si>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</si>
  <si>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</si>
  <si>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</si>
  <si>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</si>
  <si>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</si>
  <si>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</si>
  <si>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</si>
  <si>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</si>
  <si>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</si>
  <si>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</si>
  <si>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</si>
  <si>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</si>
  <si>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</si>
  <si>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</si>
  <si>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</si>
  <si>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</si>
  <si>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</si>
  <si>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</si>
  <si>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</si>
  <si>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</si>
  <si>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</si>
  <si>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</si>
  <si>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</si>
  <si>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</si>
  <si>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</si>
  <si>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</si>
  <si>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</si>
  <si>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</si>
  <si>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</si>
  <si>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</si>
  <si>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</si>
  <si>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</si>
  <si>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</si>
  <si>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</si>
  <si>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</si>
  <si>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</si>
  <si>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</si>
  <si>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</si>
  <si>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</si>
  <si>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</si>
  <si>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</si>
  <si>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</si>
  <si>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</si>
  <si>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</si>
  <si>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</si>
  <si>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</si>
  <si>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</si>
  <si>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</si>
  <si>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</si>
  <si>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</si>
  <si>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</si>
  <si>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</si>
  <si>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</si>
  <si>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</si>
  <si>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</si>
  <si>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</si>
  <si>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</si>
  <si>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</si>
  <si>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</si>
  <si>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</si>
  <si>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</si>
  <si>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</si>
  <si>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</si>
  <si>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</si>
  <si>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</si>
  <si>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</si>
  <si>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</si>
  <si>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</si>
  <si>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</si>
  <si>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</si>
  <si>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</si>
  <si>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</si>
  <si>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</si>
  <si>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</si>
  <si>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</si>
  <si>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</si>
  <si>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LYQ-1001-R0-XL</t>
  </si>
  <si>
    <t>B0777J1PXR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</si>
  <si>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</si>
  <si>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</si>
  <si>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</si>
  <si>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</si>
  <si>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</si>
  <si>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</si>
  <si>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</si>
  <si>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</si>
  <si>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</si>
  <si>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</si>
  <si>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</si>
  <si>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</si>
  <si>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</si>
  <si>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</si>
  <si>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</si>
  <si>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</si>
  <si>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</si>
  <si>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</si>
  <si>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</si>
  <si>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</si>
  <si>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</si>
  <si>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</si>
  <si>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</si>
  <si>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</si>
  <si>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</si>
  <si>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</si>
  <si>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</si>
  <si>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</si>
  <si>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</si>
  <si>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</si>
  <si>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</si>
  <si>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</si>
  <si>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</si>
  <si>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</si>
  <si>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LYQ-CL0045-K0-L</t>
  </si>
  <si>
    <t>B074QKV2VR</t>
  </si>
  <si>
    <t>LYQ-CL0045</t>
  </si>
  <si>
    <t>LYQ-CL0045-K0-S</t>
  </si>
  <si>
    <t>B074QKCL9C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</si>
  <si>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</si>
  <si>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</si>
  <si>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</si>
  <si>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</si>
  <si>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</si>
  <si>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</si>
  <si>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</si>
  <si>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</si>
  <si>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</si>
  <si>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</si>
  <si>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</si>
  <si>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</si>
  <si>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</si>
  <si>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</si>
  <si>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</si>
  <si>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</si>
  <si>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</si>
  <si>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</si>
  <si>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</si>
  <si>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</si>
  <si>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</si>
  <si>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</si>
  <si>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LYQ-CL6287-K0-L</t>
  </si>
  <si>
    <t>B0748FHP41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</si>
  <si>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</si>
  <si>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</si>
  <si>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</si>
  <si>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</si>
  <si>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</si>
  <si>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</si>
  <si>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</si>
  <si>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</si>
  <si>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</si>
  <si>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</si>
  <si>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</si>
  <si>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</si>
  <si>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</si>
  <si>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</si>
  <si>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</si>
  <si>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</si>
  <si>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</si>
  <si>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</si>
  <si>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</si>
  <si>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</si>
  <si>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</si>
  <si>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</si>
  <si>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</si>
  <si>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</si>
  <si>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</si>
  <si>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</si>
  <si>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</si>
  <si>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</si>
  <si>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</si>
  <si>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</si>
  <si>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</si>
  <si>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</si>
  <si>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</si>
  <si>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</si>
  <si>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</si>
  <si>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</si>
  <si>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</si>
  <si>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</si>
  <si>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</si>
  <si>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</si>
  <si>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</si>
  <si>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</si>
  <si>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</si>
  <si>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</si>
  <si>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</si>
  <si>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</si>
  <si>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</si>
  <si>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</si>
  <si>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</si>
  <si>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</si>
  <si>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LYQ-HM1205-OR-M</t>
  </si>
  <si>
    <t>B01M29W35H</t>
  </si>
  <si>
    <t>LYQ-HM1205-OR-S</t>
  </si>
  <si>
    <t>B01M7UYYSQ</t>
  </si>
  <si>
    <t>LYQ-HM1205-W0-L</t>
  </si>
  <si>
    <t>B01M29W3LC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</si>
  <si>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</si>
  <si>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</si>
  <si>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</si>
  <si>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</si>
  <si>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</si>
  <si>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</si>
  <si>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</si>
  <si>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</si>
  <si>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</si>
  <si>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</si>
  <si>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</si>
  <si>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</si>
  <si>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</si>
  <si>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</si>
  <si>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</si>
  <si>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</si>
  <si>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</si>
  <si>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</si>
  <si>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</si>
  <si>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</si>
  <si>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</si>
  <si>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</si>
  <si>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</si>
  <si>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</si>
  <si>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</si>
  <si>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</si>
  <si>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</si>
  <si>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</si>
  <si>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</si>
  <si>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</si>
  <si>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</si>
  <si>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</si>
  <si>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</si>
  <si>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</si>
  <si>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</si>
  <si>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</si>
  <si>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</si>
  <si>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</si>
  <si>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</si>
  <si>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</si>
  <si>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LYQ-ZQ1117-B0-2XL</t>
  </si>
  <si>
    <t>B077GRGTF5</t>
  </si>
  <si>
    <t>LYQ-ZQ1117</t>
  </si>
  <si>
    <t>LYQ-ZQ1117-B0-L</t>
  </si>
  <si>
    <t>B075ZQJC1K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</si>
  <si>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</si>
  <si>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</si>
  <si>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</si>
  <si>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</si>
  <si>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</si>
  <si>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</si>
  <si>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</si>
  <si>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</si>
  <si>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</si>
  <si>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</si>
  <si>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</si>
  <si>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</si>
  <si>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</si>
  <si>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</si>
  <si>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</si>
  <si>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</si>
  <si>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</si>
  <si>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</si>
  <si>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</si>
  <si>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</si>
  <si>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</si>
  <si>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</si>
  <si>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</si>
  <si>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</si>
  <si>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</si>
  <si>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</si>
  <si>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</si>
  <si>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</si>
  <si>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</si>
  <si>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</si>
  <si>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</si>
  <si>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</si>
  <si>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LYQ-ZQ1117-E0-S</t>
  </si>
  <si>
    <t>B075ZRHBRF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</si>
  <si>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</si>
  <si>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</si>
  <si>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</si>
  <si>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</si>
  <si>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</si>
  <si>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</si>
  <si>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</si>
  <si>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</si>
  <si>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</si>
  <si>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</si>
  <si>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</si>
  <si>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</si>
  <si>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</si>
  <si>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</si>
  <si>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</si>
  <si>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</si>
  <si>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</si>
  <si>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</si>
  <si>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</si>
  <si>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</si>
  <si>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</si>
  <si>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</si>
  <si>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LYQ-ZQ1117-KQ-2XL</t>
  </si>
  <si>
    <t>B077GSPWG6</t>
  </si>
  <si>
    <t>LYQ-ZQ1117-KQ-L</t>
  </si>
  <si>
    <t>B0759H896D</t>
  </si>
  <si>
    <t>LYQ-ZQ1117-KQ-M</t>
  </si>
  <si>
    <t>B0759HSQBZ</t>
  </si>
  <si>
    <t>LYQ-ZQ1117-KQ-S</t>
  </si>
  <si>
    <t>B0759PF567</t>
  </si>
  <si>
    <t>LYQ-ZQ1117-KQ-XL</t>
  </si>
  <si>
    <t>B0759GSQT4</t>
  </si>
  <si>
    <t>LYQ-ZQ1428-R0-M</t>
  </si>
  <si>
    <t>B074FWP234</t>
  </si>
  <si>
    <t>LYQ-ZQ1428</t>
  </si>
  <si>
    <t>LYQ-ZQ1428-Y0-S</t>
  </si>
  <si>
    <t>B074FVXYZ5</t>
  </si>
  <si>
    <t>LYQ-ZQ1669-B0-L</t>
  </si>
  <si>
    <t>B073S4R4CR</t>
  </si>
  <si>
    <t>LYQ-ZQ1669</t>
  </si>
  <si>
    <t>LYQ-ZQ1669-B0-M</t>
  </si>
  <si>
    <t>B073S4ZN9Q</t>
  </si>
  <si>
    <t>LYQ-ZQ1669-B0-S</t>
  </si>
  <si>
    <t>B073S4X67S</t>
  </si>
  <si>
    <t>LYQ-ZQ1669-B0-XL</t>
  </si>
  <si>
    <t>B073S5CYWG</t>
  </si>
  <si>
    <t>LYQ-ZQ1880-R0-M</t>
  </si>
  <si>
    <t>B074MTPMFD</t>
  </si>
  <si>
    <t>LYQ-ZQ1880</t>
  </si>
  <si>
    <t>LYQ-ZQ1880-R0-S</t>
  </si>
  <si>
    <t>B074N1VL93</t>
  </si>
  <si>
    <t>LYQ-ZQ1880-R0-XL</t>
  </si>
  <si>
    <t>B074MWWWNP</t>
  </si>
  <si>
    <t>LYQ-ZQ1880-ZL-L</t>
  </si>
  <si>
    <t>B074N2S5HM</t>
  </si>
  <si>
    <t>LYQ-ZQ1880-ZL-M</t>
  </si>
  <si>
    <t>B074MZR55T</t>
  </si>
  <si>
    <t>LYQ-ZQ1880-ZL-S</t>
  </si>
  <si>
    <t>B074MZDN1H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</si>
  <si>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</si>
  <si>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</si>
  <si>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</si>
  <si>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</si>
  <si>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</si>
  <si>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</si>
  <si>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</si>
  <si>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LYQ-ZQ2973-BD-M</t>
  </si>
  <si>
    <t>B01LY4R8RV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</si>
  <si>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</si>
  <si>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</si>
  <si>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</si>
  <si>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</si>
  <si>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</si>
  <si>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</si>
  <si>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</si>
  <si>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</si>
  <si>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</si>
  <si>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</si>
  <si>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LYQ-ZQ2973-E0-XL</t>
  </si>
  <si>
    <t>B01LWI559G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</si>
  <si>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</si>
  <si>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</si>
  <si>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</si>
  <si>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</si>
  <si>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</si>
  <si>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</si>
  <si>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</si>
  <si>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</si>
  <si>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</si>
  <si>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</si>
  <si>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</si>
  <si>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</si>
  <si>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</si>
  <si>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</si>
  <si>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</si>
  <si>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</si>
  <si>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</si>
  <si>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</si>
  <si>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</si>
  <si>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</si>
  <si>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</si>
  <si>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</si>
  <si>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</si>
  <si>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</si>
  <si>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</si>
  <si>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</si>
  <si>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</si>
  <si>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</si>
  <si>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</si>
  <si>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</si>
  <si>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</si>
  <si>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</si>
  <si>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</si>
  <si>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</si>
  <si>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</si>
  <si>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</si>
  <si>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</si>
  <si>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</si>
  <si>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</si>
  <si>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</si>
  <si>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</si>
  <si>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</si>
  <si>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</si>
  <si>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</si>
  <si>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</si>
  <si>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</si>
  <si>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</si>
  <si>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</si>
  <si>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</si>
  <si>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</si>
  <si>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</si>
  <si>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</si>
  <si>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</si>
  <si>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</si>
  <si>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</si>
  <si>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</si>
  <si>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</si>
  <si>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</si>
  <si>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LYQ-ZQ2W00-K0-L</t>
  </si>
  <si>
    <t>B01LY5QLVQ</t>
  </si>
  <si>
    <t>LYQ-ZQ2W00</t>
  </si>
  <si>
    <t>LYQ-ZQ2W00-K0-M</t>
  </si>
  <si>
    <t>B01LY5QHGQ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</si>
  <si>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</si>
  <si>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</si>
  <si>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</si>
  <si>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</si>
  <si>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</si>
  <si>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</si>
  <si>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</si>
  <si>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</si>
  <si>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</si>
  <si>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</si>
  <si>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</si>
  <si>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</si>
  <si>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</si>
  <si>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</si>
  <si>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</si>
  <si>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</si>
  <si>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</si>
  <si>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</si>
  <si>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</si>
  <si>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</si>
  <si>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</si>
  <si>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</si>
  <si>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</si>
  <si>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</si>
  <si>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</si>
  <si>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</si>
  <si>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</si>
  <si>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</si>
  <si>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</si>
  <si>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</si>
  <si>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</si>
  <si>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</si>
  <si>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</si>
  <si>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</si>
  <si>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</si>
  <si>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</si>
  <si>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</si>
  <si>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</si>
  <si>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</si>
  <si>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</si>
  <si>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</si>
  <si>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</si>
  <si>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</si>
  <si>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</si>
  <si>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</si>
  <si>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</si>
  <si>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</si>
  <si>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LYQ-ZQ8200-FB-L</t>
  </si>
  <si>
    <t>B01LWKSW4Z</t>
  </si>
  <si>
    <t>LYQ-ZQ8200</t>
  </si>
  <si>
    <t>LYQ-ZQ8200-FB-M</t>
  </si>
  <si>
    <t>B01M1G9E2V</t>
  </si>
  <si>
    <t>LYQ-ZQ8200-FB-S</t>
  </si>
  <si>
    <t>B01LYUSTJT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</si>
  <si>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</si>
  <si>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</si>
  <si>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</si>
  <si>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</si>
  <si>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</si>
  <si>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</si>
  <si>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</si>
  <si>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</si>
  <si>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</si>
  <si>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</si>
  <si>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LYQ-ZQ8200-P0-L</t>
  </si>
  <si>
    <t>B01M0T6MS9</t>
  </si>
  <si>
    <t>LYQ-ZQ8200-P0-M</t>
  </si>
  <si>
    <t>B01LZI8HZ2</t>
  </si>
  <si>
    <t>LYQ-ZQ8200-P0-S</t>
  </si>
  <si>
    <t>B01M05QDKR</t>
  </si>
  <si>
    <t>LYQ-ZQ8200-P0-XL</t>
  </si>
  <si>
    <t>B01LX89686</t>
  </si>
  <si>
    <t>LYQ-ZQC910-K0-XL</t>
  </si>
  <si>
    <t>B074NYF6Q6</t>
  </si>
  <si>
    <t>LYQ-ZQC910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</si>
  <si>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</si>
  <si>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</si>
  <si>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</si>
  <si>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</si>
  <si>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</si>
  <si>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</si>
  <si>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</si>
  <si>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</si>
  <si>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</si>
  <si>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</si>
  <si>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</si>
  <si>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</si>
  <si>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</si>
  <si>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</si>
  <si>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</si>
  <si>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</si>
  <si>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</si>
  <si>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</si>
  <si>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</si>
  <si>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</si>
  <si>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LYQ-ZQMB170005-K0-2X</t>
  </si>
  <si>
    <t>B071F3KJKN</t>
  </si>
  <si>
    <t>LYQ-ZQMB170005</t>
  </si>
  <si>
    <t>LYQ-ZQMB170005-K0-XL</t>
  </si>
  <si>
    <t>B072HWD6ZB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</si>
  <si>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</si>
  <si>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</si>
  <si>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</si>
  <si>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</si>
  <si>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</si>
  <si>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</si>
  <si>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</si>
  <si>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</si>
  <si>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</si>
  <si>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</si>
  <si>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</si>
  <si>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</si>
  <si>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</si>
  <si>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</si>
  <si>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</si>
  <si>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</si>
  <si>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</si>
  <si>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</si>
  <si>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</si>
  <si>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</si>
  <si>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</si>
  <si>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</si>
  <si>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</si>
  <si>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</si>
  <si>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</si>
  <si>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</si>
  <si>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</si>
  <si>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</si>
  <si>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</si>
  <si>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</si>
  <si>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LYQ-ZQPC01-E0-L</t>
  </si>
  <si>
    <t>B075QG84P4</t>
  </si>
  <si>
    <t>LYQ-ZQPC01-E0-M</t>
  </si>
  <si>
    <t>B075QF627M</t>
  </si>
  <si>
    <t>LYQ-ZQPC01-E0-S</t>
  </si>
  <si>
    <t>B075QGL2XX</t>
  </si>
  <si>
    <t>LYQ-ZQPC01-E0-XL</t>
  </si>
  <si>
    <t>B075QF33TV</t>
  </si>
  <si>
    <t>LYQ-ZQPC01-E0-XXL</t>
  </si>
  <si>
    <t>B075QG5YLG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</si>
  <si>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</si>
  <si>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</si>
  <si>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</si>
  <si>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</si>
  <si>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</si>
  <si>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</si>
  <si>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</si>
  <si>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</si>
  <si>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</si>
  <si>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</si>
  <si>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LYQ-ZQPC01-ZL-L</t>
  </si>
  <si>
    <t>B075QG6CKV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</si>
  <si>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</si>
  <si>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</si>
  <si>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</si>
  <si>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</si>
  <si>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</si>
  <si>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</si>
  <si>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</si>
  <si>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</si>
  <si>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</si>
  <si>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</si>
  <si>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</si>
  <si>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</si>
  <si>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</si>
  <si>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</si>
  <si>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</si>
  <si>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</si>
  <si>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</si>
  <si>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</si>
  <si>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</si>
  <si>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</si>
  <si>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</si>
  <si>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</si>
  <si>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</si>
  <si>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LYQ-ZQS1741-W0-M</t>
  </si>
  <si>
    <t>B075FSS7TQ</t>
  </si>
  <si>
    <t>LYQ-ZQS1741-W0-S</t>
  </si>
  <si>
    <t>B075FSQW9M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</si>
  <si>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</si>
  <si>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</si>
  <si>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</si>
  <si>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</si>
  <si>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</si>
  <si>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</si>
  <si>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</si>
  <si>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</si>
  <si>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</si>
  <si>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</si>
  <si>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</si>
  <si>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</si>
  <si>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</si>
  <si>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</si>
  <si>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</si>
  <si>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</si>
  <si>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</si>
  <si>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</si>
  <si>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</si>
  <si>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</si>
  <si>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</si>
  <si>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</si>
  <si>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</si>
  <si>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</si>
  <si>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</si>
  <si>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</si>
  <si>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</si>
  <si>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</si>
  <si>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</si>
  <si>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</si>
  <si>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</si>
  <si>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</si>
  <si>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PJ-ZQ0976-O0</t>
  </si>
  <si>
    <t>B075V4TRKG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</si>
  <si>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</si>
  <si>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</si>
  <si>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</si>
  <si>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</si>
  <si>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</si>
  <si>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</si>
  <si>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</si>
  <si>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</si>
  <si>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</si>
  <si>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</si>
  <si>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</si>
  <si>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</si>
  <si>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</si>
  <si>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</si>
  <si>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</si>
  <si>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</si>
  <si>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</si>
  <si>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</si>
  <si>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</si>
  <si>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</si>
  <si>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</si>
  <si>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</si>
  <si>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</si>
  <si>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</si>
  <si>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</si>
  <si>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</si>
  <si>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</si>
  <si>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</si>
  <si>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</si>
  <si>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</si>
  <si>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</si>
  <si>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</si>
  <si>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</si>
  <si>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</si>
  <si>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</si>
  <si>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</si>
  <si>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</si>
  <si>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</si>
  <si>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</si>
  <si>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</si>
  <si>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</si>
  <si>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</si>
  <si>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</si>
  <si>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</si>
  <si>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</si>
  <si>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</si>
  <si>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</si>
  <si>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</si>
  <si>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</si>
  <si>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YZ-CFAM005-ARGR-M</t>
  </si>
  <si>
    <t>B01N6O3X8C</t>
  </si>
  <si>
    <t>YZ-CFAM005</t>
  </si>
  <si>
    <t>YZ-CFAM005-LABUGR-L</t>
  </si>
  <si>
    <t>B01N4LAK3O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</si>
  <si>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</si>
  <si>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</si>
  <si>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</si>
  <si>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</si>
  <si>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</si>
  <si>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</si>
  <si>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</si>
  <si>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</si>
  <si>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</si>
  <si>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</si>
  <si>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</si>
  <si>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YZ-CL0001-R4-XL</t>
  </si>
  <si>
    <t>B0747NZWQC</t>
  </si>
  <si>
    <t>YZ-CL0393-B0-M</t>
  </si>
  <si>
    <t>B071FT1T1V</t>
  </si>
  <si>
    <t>YZ-CL0393</t>
  </si>
  <si>
    <t>YZ-CL0393-B0-XL</t>
  </si>
  <si>
    <t>B071ZS3WSM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</si>
  <si>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</si>
  <si>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</si>
  <si>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</si>
  <si>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</si>
  <si>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</si>
  <si>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</si>
  <si>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</si>
  <si>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</si>
  <si>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</si>
  <si>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</si>
  <si>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</si>
  <si>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</si>
  <si>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</si>
  <si>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</si>
  <si>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</si>
  <si>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</si>
  <si>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</si>
  <si>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</si>
  <si>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</si>
  <si>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</si>
  <si>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</si>
  <si>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</si>
  <si>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</si>
  <si>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</si>
  <si>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</si>
  <si>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</si>
  <si>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</si>
  <si>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</si>
  <si>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</si>
  <si>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</si>
  <si>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</si>
  <si>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</si>
  <si>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</si>
  <si>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</si>
  <si>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</si>
  <si>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</si>
  <si>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</si>
  <si>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YZ-CLD072-MU-S</t>
  </si>
  <si>
    <t>B073CVM27M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</si>
  <si>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</si>
  <si>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</si>
  <si>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</si>
  <si>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</si>
  <si>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</si>
  <si>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</si>
  <si>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</si>
  <si>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</si>
  <si>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</si>
  <si>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</si>
  <si>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</si>
  <si>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</si>
  <si>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</si>
  <si>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</si>
  <si>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</si>
  <si>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</si>
  <si>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</si>
  <si>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</si>
  <si>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</si>
  <si>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</si>
  <si>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</si>
  <si>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</si>
  <si>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</si>
  <si>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</si>
  <si>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</si>
  <si>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</si>
  <si>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YZ-HM0669-W0-M</t>
  </si>
  <si>
    <t>B072FSB2X8</t>
  </si>
  <si>
    <t>YZ-HM0669</t>
  </si>
  <si>
    <t>YZ-HM0669-W0-S</t>
  </si>
  <si>
    <t>B071ZJS9TY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</si>
  <si>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</si>
  <si>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</si>
  <si>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</si>
  <si>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</si>
  <si>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</si>
  <si>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</si>
  <si>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</si>
  <si>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</si>
  <si>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</si>
  <si>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</si>
  <si>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</si>
  <si>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</si>
  <si>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</si>
  <si>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</si>
  <si>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</si>
  <si>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</si>
  <si>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</si>
  <si>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YZ-HM111-YH-M</t>
  </si>
  <si>
    <t>B072KK64R2</t>
  </si>
  <si>
    <t>YZ-HM111-YH-S</t>
  </si>
  <si>
    <t>B071GQNCYS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</si>
  <si>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</si>
  <si>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</si>
  <si>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</si>
  <si>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</si>
  <si>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</si>
  <si>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</si>
  <si>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</si>
  <si>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</si>
  <si>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</si>
  <si>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</si>
  <si>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</si>
  <si>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</si>
  <si>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</si>
  <si>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</si>
  <si>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</si>
  <si>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</si>
  <si>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</si>
  <si>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</si>
  <si>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</si>
  <si>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</si>
  <si>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</si>
  <si>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</si>
  <si>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</si>
  <si>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</si>
  <si>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</si>
  <si>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</si>
  <si>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</si>
  <si>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</si>
  <si>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</si>
  <si>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</si>
  <si>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</si>
  <si>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</si>
  <si>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</si>
  <si>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</si>
  <si>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</si>
  <si>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</si>
  <si>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</si>
  <si>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</si>
  <si>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</si>
  <si>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</si>
  <si>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</si>
  <si>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</si>
  <si>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YZ-HM17-G0-2XL</t>
  </si>
  <si>
    <t>B01M9J1UQF</t>
  </si>
  <si>
    <t>YZ-HM17</t>
  </si>
  <si>
    <t>YZ-HM17077-B0-L</t>
  </si>
  <si>
    <t>B06XYLTFBH</t>
  </si>
  <si>
    <t>YZ-HM17077</t>
  </si>
  <si>
    <t>YZ-HM17077-B0-XL</t>
  </si>
  <si>
    <t>B06XYK2FNV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</si>
  <si>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</si>
  <si>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</si>
  <si>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</si>
  <si>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</si>
  <si>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</si>
  <si>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</si>
  <si>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</si>
  <si>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</si>
  <si>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</si>
  <si>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</si>
  <si>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</si>
  <si>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</si>
  <si>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</si>
  <si>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</si>
  <si>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</si>
  <si>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</si>
  <si>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</si>
  <si>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</si>
  <si>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</si>
  <si>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</si>
  <si>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</si>
  <si>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</si>
  <si>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</si>
  <si>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</si>
  <si>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</si>
  <si>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</si>
  <si>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</si>
  <si>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</si>
  <si>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</si>
  <si>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</si>
  <si>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</si>
  <si>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</si>
  <si>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</si>
  <si>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</si>
  <si>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</si>
  <si>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</si>
  <si>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</si>
  <si>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</si>
  <si>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</si>
  <si>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</si>
  <si>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</si>
  <si>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</si>
  <si>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</si>
  <si>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</si>
  <si>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</si>
  <si>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</si>
  <si>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</si>
  <si>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</si>
  <si>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</si>
  <si>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</si>
  <si>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</si>
  <si>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</si>
  <si>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</si>
  <si>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</si>
  <si>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</si>
  <si>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</si>
  <si>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</si>
  <si>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YZ-HM1757-K0-M</t>
  </si>
  <si>
    <t>B071WPNKQC</t>
  </si>
  <si>
    <t>YZ-HM1757-K0-S</t>
  </si>
  <si>
    <t>B071G5PTHM</t>
  </si>
  <si>
    <t>YZ-HM1757-K0-XL</t>
  </si>
  <si>
    <t>B071JRP9Y6</t>
  </si>
  <si>
    <t>YZ-HM1757-Pi-M</t>
  </si>
  <si>
    <t>B071WPRS8L</t>
  </si>
  <si>
    <t>YZ-HM1757-Pi-S</t>
  </si>
  <si>
    <t>B07214K5VF</t>
  </si>
  <si>
    <t>YZ-HM1757-Pi-XL</t>
  </si>
  <si>
    <t>B072JXZ2R9</t>
  </si>
  <si>
    <t>YZ-HM17845</t>
  </si>
  <si>
    <t>YZ-HM17845-YH-L</t>
  </si>
  <si>
    <t>B06W5D2991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</si>
  <si>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</si>
  <si>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</si>
  <si>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</si>
  <si>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</si>
  <si>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</si>
  <si>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</si>
  <si>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</si>
  <si>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</si>
  <si>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</si>
  <si>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</si>
  <si>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</si>
  <si>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</si>
  <si>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</si>
  <si>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</si>
  <si>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</si>
  <si>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</si>
  <si>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</si>
  <si>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</si>
  <si>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</si>
  <si>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</si>
  <si>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</si>
  <si>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</si>
  <si>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</si>
  <si>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</si>
  <si>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</si>
  <si>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</si>
  <si>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</si>
  <si>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</si>
  <si>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</si>
  <si>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</si>
  <si>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</si>
  <si>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</si>
  <si>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</si>
  <si>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</si>
  <si>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</si>
  <si>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</si>
  <si>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</si>
  <si>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</si>
  <si>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</si>
  <si>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</si>
  <si>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</si>
  <si>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</si>
  <si>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</si>
  <si>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</si>
  <si>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</si>
  <si>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</si>
  <si>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</si>
  <si>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</si>
  <si>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</si>
  <si>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YZ-HM241-SH-2XL</t>
  </si>
  <si>
    <t>B01IMU4IZC</t>
  </si>
  <si>
    <t>YZ-HM241-SH-3XL</t>
  </si>
  <si>
    <t>B01IMU4JJW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</si>
  <si>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</si>
  <si>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</si>
  <si>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</si>
  <si>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</si>
  <si>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</si>
  <si>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</si>
  <si>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</si>
  <si>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</si>
  <si>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</si>
  <si>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</si>
  <si>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</si>
  <si>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</si>
  <si>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YZ-HM241-ZL-3XL</t>
  </si>
  <si>
    <t>B01MAZ1CFG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</si>
  <si>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</si>
  <si>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</si>
  <si>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</si>
  <si>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</si>
  <si>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</si>
  <si>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</si>
  <si>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</si>
  <si>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</si>
  <si>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</si>
  <si>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</si>
  <si>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</si>
  <si>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</si>
  <si>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</si>
  <si>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</si>
  <si>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</si>
  <si>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</si>
  <si>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</si>
  <si>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</si>
  <si>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</si>
  <si>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</si>
  <si>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</si>
  <si>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</si>
  <si>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</si>
  <si>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</si>
  <si>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</si>
  <si>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</si>
  <si>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</si>
  <si>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</si>
  <si>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</si>
  <si>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</si>
  <si>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</si>
  <si>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</si>
  <si>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</si>
  <si>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</si>
  <si>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</si>
  <si>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</si>
  <si>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</si>
  <si>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</si>
  <si>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</si>
  <si>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</si>
  <si>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</si>
  <si>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</si>
  <si>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</si>
  <si>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</si>
  <si>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</si>
  <si>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</si>
  <si>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</si>
  <si>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</si>
  <si>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</si>
  <si>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</si>
  <si>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</si>
  <si>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</si>
  <si>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</si>
  <si>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</si>
  <si>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YZ-HM7035-G0-M</t>
  </si>
  <si>
    <t>B0721433YC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</si>
  <si>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</si>
  <si>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</si>
  <si>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</si>
  <si>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</si>
  <si>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</si>
  <si>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</si>
  <si>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</si>
  <si>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</si>
  <si>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</si>
  <si>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</si>
  <si>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</si>
  <si>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</si>
  <si>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</si>
  <si>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</si>
  <si>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</si>
  <si>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</si>
  <si>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</si>
  <si>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</si>
  <si>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</si>
  <si>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</si>
  <si>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</si>
  <si>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</si>
  <si>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</si>
  <si>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</si>
  <si>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</si>
  <si>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</si>
  <si>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</si>
  <si>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</si>
  <si>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</si>
  <si>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</si>
  <si>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</si>
  <si>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</si>
  <si>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</si>
  <si>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</si>
  <si>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</si>
  <si>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</si>
  <si>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</si>
  <si>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</si>
  <si>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</si>
  <si>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</si>
  <si>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</si>
  <si>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</si>
  <si>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</si>
  <si>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</si>
  <si>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</si>
  <si>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</si>
  <si>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</si>
  <si>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</si>
  <si>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</si>
  <si>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</si>
  <si>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</si>
  <si>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</si>
  <si>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</si>
  <si>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</si>
  <si>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</si>
  <si>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</si>
  <si>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</si>
  <si>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</si>
  <si>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</si>
  <si>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</si>
  <si>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</si>
  <si>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</si>
  <si>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</si>
  <si>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</si>
  <si>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</si>
  <si>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</si>
  <si>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</si>
  <si>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</si>
  <si>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</si>
  <si>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</si>
  <si>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</si>
  <si>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</si>
  <si>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</si>
  <si>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</si>
  <si>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</si>
  <si>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</si>
  <si>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</si>
  <si>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</si>
  <si>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</si>
  <si>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</si>
  <si>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</si>
  <si>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</si>
  <si>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</si>
  <si>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</si>
  <si>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</si>
  <si>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</si>
  <si>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</si>
  <si>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</si>
  <si>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</si>
  <si>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</si>
  <si>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</si>
  <si>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</si>
  <si>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</si>
  <si>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</si>
  <si>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</si>
  <si>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</si>
  <si>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</si>
  <si>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</si>
  <si>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</si>
  <si>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</si>
  <si>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</si>
  <si>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</si>
  <si>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</si>
  <si>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</si>
  <si>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</si>
  <si>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</si>
  <si>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</si>
  <si>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</si>
  <si>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</si>
  <si>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</si>
  <si>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</si>
  <si>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</si>
  <si>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</si>
  <si>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</si>
  <si>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</si>
  <si>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</si>
  <si>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</si>
  <si>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</si>
  <si>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</si>
  <si>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</si>
  <si>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</si>
  <si>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</si>
  <si>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</si>
  <si>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YZ-JY3233-K0-S</t>
  </si>
  <si>
    <t>B01J5A1H6Q</t>
  </si>
  <si>
    <t>YZ-JY3233-K0-XL</t>
  </si>
  <si>
    <t>B01J5A1KEK</t>
  </si>
  <si>
    <t>YZ-JY3233-K0-XS</t>
  </si>
  <si>
    <t>B01NCJBIK7</t>
  </si>
  <si>
    <t>YZ-JY3288-B0-1L</t>
  </si>
  <si>
    <t>B01G6QHUIG</t>
  </si>
  <si>
    <t>YZ-JY3288</t>
  </si>
  <si>
    <t>YZ-JY5694-K0-3XL</t>
  </si>
  <si>
    <t>B01M2X9OND</t>
  </si>
  <si>
    <t>YZ-JY5694</t>
  </si>
  <si>
    <t>YZ-JY5694-K0-4XL</t>
  </si>
  <si>
    <t>B01MCTLBRC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</si>
  <si>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</si>
  <si>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</si>
  <si>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</si>
  <si>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</si>
  <si>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</si>
  <si>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</si>
  <si>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</si>
  <si>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</si>
  <si>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</si>
  <si>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YZ-JY7015-R0-XL</t>
  </si>
  <si>
    <t>B01M3Y0VZS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</si>
  <si>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</si>
  <si>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</si>
  <si>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</si>
  <si>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</si>
  <si>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</si>
  <si>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</si>
  <si>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</si>
  <si>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</si>
  <si>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</si>
  <si>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</si>
  <si>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</si>
  <si>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</si>
  <si>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YZ-SU16103-R0-2XL</t>
  </si>
  <si>
    <t>B07D36B2SR</t>
  </si>
  <si>
    <t>YZ-SU16103</t>
  </si>
  <si>
    <t>YZ-SU16103-R0-L</t>
  </si>
  <si>
    <t>B07D35ZV5K</t>
  </si>
  <si>
    <t>YZ-SU16103-ZL-2XL</t>
  </si>
  <si>
    <t>B07D37R82G</t>
  </si>
  <si>
    <t>YZ-SU1617-BH-4XL</t>
  </si>
  <si>
    <t>B07D32YV4G</t>
  </si>
  <si>
    <t>YZ-SU1617</t>
  </si>
  <si>
    <t>YZ-SU1617-BH-M</t>
  </si>
  <si>
    <t>B07D365CHW</t>
  </si>
  <si>
    <t>YZ-SU1617-BH-XL</t>
  </si>
  <si>
    <t>B07D35DQJY</t>
  </si>
  <si>
    <t>YZ-SU1617-K0-M</t>
  </si>
  <si>
    <t>B07D35P43Q</t>
  </si>
  <si>
    <t>YZ-SU1617-KH-L</t>
  </si>
  <si>
    <t>B07D371RRG</t>
  </si>
  <si>
    <t>YZ-SU1617-KH-M</t>
  </si>
  <si>
    <t>B07D37BXTF</t>
  </si>
  <si>
    <t>YZ-SU1617-ZL-L</t>
  </si>
  <si>
    <t>B07D324TXY</t>
  </si>
  <si>
    <t>YZ-SU1617-ZL-XL</t>
  </si>
  <si>
    <t>B07D31NQYT</t>
  </si>
  <si>
    <t>YZ-SU45984-K0-5XL</t>
  </si>
  <si>
    <t>B07D35TPTM</t>
  </si>
  <si>
    <t>YZ-SU45984</t>
  </si>
  <si>
    <t>YZ-SU45984-K0-L</t>
  </si>
  <si>
    <t>B07D37FZPP</t>
  </si>
  <si>
    <t>YZ-SU45984-K0-M</t>
  </si>
  <si>
    <t>B07D35NS5G</t>
  </si>
  <si>
    <t>YZ-SUA100-G0-XL</t>
  </si>
  <si>
    <t>B07D36ZJHZ</t>
  </si>
  <si>
    <t>YZ-SUA100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</si>
  <si>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</si>
  <si>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</si>
  <si>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</si>
  <si>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</si>
  <si>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</si>
  <si>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</si>
  <si>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</si>
  <si>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</si>
  <si>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</si>
  <si>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</si>
  <si>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</si>
  <si>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</si>
  <si>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</si>
  <si>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</si>
  <si>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</si>
  <si>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</si>
  <si>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</si>
  <si>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</si>
  <si>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</si>
  <si>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</si>
  <si>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</si>
  <si>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</si>
  <si>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</si>
  <si>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</si>
  <si>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</si>
  <si>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</si>
  <si>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</si>
  <si>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</si>
  <si>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</si>
  <si>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</si>
  <si>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</si>
  <si>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YZ-SULS062-K0-2XL</t>
  </si>
  <si>
    <t>B07D34N291</t>
  </si>
  <si>
    <t>YZ-SULS062</t>
  </si>
  <si>
    <t>YZ-SULS062-K0-L</t>
  </si>
  <si>
    <t>B07D3474TR</t>
  </si>
  <si>
    <t>YZ-SULS062-K0-M</t>
  </si>
  <si>
    <t>B07D34LPR8</t>
  </si>
  <si>
    <t>YZ-SULS062-K0-S</t>
  </si>
  <si>
    <t>B07D358S97</t>
  </si>
  <si>
    <t>YZ-SULS062-K0-XL</t>
  </si>
  <si>
    <t>B07D352K7Y</t>
  </si>
  <si>
    <t>YZ-SUTWA100-K0-2XL</t>
  </si>
  <si>
    <t>B07D35YPV3</t>
  </si>
  <si>
    <t>YZ-SUTWA100</t>
  </si>
  <si>
    <t>YZ-SUTWA100-K0-5XL</t>
  </si>
  <si>
    <t>B07D33Q58D</t>
  </si>
  <si>
    <t>YZ-SUTWA100-K0-L</t>
  </si>
  <si>
    <t>B07D36L6MD</t>
  </si>
  <si>
    <t>YZ-SUTWA100-K0-M</t>
  </si>
  <si>
    <t>B07D37QCZK</t>
  </si>
  <si>
    <t>YZ-SUTWA100-K0-S</t>
  </si>
  <si>
    <t>B07D34X254</t>
  </si>
  <si>
    <t>YZ-SUTWA100-K0-XL</t>
  </si>
  <si>
    <t>B07D3778CP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</si>
  <si>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</si>
  <si>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</si>
  <si>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</si>
  <si>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</si>
  <si>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</si>
  <si>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</si>
  <si>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</si>
  <si>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YZ-SUZQ161-E0-2XL</t>
  </si>
  <si>
    <t>B07CH9Y7K5</t>
  </si>
  <si>
    <t>YZ-SUZQ161</t>
  </si>
  <si>
    <t>YZ-SUZQ161-E0-3XL</t>
  </si>
  <si>
    <t>B07CH388TJ</t>
  </si>
  <si>
    <t>YZ-SUZQ161-E0-L</t>
  </si>
  <si>
    <t>B07CHCBML8</t>
  </si>
  <si>
    <t>YZ-SUZQ161-E0-XL</t>
  </si>
  <si>
    <t>B07CHD7YDD</t>
  </si>
  <si>
    <t>YZ-SUZQ161-R0-2XL</t>
  </si>
  <si>
    <t>B07CH38Z1D</t>
  </si>
  <si>
    <t>YZ-SUZQ161-R0-3XL</t>
  </si>
  <si>
    <t>B07CH8N96M</t>
  </si>
  <si>
    <t>YZ-SUZQ161-R0-L</t>
  </si>
  <si>
    <t>B07CHBJLT7</t>
  </si>
  <si>
    <t>YZ-SUZQ161-R0-XL</t>
  </si>
  <si>
    <t>B07CH8BG9T</t>
  </si>
  <si>
    <t>YZ-SUZQ161-Y0-2XL</t>
  </si>
  <si>
    <t>B07CH8ZYWP</t>
  </si>
  <si>
    <t>YZ-SUZQ161-Y0-3XL</t>
  </si>
  <si>
    <t>B07CHBP1PW</t>
  </si>
  <si>
    <t>YZ-SUZQ161-Y0-L</t>
  </si>
  <si>
    <t>B07CH78752</t>
  </si>
  <si>
    <t>YZ-SUZQ161-Y0-XL</t>
  </si>
  <si>
    <t>B07CHBJS4Y</t>
  </si>
  <si>
    <t>YZ-SUZQ172-B0-L</t>
  </si>
  <si>
    <t>B07CJXQH2R</t>
  </si>
  <si>
    <t>YZ-SUZQ172</t>
  </si>
  <si>
    <t>YZ-SUZQ172-B0-M</t>
  </si>
  <si>
    <t>B07CJ1JD3F</t>
  </si>
  <si>
    <t>YZ-SUZQ172-B0-S</t>
  </si>
  <si>
    <t>B07CJ1NH2F</t>
  </si>
  <si>
    <t>YZ-SUZQ172-B0-XL</t>
  </si>
  <si>
    <t>B07CJ811T6</t>
  </si>
  <si>
    <t>YZ-SUZQ172-K0-L</t>
  </si>
  <si>
    <t>B07CJ3GRHK</t>
  </si>
  <si>
    <t>YZ-SUZQ172-K0-M</t>
  </si>
  <si>
    <t>B07CJVVBTX</t>
  </si>
  <si>
    <t>YZ-SUZQ172-K0-S</t>
  </si>
  <si>
    <t>B07CJ19WPM</t>
  </si>
  <si>
    <t>YZ-SUZQ172-K0-XL</t>
  </si>
  <si>
    <t>B07CJZ6LZZ</t>
  </si>
  <si>
    <t>YZ-SUZQ172-R0-L</t>
  </si>
  <si>
    <t>B07CJTGLX7</t>
  </si>
  <si>
    <t>YZ-SUZQ172-R0-M</t>
  </si>
  <si>
    <t>B07CJ3GR8G</t>
  </si>
  <si>
    <t>YZ-SUZQ172-R0-S</t>
  </si>
  <si>
    <t>B07CJ387X7</t>
  </si>
  <si>
    <t>YZ-SUZQ172-R0-XL</t>
  </si>
  <si>
    <t>B07CJDBBSS</t>
  </si>
  <si>
    <t>YZ-SUZQ173-K0-2XL</t>
  </si>
  <si>
    <t>B07CJ1PTQ5</t>
  </si>
  <si>
    <t>YZ-SUZQ173</t>
  </si>
  <si>
    <t>YZ-SUZQ173-K0-3XL</t>
  </si>
  <si>
    <t>B07CJYCGGS</t>
  </si>
  <si>
    <t>YZ-SUZQ173-K0-L</t>
  </si>
  <si>
    <t>B07CJ9RWQ6</t>
  </si>
  <si>
    <t>YZ-SUZQ173-K0-M</t>
  </si>
  <si>
    <t>B07CJ1PWZB</t>
  </si>
  <si>
    <t>YZ-SUZQ173-K0-S</t>
  </si>
  <si>
    <t>B07CJ6WLGG</t>
  </si>
  <si>
    <t>YZ-SUZQ173-K0-XL</t>
  </si>
  <si>
    <t>B07CJF5LQT</t>
  </si>
  <si>
    <t>YZ-SUZQ173-NB-2XL</t>
  </si>
  <si>
    <t>B07CJ3C2XG</t>
  </si>
  <si>
    <t>YZ-SUZQ173-NB-3XL</t>
  </si>
  <si>
    <t>B07CJY9W65</t>
  </si>
  <si>
    <t>YZ-SUZQ173-NB-L</t>
  </si>
  <si>
    <t>B07CK18FMX</t>
  </si>
  <si>
    <t>YZ-SUZQ173-NB-M</t>
  </si>
  <si>
    <t>B07CJF3483</t>
  </si>
  <si>
    <t>YZ-SUZQ173-NB-S</t>
  </si>
  <si>
    <t>B07CJ9Y3C3</t>
  </si>
  <si>
    <t>YZ-SUZQ173-NB-XL</t>
  </si>
  <si>
    <t>B07CJ1NH59</t>
  </si>
  <si>
    <t>YZ-SUZQ173-R0-2XL</t>
  </si>
  <si>
    <t>B07CJ9RZB4</t>
  </si>
  <si>
    <t>YZ-SUZQ173-R0-3XL</t>
  </si>
  <si>
    <t>B07CK1NZ6H</t>
  </si>
  <si>
    <t>YZ-SUZQ173-R0-L</t>
  </si>
  <si>
    <t>B07CJ5MBL8</t>
  </si>
  <si>
    <t>YZ-SUZQ173-R0-M</t>
  </si>
  <si>
    <t>B07CJ1SD2Z</t>
  </si>
  <si>
    <t>YZ-SUZQ173-R0-S</t>
  </si>
  <si>
    <t>B07CJ9NLVW</t>
  </si>
  <si>
    <t>YZ-SUZQ173-R0-XL</t>
  </si>
  <si>
    <t>B07CJ8246X</t>
  </si>
  <si>
    <t>YZ-SUZQ173-SB-2XL</t>
  </si>
  <si>
    <t>B07CJ9XRWF</t>
  </si>
  <si>
    <t>YZ-SUZQ173-SB-3XL</t>
  </si>
  <si>
    <t>B07CJYKKVS</t>
  </si>
  <si>
    <t>YZ-SUZQ173-SB-L</t>
  </si>
  <si>
    <t>B07CJCZQJD</t>
  </si>
  <si>
    <t>YZ-SUZQ173-SB-M</t>
  </si>
  <si>
    <t>B07CJ1Q3FM</t>
  </si>
  <si>
    <t>YZ-SUZQ173-SB-S</t>
  </si>
  <si>
    <t>B07CJ389VG</t>
  </si>
  <si>
    <t>YZ-SUZQ173-SB-XL</t>
  </si>
  <si>
    <t>B07CJ7X284</t>
  </si>
  <si>
    <t>YZ-SUZQ187-K0-2X</t>
  </si>
  <si>
    <t>B07CH3G195</t>
  </si>
  <si>
    <t>YZ-SUZQ187</t>
  </si>
  <si>
    <t>YZ-SUZQ187-K0-3X</t>
  </si>
  <si>
    <t>B07CH7K683</t>
  </si>
  <si>
    <t>YZ-SUZQ187-K0-4X</t>
  </si>
  <si>
    <t>B07CH72K5P</t>
  </si>
  <si>
    <t>YZ-SUZQ187-K0-5X</t>
  </si>
  <si>
    <t>B07CHFZ9KK</t>
  </si>
  <si>
    <t>YZ-SUZQ187-K0-L</t>
  </si>
  <si>
    <t>B07CJPP2HT</t>
  </si>
  <si>
    <t>YZ-SUZQ187-K0-M</t>
  </si>
  <si>
    <t>B07CJWY9N9</t>
  </si>
  <si>
    <t>YZ-SUZQ187-K0-S</t>
  </si>
  <si>
    <t>B07CH3G196</t>
  </si>
  <si>
    <t>YZ-SUZQ187-K0-XL</t>
  </si>
  <si>
    <t>B07CH91KDL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</si>
  <si>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</si>
  <si>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</si>
  <si>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</si>
  <si>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</si>
  <si>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</si>
  <si>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</si>
  <si>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</si>
  <si>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</si>
  <si>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</si>
  <si>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</si>
  <si>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</si>
  <si>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</si>
  <si>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</si>
  <si>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</si>
  <si>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</si>
  <si>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</si>
  <si>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</si>
  <si>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</si>
  <si>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</si>
  <si>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</si>
  <si>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</si>
  <si>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</si>
  <si>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</si>
  <si>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</si>
  <si>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</si>
  <si>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</si>
  <si>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YZ-SUZQ598-R0-5XL</t>
  </si>
  <si>
    <t>B07BMT1VTS</t>
  </si>
  <si>
    <t>YZ-SUZQ598-R0-L</t>
  </si>
  <si>
    <t>B07BMQKB6S</t>
  </si>
  <si>
    <t>YZ-SUZQ598-R0-XL</t>
  </si>
  <si>
    <t>B07BMPP7H3</t>
  </si>
  <si>
    <t>YZ-SUZQ733-K0-2XL</t>
  </si>
  <si>
    <t>B07CHBVGJK</t>
  </si>
  <si>
    <t>YZ-SUZQ733</t>
  </si>
  <si>
    <t>YZ-SUZQ733-K0-3XL</t>
  </si>
  <si>
    <t>B07CJQYFH5</t>
  </si>
  <si>
    <t>YZ-SUZQ733-K0-L</t>
  </si>
  <si>
    <t>B07CHHGQGL</t>
  </si>
  <si>
    <t>YZ-SUZQ733-K0-M</t>
  </si>
  <si>
    <t>B07CHFKQRL</t>
  </si>
  <si>
    <t>YZ-SUZQ733-K0-S</t>
  </si>
  <si>
    <t>B07CH9955Q</t>
  </si>
  <si>
    <t>YZ-SUZQ733-K0-XL</t>
  </si>
  <si>
    <t>B07CHFZBFJ</t>
  </si>
  <si>
    <t>YZ-SUZQ733-NB-2XL</t>
  </si>
  <si>
    <t>B07CHH1ZF7</t>
  </si>
  <si>
    <t>YZ-SUZQ733-NB-3XL</t>
  </si>
  <si>
    <t>B07CHG6ZJL</t>
  </si>
  <si>
    <t>YZ-SUZQ733-NB-L</t>
  </si>
  <si>
    <t>B07CJRBMM7</t>
  </si>
  <si>
    <t>YZ-SUZQ733-NB-M</t>
  </si>
  <si>
    <t>B07CHH8T9K</t>
  </si>
  <si>
    <t>YZ-SUZQ733-NB-S</t>
  </si>
  <si>
    <t>B07CHFWQ3Z</t>
  </si>
  <si>
    <t>YZ-SUZQ733-NB-XL</t>
  </si>
  <si>
    <t>B07CHCMWRN</t>
  </si>
  <si>
    <t>YZ-SUZQ733-R0-2XL</t>
  </si>
  <si>
    <t>B07CHD9PBZ</t>
  </si>
  <si>
    <t>YZ-SUZQ733-R0-3XL</t>
  </si>
  <si>
    <t>B07CHCB27B</t>
  </si>
  <si>
    <t>YZ-SUZQ733-R0-L</t>
  </si>
  <si>
    <t>B07CHLJ63K</t>
  </si>
  <si>
    <t>YZ-SUZQ733-R0-M</t>
  </si>
  <si>
    <t>B07CHGDCPY</t>
  </si>
  <si>
    <t>YZ-SUZQ733-R0-S</t>
  </si>
  <si>
    <t>B07CHGT6L1</t>
  </si>
  <si>
    <t>YZ-SUZQ733-R0-XL</t>
  </si>
  <si>
    <t>B07CHGQNH4</t>
  </si>
  <si>
    <t>YZ-SUZQ733-SB-2XL</t>
  </si>
  <si>
    <t>B07CHC4M19</t>
  </si>
  <si>
    <t>YZ-SUZQ733-SB-3XL</t>
  </si>
  <si>
    <t>B07CHF7MPT</t>
  </si>
  <si>
    <t>YZ-SUZQ733-SB-L</t>
  </si>
  <si>
    <t>B07CHGT6L6</t>
  </si>
  <si>
    <t>YZ-SUZQ733-SB-M</t>
  </si>
  <si>
    <t>B07CHJVSW9</t>
  </si>
  <si>
    <t>YZ-SUZQ733-SB-S</t>
  </si>
  <si>
    <t>B07CHJFW78</t>
  </si>
  <si>
    <t>YZ-SUZQ733-SB-XL</t>
  </si>
  <si>
    <t>B07CHDYG1P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</si>
  <si>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</si>
  <si>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</si>
  <si>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</si>
  <si>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</si>
  <si>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</si>
  <si>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</si>
  <si>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</si>
  <si>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</si>
  <si>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</si>
  <si>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</si>
  <si>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</si>
  <si>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YZ-SUZQ9441-K0-XL</t>
  </si>
  <si>
    <t>B07B8JNKXH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</si>
  <si>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</si>
  <si>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</si>
  <si>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</si>
  <si>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</si>
  <si>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</si>
  <si>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</si>
  <si>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</si>
  <si>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</si>
  <si>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</si>
  <si>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</si>
  <si>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</si>
  <si>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</si>
  <si>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</si>
  <si>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</si>
  <si>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</si>
  <si>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</si>
  <si>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</si>
  <si>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</si>
  <si>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</si>
  <si>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</si>
  <si>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</si>
  <si>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</si>
  <si>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</si>
  <si>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</si>
  <si>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</si>
  <si>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</si>
  <si>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</si>
  <si>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</si>
  <si>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</si>
  <si>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</si>
  <si>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</si>
  <si>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</si>
  <si>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</si>
  <si>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</si>
  <si>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</si>
  <si>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</si>
  <si>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</si>
  <si>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YZ-WHZ766-R0-L</t>
  </si>
  <si>
    <t>B07315KZWG</t>
  </si>
  <si>
    <t>YZ-WHZ766</t>
  </si>
  <si>
    <t>YZ-WHZ766-R0-XL</t>
  </si>
  <si>
    <t>B07316FMFN</t>
  </si>
  <si>
    <t>YZ-ZQ-18745K0-S</t>
  </si>
  <si>
    <t>B072C5MHBZ</t>
  </si>
  <si>
    <t>YZ-ZQ-18745</t>
  </si>
  <si>
    <t>YZ-ZQ0707-G0-XL</t>
  </si>
  <si>
    <t>B072XGWC9X</t>
  </si>
  <si>
    <t>YZ-ZQ0707</t>
  </si>
  <si>
    <t>YZ-ZQ0707-ORTW-XL</t>
  </si>
  <si>
    <t>B072XHG5TP</t>
  </si>
  <si>
    <t>YZ-ZQ0707-PITW-M</t>
  </si>
  <si>
    <t>B072XGTQGD</t>
  </si>
  <si>
    <t>YZ-ZQ0707-PITW-XL</t>
  </si>
  <si>
    <t>B072XHF543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</si>
  <si>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</si>
  <si>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</si>
  <si>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</si>
  <si>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</si>
  <si>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</si>
  <si>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</si>
  <si>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</si>
  <si>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</si>
  <si>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</si>
  <si>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</si>
  <si>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</si>
  <si>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</si>
  <si>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</si>
  <si>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</si>
  <si>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</si>
  <si>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</si>
  <si>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</si>
  <si>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</si>
  <si>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</si>
  <si>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YZ-ZQ14578-K0-3X</t>
  </si>
  <si>
    <t>B072JVZFVF</t>
  </si>
  <si>
    <t>YZ-ZQ14578</t>
  </si>
  <si>
    <t>YZ-ZQ14976-Y0-3X</t>
  </si>
  <si>
    <t>B071CF5CXC</t>
  </si>
  <si>
    <t>YZ-ZQ14976</t>
  </si>
  <si>
    <t>YZ-ZQ1519-K0-2X</t>
  </si>
  <si>
    <t>B071GQZ7YX</t>
  </si>
  <si>
    <t>YZ-ZQ1519</t>
  </si>
  <si>
    <t>YZ-ZQ1519-K0-3X</t>
  </si>
  <si>
    <t>B072N5BZ1C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</si>
  <si>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</si>
  <si>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</si>
  <si>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</si>
  <si>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</si>
  <si>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</si>
  <si>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</si>
  <si>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</si>
  <si>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</si>
  <si>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</si>
  <si>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</si>
  <si>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</si>
  <si>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</si>
  <si>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</si>
  <si>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</si>
  <si>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</si>
  <si>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</si>
  <si>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</si>
  <si>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</si>
  <si>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</si>
  <si>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</si>
  <si>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</si>
  <si>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</si>
  <si>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</si>
  <si>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</si>
  <si>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</si>
  <si>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</si>
  <si>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</si>
  <si>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</si>
  <si>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</si>
  <si>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</si>
  <si>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</si>
  <si>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</si>
  <si>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</si>
  <si>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</si>
  <si>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</si>
  <si>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</si>
  <si>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</si>
  <si>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</si>
  <si>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</si>
  <si>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</si>
  <si>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</si>
  <si>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</si>
  <si>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</si>
  <si>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</si>
  <si>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</si>
  <si>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</si>
  <si>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</si>
  <si>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</si>
  <si>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</si>
  <si>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</si>
  <si>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</si>
  <si>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</si>
  <si>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</si>
  <si>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</si>
  <si>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</si>
  <si>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</si>
  <si>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</si>
  <si>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</si>
  <si>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</si>
  <si>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</si>
  <si>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</si>
  <si>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</si>
  <si>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</si>
  <si>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</si>
  <si>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</si>
  <si>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</si>
  <si>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</si>
  <si>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</si>
  <si>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</si>
  <si>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</si>
  <si>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</si>
  <si>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</si>
  <si>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</si>
  <si>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</si>
  <si>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</si>
  <si>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</si>
  <si>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</si>
  <si>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</si>
  <si>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</si>
  <si>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</si>
  <si>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</si>
  <si>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</si>
  <si>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</si>
  <si>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</si>
  <si>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</si>
  <si>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</si>
  <si>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</si>
  <si>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</si>
  <si>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</si>
  <si>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</si>
  <si>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</si>
  <si>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</si>
  <si>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</si>
  <si>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</si>
  <si>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</si>
  <si>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</si>
  <si>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</si>
  <si>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</si>
  <si>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</si>
  <si>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</si>
  <si>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</si>
  <si>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</si>
  <si>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</si>
  <si>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</si>
  <si>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</si>
  <si>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</si>
  <si>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</si>
  <si>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</si>
  <si>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</si>
  <si>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</si>
  <si>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</si>
  <si>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</si>
  <si>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</si>
  <si>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</si>
  <si>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</si>
  <si>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</si>
  <si>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YZ-ZQ15827BS2XL</t>
  </si>
  <si>
    <t>B01N7QCQ1E</t>
  </si>
  <si>
    <t>YZ-ZQ15827BS3XL</t>
  </si>
  <si>
    <t>B01N7QD931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</si>
  <si>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</si>
  <si>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</si>
  <si>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</si>
  <si>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</si>
  <si>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</si>
  <si>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</si>
  <si>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</si>
  <si>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</si>
  <si>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</si>
  <si>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</si>
  <si>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YZ-ZQ15827BSXL</t>
  </si>
  <si>
    <t>B01N0Z0LFC</t>
  </si>
  <si>
    <t>YZ-ZQ15827R22XL</t>
  </si>
  <si>
    <t>B01ID5EIO2</t>
  </si>
  <si>
    <t>YZ-ZQ15827R23XL</t>
  </si>
  <si>
    <t>B01ID5EK2C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</si>
  <si>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</si>
  <si>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</si>
  <si>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</si>
  <si>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</si>
  <si>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</si>
  <si>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</si>
  <si>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</si>
  <si>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</si>
  <si>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</si>
  <si>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</si>
  <si>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</si>
  <si>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</si>
  <si>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</si>
  <si>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</si>
  <si>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YZ-ZQ15827W03XL</t>
  </si>
  <si>
    <t>B01ID5ECQ6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</si>
  <si>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</si>
  <si>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</si>
  <si>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</si>
  <si>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</si>
  <si>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</si>
  <si>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</si>
  <si>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</si>
  <si>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</si>
  <si>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</si>
  <si>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</si>
  <si>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</si>
  <si>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</si>
  <si>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YZ-ZQ15905-K0-2X</t>
  </si>
  <si>
    <t>B06ZZ5TKNQ</t>
  </si>
  <si>
    <t>YZ-ZQ15905</t>
  </si>
  <si>
    <t>YZ-ZQ15905-K0-4X</t>
  </si>
  <si>
    <t>B06Y62MZM6</t>
  </si>
  <si>
    <t>YZ-ZQ15905-K0-5X</t>
  </si>
  <si>
    <t>B071CDFSFR</t>
  </si>
  <si>
    <t>YZ-ZQ15905-K0-L</t>
  </si>
  <si>
    <t>B071CDC3YZ</t>
  </si>
  <si>
    <t>YZ-ZQ15905-K0-M</t>
  </si>
  <si>
    <t>B071CDDRHX</t>
  </si>
  <si>
    <t>YZ-ZQ15905-K0-S</t>
  </si>
  <si>
    <t>B06ZYW3BC1</t>
  </si>
  <si>
    <t>YZ-ZQ15905-K0-XL</t>
  </si>
  <si>
    <t>B06Y6NFQS5</t>
  </si>
  <si>
    <t>YZ-ZQ15905-W0-2X</t>
  </si>
  <si>
    <t>B06ZZG49ZW</t>
  </si>
  <si>
    <t>YZ-ZQ15905-W0-3X</t>
  </si>
  <si>
    <t>B06Y66Z7N5</t>
  </si>
  <si>
    <t>YZ-ZQ15905-W0-4X</t>
  </si>
  <si>
    <t>B06ZZG6KGY</t>
  </si>
  <si>
    <t>YZ-ZQ15905-W0-5X</t>
  </si>
  <si>
    <t>B06Y6L14GL</t>
  </si>
  <si>
    <t>YZ-ZQ15905-W0-S</t>
  </si>
  <si>
    <t>B06ZZG68SC</t>
  </si>
  <si>
    <t>YZ-ZQ15919-B0-4X</t>
  </si>
  <si>
    <t>B07193YJ6Z</t>
  </si>
  <si>
    <t>YZ-ZQ15919-B0-5X</t>
  </si>
  <si>
    <t>B0716JJZFV</t>
  </si>
  <si>
    <t>YZ-ZQ15919-B0-S</t>
  </si>
  <si>
    <t>B072F2NPVP</t>
  </si>
  <si>
    <t>YZ-ZQ15921-B0-2X</t>
  </si>
  <si>
    <t>B071D5BVVF</t>
  </si>
  <si>
    <t>YZ-ZQ15921</t>
  </si>
  <si>
    <t>YZ-ZQ15921-B0-3X</t>
  </si>
  <si>
    <t>B071CL9WTT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</si>
  <si>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</si>
  <si>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</si>
  <si>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</si>
  <si>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</si>
  <si>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</si>
  <si>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</si>
  <si>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</si>
  <si>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</si>
  <si>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YZ-ZQ15921-P0-3X</t>
  </si>
  <si>
    <t>B071D5C3V9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</si>
  <si>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</si>
  <si>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</si>
  <si>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</si>
  <si>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</si>
  <si>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</si>
  <si>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</si>
  <si>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</si>
  <si>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</si>
  <si>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YZ-ZQ15921-R0-XL</t>
  </si>
  <si>
    <t>B071CLB473</t>
  </si>
  <si>
    <t>YZ-ZQ16103R0L</t>
  </si>
  <si>
    <t>B01IQP5CUS</t>
  </si>
  <si>
    <t>YZ-ZQ16103</t>
  </si>
  <si>
    <t>YZ-ZQ16103ZL2XL</t>
  </si>
  <si>
    <t>B01IQP4X8A</t>
  </si>
  <si>
    <t>YZ-ZQ16103ZL3XL</t>
  </si>
  <si>
    <t>B01IQP4Y6Q</t>
  </si>
  <si>
    <t>YZ-ZQ16103ZLL</t>
  </si>
  <si>
    <t>B01IQP4W5Y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</si>
  <si>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</si>
  <si>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</si>
  <si>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</si>
  <si>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</si>
  <si>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</si>
  <si>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</si>
  <si>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</si>
  <si>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</si>
  <si>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</si>
  <si>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YZ-ZQ1617-KH-4XL</t>
  </si>
  <si>
    <t>B01NAPZ2X1</t>
  </si>
  <si>
    <t>YZ-ZQ1617-KH-M</t>
  </si>
  <si>
    <t>B01NBRG6IY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</si>
  <si>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</si>
  <si>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</si>
  <si>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</si>
  <si>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</si>
  <si>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</si>
  <si>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</si>
  <si>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</si>
  <si>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</si>
  <si>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</si>
  <si>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</si>
  <si>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YZ-ZQ1617ZLL</t>
  </si>
  <si>
    <t>B01EJI50HG</t>
  </si>
  <si>
    <t>YZ-ZQ1617ZLXL</t>
  </si>
  <si>
    <t>B01EJI51MK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</si>
  <si>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</si>
  <si>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</si>
  <si>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</si>
  <si>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</si>
  <si>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</si>
  <si>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</si>
  <si>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</si>
  <si>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</si>
  <si>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</si>
  <si>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</si>
  <si>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</si>
  <si>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</si>
  <si>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</si>
  <si>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YZ-ZQ16598R02XL</t>
  </si>
  <si>
    <t>B01IMZ2SWC</t>
  </si>
  <si>
    <t>YZ-ZQ16598</t>
  </si>
  <si>
    <t>YZ-ZQ16598R03XL</t>
  </si>
  <si>
    <t>B01IMZ2R4G</t>
  </si>
  <si>
    <t>YZ-ZQ16598R05XL</t>
  </si>
  <si>
    <t>B01IMZ2TJO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</si>
  <si>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</si>
  <si>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</si>
  <si>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</si>
  <si>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</si>
  <si>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</si>
  <si>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</si>
  <si>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</si>
  <si>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</si>
  <si>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</si>
  <si>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</si>
  <si>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</si>
  <si>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</si>
  <si>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</si>
  <si>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</si>
  <si>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</si>
  <si>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</si>
  <si>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</si>
  <si>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</si>
  <si>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YZ-ZQ1732-R0-S</t>
  </si>
  <si>
    <t>YZ-ZQ1732-R0-XL</t>
  </si>
  <si>
    <t>B01MQGNHWU</t>
  </si>
  <si>
    <t>YZ-ZQ1733-K0-2XL</t>
  </si>
  <si>
    <t>B07226XSQF</t>
  </si>
  <si>
    <t>YZ-ZQ1733</t>
  </si>
  <si>
    <t>YZ-ZQ1733-K0-XL</t>
  </si>
  <si>
    <t>B071R2J8ZP</t>
  </si>
  <si>
    <t>YZ-ZQ1733-NB-2XL</t>
  </si>
  <si>
    <t>B06ZZBQM3B</t>
  </si>
  <si>
    <t>YZ-ZQ1733-NB-3XL</t>
  </si>
  <si>
    <t>B071DDXBNN</t>
  </si>
  <si>
    <t>YZ-ZQ1733-NB-S</t>
  </si>
  <si>
    <t>B071R2JBPG</t>
  </si>
  <si>
    <t>YZ-ZQ1733-NB-XL</t>
  </si>
  <si>
    <t>B06ZYRBYHV</t>
  </si>
  <si>
    <t>YZ-ZQ1733-R0-3XL</t>
  </si>
  <si>
    <t>B071DDXDDY</t>
  </si>
  <si>
    <t>YZ-ZQ1733-R0-L</t>
  </si>
  <si>
    <t>B071YD4GRF</t>
  </si>
  <si>
    <t>YZ-ZQ1733-R0-S</t>
  </si>
  <si>
    <t>B06ZZM9ZP1</t>
  </si>
  <si>
    <t>YZ-ZQ1733-R0-XL</t>
  </si>
  <si>
    <t>B071CTW8CQ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</si>
  <si>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</si>
  <si>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</si>
  <si>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</si>
  <si>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</si>
  <si>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</si>
  <si>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</si>
  <si>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</si>
  <si>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</si>
  <si>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YZ-ZQ17845-K0-2X</t>
  </si>
  <si>
    <t>B072KKH8WZ</t>
  </si>
  <si>
    <t>YZ-ZQ17845</t>
  </si>
  <si>
    <t>YZ-ZQ17845-K0-3X</t>
  </si>
  <si>
    <t>B071GQY56N</t>
  </si>
  <si>
    <t>YZ-ZQ17845-K0-4X</t>
  </si>
  <si>
    <t>B071KBYLSC</t>
  </si>
  <si>
    <t>YZ-ZQ17845-K0-L</t>
  </si>
  <si>
    <t>B071X91S9F</t>
  </si>
  <si>
    <t>YZ-ZQ17845-K0-XL</t>
  </si>
  <si>
    <t>B071KBYSLV</t>
  </si>
  <si>
    <t>YZ-ZQ17958P0-4XL</t>
  </si>
  <si>
    <t>B01M7P7585</t>
  </si>
  <si>
    <t>YZ-ZQ17958</t>
  </si>
  <si>
    <t>YZ-ZQ17958P0-5XL</t>
  </si>
  <si>
    <t>B01M7P6REV</t>
  </si>
  <si>
    <t>YZ-ZQ17958P0-S</t>
  </si>
  <si>
    <t>B01M6WIQ5S</t>
  </si>
  <si>
    <t>YZ-ZQ17984-R0-2X</t>
  </si>
  <si>
    <t>B06Y6CWDF6</t>
  </si>
  <si>
    <t>YZ-ZQ17984</t>
  </si>
  <si>
    <t>YZ-ZQ17984-R0-XL</t>
  </si>
  <si>
    <t>B06ZY1J8H4</t>
  </si>
  <si>
    <t>YZ-ZQ17985-P0-3X</t>
  </si>
  <si>
    <t>B071XXTJKJ</t>
  </si>
  <si>
    <t>YZ-ZQ17985</t>
  </si>
  <si>
    <t>YZ-ZQ17985-P0-4X</t>
  </si>
  <si>
    <t>B071XYKR1F</t>
  </si>
  <si>
    <t>YZ-ZQ17985-P0-5X</t>
  </si>
  <si>
    <t>B06ZYX6MBT</t>
  </si>
  <si>
    <t>YZ-ZQ17986W0-2XL</t>
  </si>
  <si>
    <t>B01M2WVR0W</t>
  </si>
  <si>
    <t>YZ-ZQ17986</t>
  </si>
  <si>
    <t>YZ-ZQ17986W0-5XL</t>
  </si>
  <si>
    <t>B01M3PLOQL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</si>
  <si>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</si>
  <si>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</si>
  <si>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</si>
  <si>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</si>
  <si>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</si>
  <si>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</si>
  <si>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</si>
  <si>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</si>
  <si>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YZ-ZQ18758-K0-2X</t>
  </si>
  <si>
    <t>B071CPSVZQ</t>
  </si>
  <si>
    <t>YZ-ZQ18758</t>
  </si>
  <si>
    <t>YZ-ZQ18758-K0-M</t>
  </si>
  <si>
    <t>B071QXGL9W</t>
  </si>
  <si>
    <t>YZ-ZQ18758-K0-XL</t>
  </si>
  <si>
    <t>B071XNKXKR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</si>
  <si>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</si>
  <si>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</si>
  <si>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</si>
  <si>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</si>
  <si>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</si>
  <si>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</si>
  <si>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</si>
  <si>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</si>
  <si>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</si>
  <si>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</si>
  <si>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</si>
  <si>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</si>
  <si>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</si>
  <si>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</si>
  <si>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</si>
  <si>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</si>
  <si>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</si>
  <si>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</si>
  <si>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</si>
  <si>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</si>
  <si>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</si>
  <si>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</si>
  <si>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</si>
  <si>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</si>
  <si>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</si>
  <si>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</si>
  <si>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</si>
  <si>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</si>
  <si>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</si>
  <si>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</si>
  <si>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</si>
  <si>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</si>
  <si>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</si>
  <si>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</si>
  <si>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</si>
  <si>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</si>
  <si>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</si>
  <si>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YZ-ZQ47121-K0-S</t>
  </si>
  <si>
    <t>B01N02KCLW</t>
  </si>
  <si>
    <t>YZ-ZQ565-R0-S</t>
  </si>
  <si>
    <t>B07213TXLD</t>
  </si>
  <si>
    <t>YZ-ZQ565</t>
  </si>
  <si>
    <t>YZ-ZQ565-R0-XL</t>
  </si>
  <si>
    <t>B071JRJQWZ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</si>
  <si>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</si>
  <si>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</si>
  <si>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</si>
  <si>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</si>
  <si>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</si>
  <si>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</si>
  <si>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</si>
  <si>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</si>
  <si>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</si>
  <si>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</si>
  <si>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</si>
  <si>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</si>
  <si>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</si>
  <si>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</si>
  <si>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</si>
  <si>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</si>
  <si>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</si>
  <si>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</si>
  <si>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</si>
  <si>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</si>
  <si>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</si>
  <si>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</si>
  <si>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</si>
  <si>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</si>
  <si>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</si>
  <si>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</si>
  <si>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</si>
  <si>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</si>
  <si>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</si>
  <si>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</si>
  <si>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</si>
  <si>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</si>
  <si>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</si>
  <si>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</si>
  <si>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</si>
  <si>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</si>
  <si>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</si>
  <si>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</si>
  <si>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</si>
  <si>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</si>
  <si>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</si>
  <si>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</si>
  <si>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</si>
  <si>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YZ-ZQ6667G048</t>
  </si>
  <si>
    <t>B01GFMMJ3W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</si>
  <si>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</si>
  <si>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</si>
  <si>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</si>
  <si>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</si>
  <si>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</si>
  <si>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</si>
  <si>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</si>
  <si>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</si>
  <si>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</si>
  <si>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</si>
  <si>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</si>
  <si>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</si>
  <si>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</si>
  <si>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</si>
  <si>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YZ-ZQ6667ZL48</t>
  </si>
  <si>
    <t>B01GFMMGZS</t>
  </si>
  <si>
    <t>YZ-ZQ6667ZL50</t>
  </si>
  <si>
    <t>B01GFMMHUM</t>
  </si>
  <si>
    <t>YZ-ZQ6667ZL54</t>
  </si>
  <si>
    <t>B01GFMMJ9G</t>
  </si>
  <si>
    <t>YZ-ZQ7777B016</t>
  </si>
  <si>
    <t>B01MV4A279</t>
  </si>
  <si>
    <t>YZ-ZQ7777</t>
  </si>
  <si>
    <t>YZ-ZQ7777B018</t>
  </si>
  <si>
    <t>B01MV36PGF</t>
  </si>
  <si>
    <t>YZ-ZQ7777B020</t>
  </si>
  <si>
    <t>B01N4WV17D</t>
  </si>
  <si>
    <t>YZ-ZQ7777R012</t>
  </si>
  <si>
    <t>B01N2BADBU</t>
  </si>
  <si>
    <t>YZ-ZQ7777R014</t>
  </si>
  <si>
    <t>B01MZIOFYK</t>
  </si>
  <si>
    <t>YZ-ZQ7777R016</t>
  </si>
  <si>
    <t>B01N19VXLX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</si>
  <si>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</si>
  <si>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</si>
  <si>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</si>
  <si>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</si>
  <si>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</si>
  <si>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</si>
  <si>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</si>
  <si>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</si>
  <si>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</si>
  <si>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</si>
  <si>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</si>
  <si>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</si>
  <si>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</si>
  <si>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</si>
  <si>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</si>
  <si>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</si>
  <si>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</si>
  <si>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</si>
  <si>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</si>
  <si>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</si>
  <si>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</si>
  <si>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</si>
  <si>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</si>
  <si>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</si>
  <si>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</si>
  <si>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</si>
  <si>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</si>
  <si>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</si>
  <si>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</si>
  <si>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</si>
  <si>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</si>
  <si>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</si>
  <si>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</si>
  <si>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</si>
  <si>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</si>
  <si>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</si>
  <si>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</si>
  <si>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</si>
  <si>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</si>
  <si>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</si>
  <si>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</si>
  <si>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</si>
  <si>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</si>
  <si>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</si>
  <si>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</si>
  <si>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</si>
  <si>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</si>
  <si>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</si>
  <si>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</si>
  <si>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</si>
  <si>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</si>
  <si>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</si>
  <si>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</si>
  <si>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</si>
  <si>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</si>
  <si>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</si>
  <si>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</si>
  <si>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</si>
  <si>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</si>
  <si>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</si>
  <si>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</si>
  <si>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</si>
  <si>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</si>
  <si>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</si>
  <si>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</si>
  <si>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</si>
  <si>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</si>
  <si>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</si>
  <si>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</si>
  <si>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</si>
  <si>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</si>
  <si>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</si>
  <si>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</si>
  <si>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</si>
  <si>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</si>
  <si>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</si>
  <si>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</si>
  <si>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</si>
  <si>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</si>
  <si>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</si>
  <si>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</si>
  <si>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</si>
  <si>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</si>
  <si>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</si>
  <si>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</si>
  <si>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</si>
  <si>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</si>
  <si>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</si>
  <si>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</si>
  <si>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</si>
  <si>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</si>
  <si>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</si>
  <si>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</si>
  <si>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</si>
  <si>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</si>
  <si>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</si>
  <si>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</si>
  <si>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</si>
  <si>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</si>
  <si>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</si>
  <si>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</si>
  <si>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</si>
  <si>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</si>
  <si>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</si>
  <si>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</si>
  <si>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</si>
  <si>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</si>
  <si>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</si>
  <si>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</si>
  <si>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YZ-ZQHL02-G0-XL</t>
  </si>
  <si>
    <t>B074C6Y974</t>
  </si>
  <si>
    <t>YZ-ZQLS062-K0-2XL</t>
  </si>
  <si>
    <t>B01M6ZE12A</t>
  </si>
  <si>
    <t>YZ-ZQLS062</t>
  </si>
  <si>
    <t>YZ-ZQLS062-K0-3XL</t>
  </si>
  <si>
    <t>B01MDOWAY0</t>
  </si>
  <si>
    <t>YZ-ZQLS062-K0-M</t>
  </si>
  <si>
    <t>B01M66LNMA</t>
  </si>
  <si>
    <t>YZ-ZQLS062-K0-S</t>
  </si>
  <si>
    <t>B01MAZ6J54</t>
  </si>
  <si>
    <t>YZ-ZQLS062-K0-XL</t>
  </si>
  <si>
    <t>B01M9DKD73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</si>
  <si>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</si>
  <si>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</si>
  <si>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</si>
  <si>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</si>
  <si>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</si>
  <si>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</si>
  <si>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</si>
  <si>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</si>
  <si>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</si>
  <si>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</si>
  <si>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</si>
  <si>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</si>
  <si>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</si>
  <si>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</si>
  <si>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</si>
  <si>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YZ-ZQMS02-K0-L</t>
  </si>
  <si>
    <t>B071S378VC</t>
  </si>
  <si>
    <t>YZ-ZQMS02</t>
  </si>
  <si>
    <t>YZ-ZQMS02-K0-M</t>
  </si>
  <si>
    <t>B0722Z56WB</t>
  </si>
  <si>
    <t>YZ-ZQOM388-K0-2XL</t>
  </si>
  <si>
    <t>B0744JDRD1</t>
  </si>
  <si>
    <t>YZ-ZQOM388</t>
  </si>
  <si>
    <t>YZ-ZQOM388-K0-M</t>
  </si>
  <si>
    <t>B0744J8ZXB</t>
  </si>
  <si>
    <t>YZ-ZQOM388-K0-S</t>
  </si>
  <si>
    <t>B0744JF7G3</t>
  </si>
  <si>
    <t>YZ-ZQOM388-K0-XL</t>
  </si>
  <si>
    <t>B0744HVPCV</t>
  </si>
  <si>
    <t>YZ-ZQOM388-W0-2XL</t>
  </si>
  <si>
    <t>B0744HT59V</t>
  </si>
  <si>
    <t>YZ-ZQOM388-W0-L</t>
  </si>
  <si>
    <t>B0744HLBYM</t>
  </si>
  <si>
    <t>YZ-ZQOM388-W0-M</t>
  </si>
  <si>
    <t>B0744JTZNM</t>
  </si>
  <si>
    <t>YZ-ZQOM388-W0-S</t>
  </si>
  <si>
    <t>B0744HRKXC</t>
  </si>
  <si>
    <t>YZ-ZQOM388-W0-XL</t>
  </si>
  <si>
    <t>B0744HC665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</si>
  <si>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</si>
  <si>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</si>
  <si>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</si>
  <si>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</si>
  <si>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</si>
  <si>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</si>
  <si>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</si>
  <si>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</si>
  <si>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</si>
  <si>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</si>
  <si>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</si>
  <si>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</si>
  <si>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</si>
  <si>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</si>
  <si>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</si>
  <si>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</si>
  <si>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</si>
  <si>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</si>
  <si>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</si>
  <si>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</si>
  <si>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</si>
  <si>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</si>
  <si>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</si>
  <si>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</si>
  <si>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</si>
  <si>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</si>
  <si>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</si>
  <si>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</si>
  <si>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</si>
  <si>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</si>
  <si>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</si>
  <si>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</si>
  <si>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</si>
  <si>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</si>
  <si>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</si>
  <si>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</si>
  <si>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</si>
  <si>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</si>
  <si>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</si>
  <si>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</si>
  <si>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</si>
  <si>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</si>
  <si>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</si>
  <si>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</si>
  <si>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</si>
  <si>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</si>
  <si>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</si>
  <si>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</si>
  <si>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YZ-ZQTWA1-K0-2X</t>
  </si>
  <si>
    <t>B0727W6Q2W</t>
  </si>
  <si>
    <t>YZ-ZQTWA1</t>
  </si>
  <si>
    <t>YZ-ZQTWA1-K0-3X</t>
  </si>
  <si>
    <t>B0713XLRV4</t>
  </si>
  <si>
    <t>YZ-ZQTWA1-K0-4X</t>
  </si>
  <si>
    <t>B0711BYGBJ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</si>
  <si>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</si>
  <si>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</si>
  <si>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</si>
  <si>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</si>
  <si>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</si>
  <si>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</si>
  <si>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</si>
  <si>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</si>
  <si>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</si>
  <si>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</si>
  <si>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</si>
  <si>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</si>
  <si>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</si>
  <si>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</si>
  <si>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</si>
  <si>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</si>
  <si>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</si>
  <si>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</si>
  <si>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</si>
  <si>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</si>
  <si>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</si>
  <si>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</si>
  <si>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</si>
  <si>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</si>
  <si>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</si>
  <si>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</si>
  <si>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</si>
  <si>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</si>
  <si>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</si>
  <si>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YZ-HM1757-K0-S-GM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</si>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</sst>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1" fillId="11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9" borderId="6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24" fillId="30" borderId="8" applyNumberFormat="0" applyAlignment="0" applyProtection="0">
      <alignment vertical="center"/>
    </xf>
    <xf numFmtId="0" fontId="22" fillId="30" borderId="3" applyNumberFormat="0" applyAlignment="0" applyProtection="0">
      <alignment vertical="center"/>
    </xf>
    <xf numFmtId="0" fontId="7" fillId="4" borderId="2" applyNumberFormat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448</v>
          </cell>
          <cell r="D2">
            <v>647</v>
          </cell>
          <cell r="E2">
            <v>581</v>
          </cell>
          <cell r="F2">
            <v>551</v>
          </cell>
        </row>
        <row r="3">
          <cell r="A3" t="str">
            <v>YZ-ZQBL03-K0-L</v>
          </cell>
          <cell r="B3" t="str">
            <v>YZ-ZQBL03</v>
          </cell>
          <cell r="C3">
            <v>4</v>
          </cell>
          <cell r="D3">
            <v>5</v>
          </cell>
          <cell r="E3">
            <v>8</v>
          </cell>
          <cell r="F3">
            <v>20</v>
          </cell>
        </row>
        <row r="4">
          <cell r="A4" t="str">
            <v>YZ-SUZQBL03-R2-XL</v>
          </cell>
          <cell r="B4" t="str">
            <v>YZ-SUZQBL03</v>
          </cell>
          <cell r="C4">
            <v>0</v>
          </cell>
          <cell r="D4">
            <v>3</v>
          </cell>
          <cell r="E4">
            <v>2</v>
          </cell>
          <cell r="F4">
            <v>3</v>
          </cell>
        </row>
        <row r="5">
          <cell r="A5" t="str">
            <v>YZ-ZQBL03-K0-M</v>
          </cell>
          <cell r="B5" t="str">
            <v>YZ-ZQBL03</v>
          </cell>
          <cell r="C5">
            <v>11</v>
          </cell>
          <cell r="D5">
            <v>20</v>
          </cell>
          <cell r="E5">
            <v>19</v>
          </cell>
          <cell r="F5">
            <v>26</v>
          </cell>
        </row>
        <row r="6">
          <cell r="A6" t="str">
            <v>YZ-SUZQ9441-K0-L</v>
          </cell>
          <cell r="B6" t="str">
            <v>YZ-SUZQ9441</v>
          </cell>
          <cell r="C6">
            <v>0</v>
          </cell>
          <cell r="D6">
            <v>0</v>
          </cell>
          <cell r="E6">
            <v>0</v>
          </cell>
          <cell r="F6">
            <v>2</v>
          </cell>
        </row>
        <row r="7">
          <cell r="A7" t="str">
            <v>YZ-ZQQ9217-K0-4X</v>
          </cell>
          <cell r="B7" t="str">
            <v>YZ-ZQQ9217</v>
          </cell>
          <cell r="C7">
            <v>0</v>
          </cell>
          <cell r="D7">
            <v>0</v>
          </cell>
          <cell r="E7">
            <v>0</v>
          </cell>
          <cell r="F7">
            <v>3</v>
          </cell>
        </row>
        <row r="8">
          <cell r="A8" t="str">
            <v>YZ-ZQBL03-K0-XL</v>
          </cell>
          <cell r="B8" t="str">
            <v>YZ-ZQBL03</v>
          </cell>
          <cell r="C8">
            <v>3</v>
          </cell>
          <cell r="D8">
            <v>4</v>
          </cell>
          <cell r="E8">
            <v>2</v>
          </cell>
          <cell r="F8">
            <v>8</v>
          </cell>
        </row>
        <row r="9">
          <cell r="A9" t="str">
            <v>YZ-HM111-K0-XL</v>
          </cell>
          <cell r="B9" t="str">
            <v>YZ-HM111</v>
          </cell>
          <cell r="C9">
            <v>8</v>
          </cell>
          <cell r="D9">
            <v>11</v>
          </cell>
          <cell r="E9">
            <v>10</v>
          </cell>
          <cell r="F9">
            <v>13</v>
          </cell>
        </row>
        <row r="10">
          <cell r="A10" t="str">
            <v>YZ-HM1727-Pi-S</v>
          </cell>
          <cell r="B10" t="str">
            <v>YZ-HM1727</v>
          </cell>
          <cell r="C10">
            <v>9</v>
          </cell>
          <cell r="D10">
            <v>15</v>
          </cell>
          <cell r="E10">
            <v>14</v>
          </cell>
          <cell r="F10">
            <v>15</v>
          </cell>
        </row>
        <row r="11">
          <cell r="A11" t="str">
            <v>LYQ-ZQ3550-E0-4X</v>
          </cell>
          <cell r="B11" t="str">
            <v>LYQ-ZQ3550</v>
          </cell>
          <cell r="C11">
            <v>1</v>
          </cell>
          <cell r="D11">
            <v>1</v>
          </cell>
          <cell r="E11">
            <v>5</v>
          </cell>
          <cell r="F11">
            <v>5</v>
          </cell>
        </row>
        <row r="12">
          <cell r="A12" t="str">
            <v>YZ-SUZQBL03-R2-M</v>
          </cell>
          <cell r="B12" t="str">
            <v>YZ-SUZQBL03</v>
          </cell>
          <cell r="C12">
            <v>0</v>
          </cell>
          <cell r="D12">
            <v>0</v>
          </cell>
          <cell r="E12">
            <v>2</v>
          </cell>
          <cell r="F12">
            <v>4</v>
          </cell>
        </row>
        <row r="13">
          <cell r="A13" t="str">
            <v>LYQ-CLBAH002-XL</v>
          </cell>
          <cell r="B13" t="str">
            <v>LYQ-CLBAH002</v>
          </cell>
          <cell r="C13">
            <v>0</v>
          </cell>
          <cell r="D13">
            <v>0</v>
          </cell>
          <cell r="E13">
            <v>1</v>
          </cell>
          <cell r="F13">
            <v>2</v>
          </cell>
        </row>
        <row r="14">
          <cell r="A14" t="str">
            <v>YZ-ZQQ9217-K0-3X</v>
          </cell>
          <cell r="B14" t="str">
            <v>YZ-ZQQ9217</v>
          </cell>
          <cell r="C14">
            <v>0</v>
          </cell>
          <cell r="D14">
            <v>0</v>
          </cell>
          <cell r="E14">
            <v>1</v>
          </cell>
          <cell r="F14">
            <v>1</v>
          </cell>
        </row>
        <row r="15">
          <cell r="A15" t="str">
            <v>LYQ-ZQ3550-E0-M</v>
          </cell>
          <cell r="B15" t="str">
            <v>LYQ-ZQ3550</v>
          </cell>
          <cell r="C15">
            <v>1</v>
          </cell>
          <cell r="D15">
            <v>1</v>
          </cell>
          <cell r="E15">
            <v>1</v>
          </cell>
          <cell r="F15">
            <v>2</v>
          </cell>
        </row>
        <row r="16">
          <cell r="A16" t="str">
            <v>YZ-HM1727-Pi-M</v>
          </cell>
          <cell r="B16" t="str">
            <v>YZ-HM1727</v>
          </cell>
          <cell r="C16">
            <v>21</v>
          </cell>
          <cell r="D16">
            <v>36</v>
          </cell>
          <cell r="E16">
            <v>36</v>
          </cell>
          <cell r="F16">
            <v>30</v>
          </cell>
        </row>
        <row r="17">
          <cell r="A17" t="str">
            <v>YZ-HM1728-ZL-XL</v>
          </cell>
          <cell r="B17" t="str">
            <v>YZ-HM1728</v>
          </cell>
          <cell r="C17">
            <v>5</v>
          </cell>
          <cell r="D17">
            <v>8</v>
          </cell>
          <cell r="E17">
            <v>0</v>
          </cell>
          <cell r="F17">
            <v>2</v>
          </cell>
        </row>
        <row r="18">
          <cell r="A18" t="str">
            <v>YZ-HMBKN17015-OR-S</v>
          </cell>
          <cell r="B18" t="str">
            <v>YZ-HMBKN17015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YZ-ZQ1733-SB-2XL</v>
          </cell>
          <cell r="B19" t="str">
            <v>YZ-ZQ1733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</row>
        <row r="20">
          <cell r="A20" t="str">
            <v>YZ-HM1727-Pi-5XL</v>
          </cell>
          <cell r="B20" t="str">
            <v>YZ-HM1727</v>
          </cell>
          <cell r="C20">
            <v>0</v>
          </cell>
          <cell r="D20">
            <v>1</v>
          </cell>
          <cell r="E20">
            <v>1</v>
          </cell>
          <cell r="F20">
            <v>3</v>
          </cell>
        </row>
        <row r="21">
          <cell r="A21" t="str">
            <v>LYQ-ZQ3550-PI-3X</v>
          </cell>
          <cell r="B21" t="str">
            <v>LYQ-ZQ3550</v>
          </cell>
          <cell r="C21">
            <v>1</v>
          </cell>
          <cell r="D21">
            <v>2</v>
          </cell>
          <cell r="E21">
            <v>1</v>
          </cell>
          <cell r="F21">
            <v>6</v>
          </cell>
        </row>
        <row r="22">
          <cell r="A22" t="str">
            <v>YZ-HM1727-Pi-2XL</v>
          </cell>
          <cell r="B22" t="str">
            <v>YZ-HM1727</v>
          </cell>
          <cell r="C22">
            <v>17</v>
          </cell>
          <cell r="D22">
            <v>12</v>
          </cell>
          <cell r="E22">
            <v>24</v>
          </cell>
          <cell r="F22">
            <v>12</v>
          </cell>
        </row>
        <row r="23">
          <cell r="A23" t="str">
            <v>LYQ-ZQ3550-E0-XL</v>
          </cell>
          <cell r="B23" t="str">
            <v>LYQ-ZQ3550</v>
          </cell>
          <cell r="C23">
            <v>3</v>
          </cell>
          <cell r="D23">
            <v>4</v>
          </cell>
          <cell r="E23">
            <v>1</v>
          </cell>
          <cell r="F23">
            <v>5</v>
          </cell>
        </row>
        <row r="24">
          <cell r="A24" t="str">
            <v>YZ-HM1727-Pi-XL</v>
          </cell>
          <cell r="B24" t="str">
            <v>YZ-HM1727</v>
          </cell>
          <cell r="C24">
            <v>28</v>
          </cell>
          <cell r="D24">
            <v>42</v>
          </cell>
          <cell r="E24">
            <v>39</v>
          </cell>
          <cell r="F24">
            <v>33</v>
          </cell>
        </row>
        <row r="25">
          <cell r="A25" t="str">
            <v>YZ-HM1728-ZL-M</v>
          </cell>
          <cell r="B25" t="str">
            <v>YZ-HM1728</v>
          </cell>
          <cell r="C25">
            <v>4</v>
          </cell>
          <cell r="D25">
            <v>11</v>
          </cell>
          <cell r="E25">
            <v>9</v>
          </cell>
          <cell r="F25">
            <v>10</v>
          </cell>
        </row>
        <row r="26">
          <cell r="A26" t="str">
            <v>YZ-HM241-K0-XL</v>
          </cell>
          <cell r="B26" t="str">
            <v>YZ-HM241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</row>
        <row r="27">
          <cell r="A27" t="str">
            <v>YZ-HM1728-ZL-L</v>
          </cell>
          <cell r="B27" t="str">
            <v>YZ-HM1728</v>
          </cell>
          <cell r="C27">
            <v>2</v>
          </cell>
          <cell r="D27">
            <v>3</v>
          </cell>
          <cell r="E27">
            <v>5</v>
          </cell>
          <cell r="F27">
            <v>7</v>
          </cell>
        </row>
        <row r="28">
          <cell r="A28" t="str">
            <v>YZ-ZQBL03-K0-2X</v>
          </cell>
          <cell r="B28" t="str">
            <v>YZ-ZQBL03</v>
          </cell>
          <cell r="C28">
            <v>7</v>
          </cell>
          <cell r="D28">
            <v>8</v>
          </cell>
          <cell r="E28">
            <v>16</v>
          </cell>
          <cell r="F28">
            <v>19</v>
          </cell>
        </row>
        <row r="29">
          <cell r="A29" t="str">
            <v>YZ-ZQBL03-B0-S</v>
          </cell>
          <cell r="B29" t="str">
            <v>YZ-ZQBL03</v>
          </cell>
          <cell r="C29">
            <v>4</v>
          </cell>
          <cell r="D29">
            <v>2</v>
          </cell>
          <cell r="E29">
            <v>0</v>
          </cell>
          <cell r="F29">
            <v>1</v>
          </cell>
        </row>
        <row r="30">
          <cell r="A30" t="str">
            <v>YZ-ZQ15827W0XL</v>
          </cell>
          <cell r="B30" t="str">
            <v>YZ-ZQ15827</v>
          </cell>
          <cell r="C30">
            <v>0</v>
          </cell>
          <cell r="D30">
            <v>2</v>
          </cell>
          <cell r="E30">
            <v>1</v>
          </cell>
          <cell r="F30">
            <v>1</v>
          </cell>
        </row>
        <row r="31">
          <cell r="A31" t="str">
            <v>YZ-ZQ1521GF5XL</v>
          </cell>
          <cell r="B31" t="str">
            <v>YZ-ZQ1521</v>
          </cell>
          <cell r="C31">
            <v>9</v>
          </cell>
          <cell r="D31">
            <v>8</v>
          </cell>
          <cell r="E31">
            <v>0</v>
          </cell>
          <cell r="F31">
            <v>2</v>
          </cell>
        </row>
        <row r="32">
          <cell r="A32" t="str">
            <v>YZ-HM1727-Pi-L</v>
          </cell>
          <cell r="B32" t="str">
            <v>YZ-HM1727</v>
          </cell>
          <cell r="C32">
            <v>29</v>
          </cell>
          <cell r="D32">
            <v>56</v>
          </cell>
          <cell r="E32">
            <v>60</v>
          </cell>
          <cell r="F32">
            <v>43</v>
          </cell>
        </row>
        <row r="33">
          <cell r="A33" t="str">
            <v>LYQ-ZQ3550-PI-XL</v>
          </cell>
          <cell r="B33" t="str">
            <v>LYQ-ZQ3550</v>
          </cell>
          <cell r="C33">
            <v>2</v>
          </cell>
          <cell r="D33">
            <v>2</v>
          </cell>
          <cell r="E33">
            <v>2</v>
          </cell>
          <cell r="F33">
            <v>4</v>
          </cell>
        </row>
        <row r="34">
          <cell r="A34" t="str">
            <v>YZ-ZQBL03-R2-S</v>
          </cell>
          <cell r="B34" t="str">
            <v>YZ-ZQBL03</v>
          </cell>
          <cell r="C34">
            <v>2</v>
          </cell>
          <cell r="D34">
            <v>2</v>
          </cell>
          <cell r="E34">
            <v>0</v>
          </cell>
          <cell r="F34">
            <v>4</v>
          </cell>
        </row>
        <row r="35">
          <cell r="A35" t="str">
            <v>YZ-ZQ6667G052</v>
          </cell>
          <cell r="B35" t="str">
            <v>YZ-ZQ6667</v>
          </cell>
          <cell r="C35">
            <v>0</v>
          </cell>
          <cell r="D35">
            <v>1</v>
          </cell>
          <cell r="E35">
            <v>0</v>
          </cell>
          <cell r="F35">
            <v>1</v>
          </cell>
        </row>
        <row r="36">
          <cell r="A36" t="str">
            <v>YZ-JY2526-R0-2XL</v>
          </cell>
          <cell r="B36" t="str">
            <v>YZ-JY2526</v>
          </cell>
          <cell r="C36">
            <v>1</v>
          </cell>
          <cell r="D36">
            <v>1</v>
          </cell>
          <cell r="E36">
            <v>0</v>
          </cell>
          <cell r="F36">
            <v>8</v>
          </cell>
        </row>
        <row r="37">
          <cell r="A37" t="str">
            <v>YZ-HM1727-Pi-3XL</v>
          </cell>
          <cell r="B37" t="str">
            <v>YZ-HM1727</v>
          </cell>
          <cell r="C37">
            <v>3</v>
          </cell>
          <cell r="D37">
            <v>9</v>
          </cell>
          <cell r="E37">
            <v>6</v>
          </cell>
          <cell r="F37">
            <v>4</v>
          </cell>
        </row>
        <row r="38">
          <cell r="A38" t="str">
            <v>YZ-ZQ1521WPXL</v>
          </cell>
          <cell r="B38" t="str">
            <v>YZ-ZQ1521</v>
          </cell>
          <cell r="C38">
            <v>0</v>
          </cell>
          <cell r="D38">
            <v>3</v>
          </cell>
          <cell r="E38">
            <v>1</v>
          </cell>
          <cell r="F38">
            <v>1</v>
          </cell>
        </row>
        <row r="39">
          <cell r="A39" t="str">
            <v>YZ-SUZQBL03-K0-M</v>
          </cell>
          <cell r="B39" t="str">
            <v>YZ-SUZQBL03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</row>
        <row r="40">
          <cell r="A40" t="str">
            <v>YZ-ZQ1521BL4XL</v>
          </cell>
          <cell r="B40" t="str">
            <v>YZ-ZQ1521</v>
          </cell>
          <cell r="C40">
            <v>2</v>
          </cell>
          <cell r="D40">
            <v>2</v>
          </cell>
          <cell r="E40">
            <v>0</v>
          </cell>
          <cell r="F40">
            <v>5</v>
          </cell>
        </row>
        <row r="41">
          <cell r="A41" t="str">
            <v>YZ-ZQ1521RF4XL</v>
          </cell>
          <cell r="B41" t="str">
            <v>YZ-ZQ1521</v>
          </cell>
          <cell r="C41">
            <v>2</v>
          </cell>
          <cell r="D41">
            <v>1</v>
          </cell>
          <cell r="E41">
            <v>5</v>
          </cell>
          <cell r="F41">
            <v>1</v>
          </cell>
        </row>
        <row r="42">
          <cell r="A42" t="str">
            <v>LYQ-ZQ3550-E0-2X</v>
          </cell>
          <cell r="B42" t="str">
            <v>LYQ-ZQ3550</v>
          </cell>
          <cell r="C42">
            <v>0</v>
          </cell>
          <cell r="D42">
            <v>4</v>
          </cell>
          <cell r="E42">
            <v>4</v>
          </cell>
          <cell r="F42">
            <v>5</v>
          </cell>
        </row>
        <row r="43">
          <cell r="A43" t="str">
            <v>YZ-HM111-K0-L</v>
          </cell>
          <cell r="B43" t="str">
            <v>YZ-HM111</v>
          </cell>
          <cell r="C43">
            <v>3</v>
          </cell>
          <cell r="D43">
            <v>9</v>
          </cell>
          <cell r="E43">
            <v>12</v>
          </cell>
          <cell r="F43">
            <v>7</v>
          </cell>
        </row>
        <row r="44">
          <cell r="A44" t="str">
            <v>YZ-ZQ1521GF2XL</v>
          </cell>
          <cell r="B44" t="str">
            <v>YZ-ZQ1521</v>
          </cell>
          <cell r="C44">
            <v>1</v>
          </cell>
          <cell r="D44">
            <v>0</v>
          </cell>
          <cell r="E44">
            <v>3</v>
          </cell>
          <cell r="F44">
            <v>1</v>
          </cell>
        </row>
        <row r="45">
          <cell r="A45" t="str">
            <v>YZ-JY2526-R0-4XL</v>
          </cell>
          <cell r="B45" t="str">
            <v>YZ-JY2526</v>
          </cell>
          <cell r="C45">
            <v>0</v>
          </cell>
          <cell r="D45">
            <v>1</v>
          </cell>
          <cell r="E45">
            <v>1</v>
          </cell>
          <cell r="F45">
            <v>1</v>
          </cell>
        </row>
        <row r="46">
          <cell r="A46" t="str">
            <v>YZ-ZQ1521GW3XL</v>
          </cell>
          <cell r="B46" t="str">
            <v>YZ-ZQ1521</v>
          </cell>
          <cell r="C46">
            <v>0</v>
          </cell>
          <cell r="D46">
            <v>1</v>
          </cell>
          <cell r="E46">
            <v>1</v>
          </cell>
          <cell r="F46">
            <v>2</v>
          </cell>
        </row>
        <row r="47">
          <cell r="A47" t="str">
            <v>YZ-ZQMICAIK0L</v>
          </cell>
          <cell r="B47" t="str">
            <v>YZ-ZQMICAI</v>
          </cell>
          <cell r="C47">
            <v>0</v>
          </cell>
          <cell r="D47">
            <v>0</v>
          </cell>
          <cell r="E47">
            <v>0</v>
          </cell>
          <cell r="F47">
            <v>3</v>
          </cell>
        </row>
        <row r="48">
          <cell r="A48" t="str">
            <v>YZ-HMBKN30-ZL-L</v>
          </cell>
          <cell r="B48" t="str">
            <v>YZ-HMBKN30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</row>
        <row r="49">
          <cell r="A49" t="str">
            <v>YZ-HM5036-W0-XL</v>
          </cell>
          <cell r="B49" t="str">
            <v>YZ-HM5048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</row>
        <row r="50">
          <cell r="A50" t="str">
            <v>LYQ-ZQ3550-PI-2X</v>
          </cell>
          <cell r="B50" t="str">
            <v>LYQ-ZQ3550</v>
          </cell>
          <cell r="C50">
            <v>3</v>
          </cell>
          <cell r="D50">
            <v>3</v>
          </cell>
          <cell r="E50">
            <v>2</v>
          </cell>
          <cell r="F50">
            <v>3</v>
          </cell>
        </row>
        <row r="51">
          <cell r="A51" t="str">
            <v>YZ-ZQ1521BFXL</v>
          </cell>
          <cell r="B51" t="str">
            <v>YZ-ZQ1521</v>
          </cell>
          <cell r="C51">
            <v>0</v>
          </cell>
          <cell r="D51">
            <v>4</v>
          </cell>
          <cell r="E51">
            <v>3</v>
          </cell>
          <cell r="F51">
            <v>3</v>
          </cell>
        </row>
        <row r="52">
          <cell r="A52" t="str">
            <v>YZ-SUZQ388-K0-XS</v>
          </cell>
          <cell r="B52" t="str">
            <v>YZ-SUZQ388</v>
          </cell>
          <cell r="C52">
            <v>5</v>
          </cell>
          <cell r="D52">
            <v>5</v>
          </cell>
          <cell r="E52">
            <v>5</v>
          </cell>
          <cell r="F52">
            <v>7</v>
          </cell>
        </row>
        <row r="53">
          <cell r="A53" t="str">
            <v>YZ-HM241-ZL-S</v>
          </cell>
          <cell r="B53" t="str">
            <v>YZ-HM241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</row>
        <row r="54">
          <cell r="A54" t="str">
            <v>LYQ-ZQD390-E0-S</v>
          </cell>
          <cell r="B54" t="str">
            <v>LYQ-ZQD390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</row>
        <row r="55">
          <cell r="A55" t="str">
            <v>YZ-ZQ1521GW4XL</v>
          </cell>
          <cell r="B55" t="str">
            <v>YZ-ZQ1521</v>
          </cell>
          <cell r="C55">
            <v>3</v>
          </cell>
          <cell r="D55">
            <v>2</v>
          </cell>
          <cell r="E55">
            <v>1</v>
          </cell>
          <cell r="F55">
            <v>2</v>
          </cell>
        </row>
        <row r="56">
          <cell r="A56" t="str">
            <v>YZ-SUZQBL03-R2-L</v>
          </cell>
          <cell r="B56" t="str">
            <v>YZ-SUZQBL03</v>
          </cell>
          <cell r="C56">
            <v>0</v>
          </cell>
          <cell r="D56">
            <v>0</v>
          </cell>
          <cell r="E56">
            <v>2</v>
          </cell>
          <cell r="F56">
            <v>1</v>
          </cell>
        </row>
        <row r="57">
          <cell r="A57" t="str">
            <v>YZ-ZQBL03-K0-3X</v>
          </cell>
          <cell r="B57" t="str">
            <v>YZ-ZQBL03</v>
          </cell>
          <cell r="C57">
            <v>3</v>
          </cell>
          <cell r="D57">
            <v>1</v>
          </cell>
          <cell r="E57">
            <v>2</v>
          </cell>
          <cell r="F57">
            <v>5</v>
          </cell>
        </row>
        <row r="58">
          <cell r="A58" t="str">
            <v>YZ-SUZQ388-K0-XL</v>
          </cell>
          <cell r="B58" t="str">
            <v>YZ-SUZQ388</v>
          </cell>
          <cell r="C58">
            <v>7</v>
          </cell>
          <cell r="D58">
            <v>11</v>
          </cell>
          <cell r="E58">
            <v>13</v>
          </cell>
          <cell r="F58">
            <v>10</v>
          </cell>
        </row>
        <row r="59">
          <cell r="A59" t="str">
            <v>YZ-SUZQ388-K0-S</v>
          </cell>
          <cell r="B59" t="str">
            <v>YZ-SUZQ388</v>
          </cell>
          <cell r="C59">
            <v>1</v>
          </cell>
          <cell r="D59">
            <v>10</v>
          </cell>
          <cell r="E59">
            <v>15</v>
          </cell>
          <cell r="F59">
            <v>9</v>
          </cell>
        </row>
        <row r="60">
          <cell r="A60" t="str">
            <v>YZ-HM111-K0-M</v>
          </cell>
          <cell r="B60" t="str">
            <v>YZ-HM111</v>
          </cell>
          <cell r="C60">
            <v>4</v>
          </cell>
          <cell r="D60">
            <v>2</v>
          </cell>
          <cell r="E60">
            <v>7</v>
          </cell>
          <cell r="F60">
            <v>5</v>
          </cell>
        </row>
        <row r="61">
          <cell r="A61" t="str">
            <v>YZ-SUZQBL03-B0-M</v>
          </cell>
          <cell r="B61" t="str">
            <v>YZ-SUZQBL03</v>
          </cell>
          <cell r="C61">
            <v>1</v>
          </cell>
          <cell r="D61">
            <v>2</v>
          </cell>
          <cell r="E61">
            <v>3</v>
          </cell>
          <cell r="F61">
            <v>3</v>
          </cell>
        </row>
        <row r="62">
          <cell r="A62" t="str">
            <v>YZ-ZQBL03-K0-S</v>
          </cell>
          <cell r="B62" t="str">
            <v>YZ-ZQBL03</v>
          </cell>
          <cell r="C62">
            <v>1</v>
          </cell>
          <cell r="D62">
            <v>0</v>
          </cell>
          <cell r="E62">
            <v>2</v>
          </cell>
          <cell r="F62">
            <v>4</v>
          </cell>
        </row>
        <row r="63">
          <cell r="A63" t="str">
            <v>YZ-ZQ1521KF4XL</v>
          </cell>
          <cell r="B63" t="str">
            <v>YZ-ZQ1521</v>
          </cell>
          <cell r="C63">
            <v>5</v>
          </cell>
          <cell r="D63">
            <v>4</v>
          </cell>
          <cell r="E63">
            <v>4</v>
          </cell>
          <cell r="F63">
            <v>4</v>
          </cell>
        </row>
        <row r="64">
          <cell r="A64" t="str">
            <v>YZ-SUZQBL03-B0-L</v>
          </cell>
          <cell r="B64" t="str">
            <v>YZ-SUZQBL03</v>
          </cell>
          <cell r="C64">
            <v>0</v>
          </cell>
          <cell r="D64">
            <v>4</v>
          </cell>
          <cell r="E64">
            <v>1</v>
          </cell>
          <cell r="F64">
            <v>3</v>
          </cell>
        </row>
        <row r="65">
          <cell r="A65" t="str">
            <v>YZ-ZQadn1601-B1-L</v>
          </cell>
          <cell r="B65" t="str">
            <v>YZ-ZQadn1601</v>
          </cell>
          <cell r="C65">
            <v>0</v>
          </cell>
          <cell r="D65">
            <v>0</v>
          </cell>
          <cell r="E65">
            <v>1</v>
          </cell>
          <cell r="F65">
            <v>2</v>
          </cell>
        </row>
        <row r="66">
          <cell r="A66" t="str">
            <v>YZ-ZQ15827B0XL</v>
          </cell>
          <cell r="B66" t="str">
            <v>YZ-ZQ15827</v>
          </cell>
          <cell r="C66">
            <v>1</v>
          </cell>
          <cell r="D66">
            <v>0</v>
          </cell>
          <cell r="E66">
            <v>0</v>
          </cell>
          <cell r="F66">
            <v>1</v>
          </cell>
        </row>
        <row r="67">
          <cell r="A67" t="str">
            <v>YZ-ZQBL03-R2-3XL</v>
          </cell>
          <cell r="B67" t="str">
            <v>YZ-ZQBL03</v>
          </cell>
          <cell r="C67">
            <v>4</v>
          </cell>
          <cell r="D67">
            <v>1</v>
          </cell>
          <cell r="E67">
            <v>1</v>
          </cell>
          <cell r="F67">
            <v>5</v>
          </cell>
        </row>
        <row r="68">
          <cell r="A68" t="str">
            <v>YZ-ZQ112B0XL</v>
          </cell>
          <cell r="B68" t="str">
            <v>YZ-ZQ112</v>
          </cell>
          <cell r="C68">
            <v>1</v>
          </cell>
          <cell r="D68">
            <v>1</v>
          </cell>
          <cell r="E68">
            <v>1</v>
          </cell>
          <cell r="F68">
            <v>2</v>
          </cell>
        </row>
        <row r="69">
          <cell r="A69" t="str">
            <v>YZ-ZQQ9227-K0-5X</v>
          </cell>
          <cell r="B69" t="str">
            <v>YZ-ZQQ9227</v>
          </cell>
          <cell r="C69">
            <v>0</v>
          </cell>
          <cell r="D69">
            <v>1</v>
          </cell>
          <cell r="E69">
            <v>0</v>
          </cell>
          <cell r="F69">
            <v>2</v>
          </cell>
        </row>
        <row r="70">
          <cell r="A70" t="str">
            <v>YZ-ZQMICAIK03XL</v>
          </cell>
          <cell r="B70" t="str">
            <v>YZ-ZQMICAI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</row>
        <row r="71">
          <cell r="A71" t="str">
            <v>YZ-ZQ15827B04XL</v>
          </cell>
          <cell r="B71" t="str">
            <v>YZ-ZQ15827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YZ-ZQ1521KF5XL</v>
          </cell>
          <cell r="B72" t="str">
            <v>YZ-ZQ1521</v>
          </cell>
          <cell r="C72">
            <v>6</v>
          </cell>
          <cell r="D72">
            <v>10</v>
          </cell>
          <cell r="E72">
            <v>8</v>
          </cell>
          <cell r="F72">
            <v>6</v>
          </cell>
        </row>
        <row r="73">
          <cell r="A73" t="str">
            <v>YZ-ZQ1521GF3XL</v>
          </cell>
          <cell r="B73" t="str">
            <v>YZ-ZQ1521</v>
          </cell>
          <cell r="C73">
            <v>3</v>
          </cell>
          <cell r="D73">
            <v>0</v>
          </cell>
          <cell r="E73">
            <v>0</v>
          </cell>
          <cell r="F73">
            <v>3</v>
          </cell>
        </row>
        <row r="74">
          <cell r="A74" t="str">
            <v>YZ-ZQFT1816-Y0-L</v>
          </cell>
          <cell r="B74" t="str">
            <v>YZ-ZQFT1816</v>
          </cell>
          <cell r="C74">
            <v>0</v>
          </cell>
          <cell r="D74">
            <v>1</v>
          </cell>
          <cell r="E74">
            <v>0</v>
          </cell>
          <cell r="F74">
            <v>1</v>
          </cell>
        </row>
        <row r="75">
          <cell r="A75" t="str">
            <v>YZ-HM1757-K0-S-GM</v>
          </cell>
          <cell r="B75" t="str">
            <v>YZ-HM1757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YZ-ZQQ9227-K0-L</v>
          </cell>
          <cell r="B76" t="str">
            <v>YZ-ZQQ9227</v>
          </cell>
          <cell r="C76">
            <v>0</v>
          </cell>
          <cell r="D76">
            <v>0</v>
          </cell>
          <cell r="E76">
            <v>1</v>
          </cell>
          <cell r="F76">
            <v>2</v>
          </cell>
        </row>
        <row r="77">
          <cell r="A77" t="str">
            <v>LYQ-ZQ3550-E0-L</v>
          </cell>
          <cell r="B77" t="str">
            <v>LYQ-ZQ3550</v>
          </cell>
          <cell r="C77">
            <v>0</v>
          </cell>
          <cell r="D77">
            <v>3</v>
          </cell>
          <cell r="E77">
            <v>1</v>
          </cell>
          <cell r="F77">
            <v>1</v>
          </cell>
        </row>
        <row r="78">
          <cell r="A78" t="str">
            <v>YZ-ZQBL03-R2-M</v>
          </cell>
          <cell r="B78" t="str">
            <v>YZ-ZQBL03</v>
          </cell>
          <cell r="C78">
            <v>1</v>
          </cell>
          <cell r="D78">
            <v>2</v>
          </cell>
          <cell r="E78">
            <v>5</v>
          </cell>
          <cell r="F78">
            <v>0</v>
          </cell>
        </row>
        <row r="79">
          <cell r="A79" t="str">
            <v>YZ-SUZQBL03-R2-2X</v>
          </cell>
          <cell r="B79" t="str">
            <v>YZ-SUZQBL03</v>
          </cell>
          <cell r="C79">
            <v>4</v>
          </cell>
          <cell r="D79">
            <v>1</v>
          </cell>
          <cell r="E79">
            <v>0</v>
          </cell>
          <cell r="F79">
            <v>1</v>
          </cell>
        </row>
        <row r="80">
          <cell r="A80" t="str">
            <v>YZ-SUZQBL03-B0-2X</v>
          </cell>
          <cell r="B80" t="str">
            <v>YZ-SUZQBL03</v>
          </cell>
          <cell r="C80">
            <v>0</v>
          </cell>
          <cell r="D80">
            <v>0</v>
          </cell>
          <cell r="E80">
            <v>4</v>
          </cell>
          <cell r="F80">
            <v>2</v>
          </cell>
        </row>
        <row r="81">
          <cell r="A81" t="str">
            <v>YZ-ZQ298N03XL</v>
          </cell>
          <cell r="B81" t="str">
            <v>YZ-ZQ298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</row>
        <row r="82">
          <cell r="A82" t="str">
            <v>YZ-ZQ789K0XL</v>
          </cell>
          <cell r="B82" t="str">
            <v>YZ-ZQ789</v>
          </cell>
          <cell r="C82">
            <v>0</v>
          </cell>
          <cell r="D82">
            <v>0</v>
          </cell>
          <cell r="E82">
            <v>1</v>
          </cell>
          <cell r="F82">
            <v>0</v>
          </cell>
        </row>
        <row r="83">
          <cell r="A83" t="str">
            <v>YZ-ZQ298N05XL</v>
          </cell>
          <cell r="B83" t="str">
            <v>YZ-ZQ298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</row>
        <row r="84">
          <cell r="A84" t="str">
            <v>YZ-ZQ15827R24XL</v>
          </cell>
          <cell r="B84" t="str">
            <v>YZ-ZQ15827</v>
          </cell>
          <cell r="C84">
            <v>0</v>
          </cell>
          <cell r="D84">
            <v>0</v>
          </cell>
          <cell r="E84">
            <v>0</v>
          </cell>
          <cell r="F84">
            <v>1</v>
          </cell>
        </row>
        <row r="85">
          <cell r="A85" t="str">
            <v>YZ-ZQ6667G046</v>
          </cell>
          <cell r="B85" t="str">
            <v>YZ-ZQ6667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</row>
        <row r="86">
          <cell r="A86" t="str">
            <v>YZ-HM241-K0-L</v>
          </cell>
          <cell r="B86" t="str">
            <v>YZ-HM241</v>
          </cell>
          <cell r="C86">
            <v>1</v>
          </cell>
          <cell r="D86">
            <v>2</v>
          </cell>
          <cell r="E86">
            <v>4</v>
          </cell>
          <cell r="F86">
            <v>2</v>
          </cell>
        </row>
        <row r="87">
          <cell r="A87" t="str">
            <v>YZ-ZQBL03-B0-M</v>
          </cell>
          <cell r="B87" t="str">
            <v>YZ-ZQBL03</v>
          </cell>
          <cell r="C87">
            <v>4</v>
          </cell>
          <cell r="D87">
            <v>6</v>
          </cell>
          <cell r="E87">
            <v>1</v>
          </cell>
          <cell r="F87">
            <v>2</v>
          </cell>
        </row>
        <row r="88">
          <cell r="A88" t="str">
            <v>YZ-ZQ1521RF3XL</v>
          </cell>
          <cell r="B88" t="str">
            <v>YZ-ZQ1521</v>
          </cell>
          <cell r="C88">
            <v>2</v>
          </cell>
          <cell r="D88">
            <v>1</v>
          </cell>
          <cell r="E88">
            <v>0</v>
          </cell>
          <cell r="F88">
            <v>3</v>
          </cell>
        </row>
        <row r="89">
          <cell r="A89" t="str">
            <v>YZ-ZQ1521BL5XL</v>
          </cell>
          <cell r="B89" t="str">
            <v>YZ-ZQ1521</v>
          </cell>
          <cell r="C89">
            <v>6</v>
          </cell>
          <cell r="D89">
            <v>5</v>
          </cell>
          <cell r="E89">
            <v>1</v>
          </cell>
          <cell r="F89">
            <v>4</v>
          </cell>
        </row>
        <row r="90">
          <cell r="A90" t="str">
            <v>YZ-ZQ789K0L</v>
          </cell>
          <cell r="B90" t="str">
            <v>YZ-ZQ789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YZ-ZQ1521WP5XL</v>
          </cell>
          <cell r="B91" t="str">
            <v>YZ-ZQ1521</v>
          </cell>
          <cell r="C91">
            <v>4</v>
          </cell>
          <cell r="D91">
            <v>4</v>
          </cell>
          <cell r="E91">
            <v>4</v>
          </cell>
          <cell r="F91">
            <v>3</v>
          </cell>
        </row>
        <row r="92">
          <cell r="A92" t="str">
            <v>YZ-ZQFT1816-O0-L</v>
          </cell>
          <cell r="B92" t="str">
            <v>YZ-ZQFT1816</v>
          </cell>
          <cell r="C92">
            <v>1</v>
          </cell>
          <cell r="D92">
            <v>2</v>
          </cell>
          <cell r="E92">
            <v>2</v>
          </cell>
          <cell r="F92">
            <v>0</v>
          </cell>
        </row>
        <row r="93">
          <cell r="A93" t="str">
            <v>LYQ-ZQ3550-PI-5X</v>
          </cell>
          <cell r="B93" t="str">
            <v>LYQ-ZQ3550</v>
          </cell>
          <cell r="C93">
            <v>1</v>
          </cell>
          <cell r="D93">
            <v>0</v>
          </cell>
          <cell r="E93">
            <v>0</v>
          </cell>
          <cell r="F93">
            <v>3</v>
          </cell>
        </row>
        <row r="94">
          <cell r="A94" t="str">
            <v>YZ-SUZQBL03-K0-2X</v>
          </cell>
          <cell r="B94" t="str">
            <v>YZ-SUZQBL03</v>
          </cell>
          <cell r="C94">
            <v>0</v>
          </cell>
          <cell r="D94">
            <v>0</v>
          </cell>
          <cell r="E94">
            <v>1</v>
          </cell>
          <cell r="F94">
            <v>3</v>
          </cell>
        </row>
        <row r="95">
          <cell r="A95" t="str">
            <v>YZ-ZQ17985-P0-5X</v>
          </cell>
          <cell r="B95" t="str">
            <v>YZ-ZQ17985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</row>
        <row r="96">
          <cell r="A96" t="str">
            <v>YZ-ZQadn1601-B1-M</v>
          </cell>
          <cell r="B96" t="str">
            <v>YZ-ZQadn1601</v>
          </cell>
          <cell r="C96">
            <v>1</v>
          </cell>
          <cell r="D96">
            <v>1</v>
          </cell>
          <cell r="E96">
            <v>1</v>
          </cell>
          <cell r="F96">
            <v>2</v>
          </cell>
        </row>
        <row r="97">
          <cell r="A97" t="str">
            <v>YZ-HM1728-ZL-S-New</v>
          </cell>
          <cell r="B97" t="str">
            <v>YZ-HM1728</v>
          </cell>
          <cell r="C97">
            <v>3</v>
          </cell>
          <cell r="D97">
            <v>0</v>
          </cell>
          <cell r="E97">
            <v>2</v>
          </cell>
          <cell r="F97">
            <v>6</v>
          </cell>
        </row>
        <row r="98">
          <cell r="A98" t="str">
            <v>YZ-SUZQBL03-R2-S</v>
          </cell>
          <cell r="B98" t="str">
            <v>YZ-SUZQBL03</v>
          </cell>
          <cell r="C98">
            <v>0</v>
          </cell>
          <cell r="D98">
            <v>2</v>
          </cell>
          <cell r="E98">
            <v>2</v>
          </cell>
          <cell r="F98">
            <v>1</v>
          </cell>
        </row>
        <row r="99">
          <cell r="A99" t="str">
            <v>LYQ-ZQ3550-PI-4X</v>
          </cell>
          <cell r="B99" t="str">
            <v>LYQ-ZQ3550</v>
          </cell>
          <cell r="C99">
            <v>2</v>
          </cell>
          <cell r="D99">
            <v>1</v>
          </cell>
          <cell r="E99">
            <v>3</v>
          </cell>
          <cell r="F99">
            <v>2</v>
          </cell>
        </row>
        <row r="100">
          <cell r="A100" t="str">
            <v>YZ-HM241-R0-XL</v>
          </cell>
          <cell r="B100" t="str">
            <v>YZ-HM241</v>
          </cell>
          <cell r="C100">
            <v>0</v>
          </cell>
          <cell r="D100">
            <v>0</v>
          </cell>
          <cell r="E100">
            <v>2</v>
          </cell>
          <cell r="F100">
            <v>1</v>
          </cell>
        </row>
        <row r="101">
          <cell r="A101" t="str">
            <v>YZ-ZQBL03-R2-XL</v>
          </cell>
          <cell r="B101" t="str">
            <v>YZ-ZQBL03</v>
          </cell>
          <cell r="C101">
            <v>4</v>
          </cell>
          <cell r="D101">
            <v>4</v>
          </cell>
          <cell r="E101">
            <v>0</v>
          </cell>
          <cell r="F101">
            <v>1</v>
          </cell>
        </row>
        <row r="102">
          <cell r="A102" t="str">
            <v>YZ-HM111-YH-S</v>
          </cell>
          <cell r="B102" t="str">
            <v>YZ-HM111</v>
          </cell>
          <cell r="C102">
            <v>0</v>
          </cell>
          <cell r="D102">
            <v>1</v>
          </cell>
          <cell r="E102">
            <v>0</v>
          </cell>
          <cell r="F102">
            <v>3</v>
          </cell>
        </row>
        <row r="103">
          <cell r="A103" t="str">
            <v>YZ-HM111-B0-XL</v>
          </cell>
          <cell r="B103" t="str">
            <v>YZ-HM111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</row>
        <row r="104">
          <cell r="A104" t="str">
            <v>YZ-ZQQ9217-K0-5X</v>
          </cell>
          <cell r="B104" t="str">
            <v>YZ-ZQQ9217</v>
          </cell>
          <cell r="C104">
            <v>1</v>
          </cell>
          <cell r="D104">
            <v>1</v>
          </cell>
          <cell r="E104">
            <v>0</v>
          </cell>
          <cell r="F104">
            <v>4</v>
          </cell>
        </row>
        <row r="105">
          <cell r="A105" t="str">
            <v>YZ-HM17845-YH-M</v>
          </cell>
          <cell r="B105" t="str">
            <v>YZ-HM17845</v>
          </cell>
          <cell r="C105">
            <v>1</v>
          </cell>
          <cell r="D105">
            <v>1</v>
          </cell>
          <cell r="E105">
            <v>1</v>
          </cell>
          <cell r="F105">
            <v>2</v>
          </cell>
        </row>
        <row r="106">
          <cell r="A106" t="str">
            <v>YZ-HM111-K0-S</v>
          </cell>
          <cell r="B106" t="str">
            <v>YZ-HM111</v>
          </cell>
          <cell r="C106">
            <v>4</v>
          </cell>
          <cell r="D106">
            <v>3</v>
          </cell>
          <cell r="E106">
            <v>1</v>
          </cell>
          <cell r="F106">
            <v>1</v>
          </cell>
        </row>
        <row r="107">
          <cell r="A107" t="str">
            <v>YZ-HM17077-W0-M</v>
          </cell>
          <cell r="B107" t="str">
            <v>YZ-HM17077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</row>
        <row r="108">
          <cell r="A108" t="str">
            <v>YZ-ZQ16597B0L</v>
          </cell>
          <cell r="B108" t="str">
            <v>YZ-ZQ16597</v>
          </cell>
          <cell r="C108">
            <v>0</v>
          </cell>
          <cell r="D108">
            <v>0</v>
          </cell>
          <cell r="E108">
            <v>0</v>
          </cell>
          <cell r="F108">
            <v>2</v>
          </cell>
        </row>
        <row r="109">
          <cell r="A109" t="str">
            <v>YZ-HM241-ZL-XL</v>
          </cell>
          <cell r="B109" t="str">
            <v>YZ-HM241</v>
          </cell>
          <cell r="C109">
            <v>0</v>
          </cell>
          <cell r="D109">
            <v>0</v>
          </cell>
          <cell r="E109">
            <v>0</v>
          </cell>
          <cell r="F109">
            <v>2</v>
          </cell>
        </row>
        <row r="110">
          <cell r="A110" t="str">
            <v>YZ-SUZQ388-K0-M</v>
          </cell>
          <cell r="B110" t="str">
            <v>YZ-SUZQ388</v>
          </cell>
          <cell r="C110">
            <v>2</v>
          </cell>
          <cell r="D110">
            <v>19</v>
          </cell>
          <cell r="E110">
            <v>17</v>
          </cell>
          <cell r="F110">
            <v>9</v>
          </cell>
        </row>
        <row r="111">
          <cell r="A111" t="str">
            <v>YZ-JY2526-R0-3XL</v>
          </cell>
          <cell r="B111" t="str">
            <v>YZ-JY2526</v>
          </cell>
          <cell r="C111">
            <v>0</v>
          </cell>
          <cell r="D111">
            <v>0</v>
          </cell>
          <cell r="E111">
            <v>0</v>
          </cell>
          <cell r="F111">
            <v>3</v>
          </cell>
        </row>
        <row r="112">
          <cell r="A112" t="str">
            <v>YZ-ZQ1521BF4XL</v>
          </cell>
          <cell r="B112" t="str">
            <v>YZ-ZQ1521</v>
          </cell>
          <cell r="C112">
            <v>3</v>
          </cell>
          <cell r="D112">
            <v>2</v>
          </cell>
          <cell r="E112">
            <v>1</v>
          </cell>
          <cell r="F112">
            <v>2</v>
          </cell>
        </row>
        <row r="113">
          <cell r="A113" t="str">
            <v>LYQ-CLBAH002-L</v>
          </cell>
          <cell r="B113" t="str">
            <v>LYQ-CLBAH002</v>
          </cell>
          <cell r="C113">
            <v>1</v>
          </cell>
          <cell r="D113">
            <v>1</v>
          </cell>
          <cell r="E113">
            <v>1</v>
          </cell>
          <cell r="F113">
            <v>1</v>
          </cell>
        </row>
        <row r="114">
          <cell r="A114" t="str">
            <v>YZ-HM241-G0-XL</v>
          </cell>
          <cell r="B114" t="str">
            <v>YZ-HM241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</row>
        <row r="115">
          <cell r="A115" t="str">
            <v>YZ-ZQ1521RLXL</v>
          </cell>
          <cell r="B115" t="str">
            <v>YZ-ZQ1521</v>
          </cell>
          <cell r="C115">
            <v>0</v>
          </cell>
          <cell r="D115">
            <v>0</v>
          </cell>
          <cell r="E115">
            <v>2</v>
          </cell>
          <cell r="F115">
            <v>1</v>
          </cell>
        </row>
        <row r="116">
          <cell r="A116" t="str">
            <v>YZ-ZQ1521BLXL</v>
          </cell>
          <cell r="B116" t="str">
            <v>YZ-ZQ1521</v>
          </cell>
          <cell r="C116">
            <v>1</v>
          </cell>
          <cell r="D116">
            <v>1</v>
          </cell>
          <cell r="E116">
            <v>0</v>
          </cell>
          <cell r="F116">
            <v>1</v>
          </cell>
        </row>
        <row r="117">
          <cell r="A117" t="str">
            <v>LYQ-ZQ3550-PI-S</v>
          </cell>
          <cell r="B117" t="str">
            <v>LYQ-ZQ3550</v>
          </cell>
          <cell r="C117">
            <v>1</v>
          </cell>
          <cell r="D117">
            <v>1</v>
          </cell>
          <cell r="E117">
            <v>1</v>
          </cell>
          <cell r="F117">
            <v>1</v>
          </cell>
        </row>
        <row r="118">
          <cell r="A118" t="str">
            <v>YZ-ZQ15827B02XL</v>
          </cell>
          <cell r="B118" t="str">
            <v>YZ-ZQ15827</v>
          </cell>
          <cell r="C118">
            <v>0</v>
          </cell>
          <cell r="D118">
            <v>1</v>
          </cell>
          <cell r="E118">
            <v>2</v>
          </cell>
          <cell r="F118">
            <v>1</v>
          </cell>
        </row>
        <row r="119">
          <cell r="A119" t="str">
            <v>LYQ-ZQ7900-W0-XXL</v>
          </cell>
          <cell r="B119" t="str">
            <v>LYQ-ZQ7900</v>
          </cell>
          <cell r="C119">
            <v>0</v>
          </cell>
          <cell r="D119">
            <v>0</v>
          </cell>
          <cell r="E119">
            <v>1</v>
          </cell>
          <cell r="F119">
            <v>1</v>
          </cell>
        </row>
        <row r="120">
          <cell r="A120" t="str">
            <v>LYQ-ZQ3550-PI-L</v>
          </cell>
          <cell r="B120" t="str">
            <v>LYQ-ZQ3550</v>
          </cell>
          <cell r="C120">
            <v>0</v>
          </cell>
          <cell r="D120">
            <v>0</v>
          </cell>
          <cell r="E120">
            <v>1</v>
          </cell>
          <cell r="F120">
            <v>1</v>
          </cell>
        </row>
        <row r="121">
          <cell r="A121" t="str">
            <v>YZ-ZQ1521RL3XL</v>
          </cell>
          <cell r="B121" t="str">
            <v>YZ-ZQ1521</v>
          </cell>
          <cell r="C121">
            <v>0</v>
          </cell>
          <cell r="D121">
            <v>1</v>
          </cell>
          <cell r="E121">
            <v>0</v>
          </cell>
          <cell r="F121">
            <v>1</v>
          </cell>
        </row>
        <row r="122">
          <cell r="A122" t="str">
            <v>YZ-ZQFT1816-O0-4X</v>
          </cell>
          <cell r="B122" t="str">
            <v>YZ-ZQFT1816</v>
          </cell>
          <cell r="C122">
            <v>3</v>
          </cell>
          <cell r="D122">
            <v>0</v>
          </cell>
          <cell r="E122">
            <v>2</v>
          </cell>
          <cell r="F122">
            <v>1</v>
          </cell>
        </row>
        <row r="123">
          <cell r="A123" t="str">
            <v>YZ-ZQMS02-K0-M</v>
          </cell>
          <cell r="B123" t="str">
            <v>YZ-ZQMS02</v>
          </cell>
          <cell r="C123">
            <v>0</v>
          </cell>
          <cell r="D123">
            <v>1</v>
          </cell>
          <cell r="E123">
            <v>1</v>
          </cell>
          <cell r="F123">
            <v>1</v>
          </cell>
        </row>
        <row r="124">
          <cell r="A124" t="str">
            <v>YZ-ZQ1617ZLL</v>
          </cell>
          <cell r="B124" t="str">
            <v>YZ-ZQ1617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</row>
        <row r="125">
          <cell r="A125" t="str">
            <v>YZ-ZQ16103R0L</v>
          </cell>
          <cell r="B125" t="str">
            <v>YZ-ZQ16103</v>
          </cell>
          <cell r="C125">
            <v>0</v>
          </cell>
          <cell r="D125">
            <v>0</v>
          </cell>
          <cell r="E125">
            <v>0</v>
          </cell>
          <cell r="F125">
            <v>1</v>
          </cell>
        </row>
        <row r="126">
          <cell r="A126" t="str">
            <v>YZ-ZQ1521RL4XL</v>
          </cell>
          <cell r="B126" t="str">
            <v>YZ-ZQ1521</v>
          </cell>
          <cell r="C126">
            <v>0</v>
          </cell>
          <cell r="D126">
            <v>3</v>
          </cell>
          <cell r="E126">
            <v>0</v>
          </cell>
          <cell r="F126">
            <v>1</v>
          </cell>
        </row>
        <row r="127">
          <cell r="A127" t="str">
            <v>YZ-ZQQ9227-K0-3X</v>
          </cell>
          <cell r="B127" t="str">
            <v>YZ-ZQQ9227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</row>
        <row r="128">
          <cell r="A128" t="str">
            <v>MZ-JY1616-KH</v>
          </cell>
          <cell r="B128" t="str">
            <v>MZ-JY1616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</row>
        <row r="129">
          <cell r="A129" t="str">
            <v>YZ-HM17845-YH-XL</v>
          </cell>
          <cell r="B129" t="str">
            <v>YZ-HM17845</v>
          </cell>
          <cell r="C129">
            <v>1</v>
          </cell>
          <cell r="D129">
            <v>0</v>
          </cell>
          <cell r="E129">
            <v>2</v>
          </cell>
          <cell r="F129">
            <v>1</v>
          </cell>
        </row>
        <row r="130">
          <cell r="A130" t="str">
            <v>YZ-ZQA100-B0-M</v>
          </cell>
          <cell r="B130" t="str">
            <v>YZ-ZQA100</v>
          </cell>
          <cell r="C130">
            <v>1</v>
          </cell>
          <cell r="D130">
            <v>0</v>
          </cell>
          <cell r="E130">
            <v>0</v>
          </cell>
          <cell r="F130">
            <v>1</v>
          </cell>
        </row>
        <row r="131">
          <cell r="A131" t="str">
            <v>LYQ-HM1205-BR-M</v>
          </cell>
          <cell r="B131" t="str">
            <v>LYQ-HM1205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</row>
        <row r="132">
          <cell r="A132" t="str">
            <v>YZ-SUZQBL03-R2-3X</v>
          </cell>
          <cell r="B132" t="str">
            <v>YZ-SUZQBL03</v>
          </cell>
          <cell r="C132">
            <v>2</v>
          </cell>
          <cell r="D132">
            <v>1</v>
          </cell>
          <cell r="E132">
            <v>1</v>
          </cell>
          <cell r="F132">
            <v>1</v>
          </cell>
        </row>
        <row r="133">
          <cell r="A133" t="str">
            <v>YZ-ZQ112B0M</v>
          </cell>
          <cell r="B133" t="str">
            <v>YZ-ZQ112</v>
          </cell>
          <cell r="C133">
            <v>3</v>
          </cell>
          <cell r="D133">
            <v>0</v>
          </cell>
          <cell r="E133">
            <v>2</v>
          </cell>
          <cell r="F133">
            <v>0</v>
          </cell>
        </row>
        <row r="134">
          <cell r="A134" t="str">
            <v>YZ-ZQ1521RM2XL</v>
          </cell>
          <cell r="B134" t="str">
            <v>YZ-ZQ1521</v>
          </cell>
          <cell r="C134">
            <v>0</v>
          </cell>
          <cell r="D134">
            <v>2</v>
          </cell>
          <cell r="E134">
            <v>0</v>
          </cell>
          <cell r="F134">
            <v>1</v>
          </cell>
        </row>
        <row r="135">
          <cell r="A135" t="str">
            <v>YZ-ZQBL03-B0-3XL</v>
          </cell>
          <cell r="B135" t="str">
            <v>YZ-ZQBL03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</row>
        <row r="136">
          <cell r="A136" t="str">
            <v>YZ-HM111-B0-L</v>
          </cell>
          <cell r="B136" t="str">
            <v>YZ-HM111</v>
          </cell>
          <cell r="C136">
            <v>1</v>
          </cell>
          <cell r="D136">
            <v>1</v>
          </cell>
          <cell r="E136">
            <v>1</v>
          </cell>
          <cell r="F136">
            <v>1</v>
          </cell>
        </row>
        <row r="137">
          <cell r="A137" t="str">
            <v>YZ-HM1727-Pi-4XL</v>
          </cell>
          <cell r="B137" t="str">
            <v>YZ-HM1727</v>
          </cell>
          <cell r="C137">
            <v>1</v>
          </cell>
          <cell r="D137">
            <v>4</v>
          </cell>
          <cell r="E137">
            <v>1</v>
          </cell>
          <cell r="F137">
            <v>1</v>
          </cell>
        </row>
        <row r="138">
          <cell r="A138" t="str">
            <v>YZ-HMBKN17015-OR-M</v>
          </cell>
          <cell r="B138" t="str">
            <v>YZ-HMBKN17015</v>
          </cell>
          <cell r="C138">
            <v>1</v>
          </cell>
          <cell r="D138">
            <v>2</v>
          </cell>
          <cell r="E138">
            <v>0</v>
          </cell>
          <cell r="F138">
            <v>0</v>
          </cell>
        </row>
        <row r="139">
          <cell r="A139" t="str">
            <v>YZ-HM241-K0-3XL</v>
          </cell>
          <cell r="B139" t="str">
            <v>YZ-HM241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</row>
        <row r="140">
          <cell r="A140" t="str">
            <v>YZ-HM241-R0-M</v>
          </cell>
          <cell r="B140" t="str">
            <v>YZ-HM241</v>
          </cell>
          <cell r="C140">
            <v>0</v>
          </cell>
          <cell r="D140">
            <v>0</v>
          </cell>
          <cell r="E140">
            <v>1</v>
          </cell>
          <cell r="F140">
            <v>1</v>
          </cell>
        </row>
        <row r="141">
          <cell r="A141" t="str">
            <v>YZ-ZQ1521GW5XL</v>
          </cell>
          <cell r="B141" t="str">
            <v>YZ-ZQ1521</v>
          </cell>
          <cell r="C141">
            <v>5</v>
          </cell>
          <cell r="D141">
            <v>0</v>
          </cell>
          <cell r="E141">
            <v>2</v>
          </cell>
          <cell r="F141">
            <v>4</v>
          </cell>
        </row>
        <row r="142">
          <cell r="A142" t="str">
            <v>YZ-HM111-B0-M</v>
          </cell>
          <cell r="B142" t="str">
            <v>YZ-HM111</v>
          </cell>
          <cell r="C142">
            <v>0</v>
          </cell>
          <cell r="D142">
            <v>0</v>
          </cell>
          <cell r="E142">
            <v>0</v>
          </cell>
          <cell r="F142">
            <v>2</v>
          </cell>
        </row>
        <row r="143">
          <cell r="A143" t="str">
            <v>YZ-SUZQBL03-B0-XL</v>
          </cell>
          <cell r="B143" t="str">
            <v>YZ-SUZQBL03</v>
          </cell>
          <cell r="C143">
            <v>2</v>
          </cell>
          <cell r="D143">
            <v>7</v>
          </cell>
          <cell r="E143">
            <v>2</v>
          </cell>
          <cell r="F143">
            <v>2</v>
          </cell>
        </row>
        <row r="144">
          <cell r="A144" t="str">
            <v>YZ-ZQadn1601-B1-XL</v>
          </cell>
          <cell r="B144" t="str">
            <v>YZ-ZQadn1601</v>
          </cell>
          <cell r="C144">
            <v>3</v>
          </cell>
          <cell r="D144">
            <v>2</v>
          </cell>
          <cell r="E144">
            <v>1</v>
          </cell>
          <cell r="F144">
            <v>1</v>
          </cell>
        </row>
        <row r="145">
          <cell r="A145" t="str">
            <v>LYQ-ZQ1880-ZL-M</v>
          </cell>
          <cell r="B145" t="str">
            <v>LYQ-ZQ1880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</row>
        <row r="146">
          <cell r="A146" t="str">
            <v>YZ-ZQ1521GFXL</v>
          </cell>
          <cell r="B146" t="str">
            <v>YZ-ZQ1521</v>
          </cell>
          <cell r="C146">
            <v>0</v>
          </cell>
          <cell r="D146">
            <v>0</v>
          </cell>
          <cell r="E146">
            <v>2</v>
          </cell>
          <cell r="F146">
            <v>1</v>
          </cell>
        </row>
        <row r="147">
          <cell r="A147" t="str">
            <v>WT-ZQ921-K0-2XL</v>
          </cell>
          <cell r="B147" t="str">
            <v>WT-ZQ921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LYQ-ZQ2973-BD-XL</v>
          </cell>
          <cell r="B148" t="str">
            <v>LYQ-ZQ2973</v>
          </cell>
          <cell r="C148">
            <v>0</v>
          </cell>
          <cell r="D148">
            <v>0</v>
          </cell>
          <cell r="E148">
            <v>0</v>
          </cell>
          <cell r="F148">
            <v>1</v>
          </cell>
        </row>
        <row r="149">
          <cell r="A149" t="str">
            <v>YZ-ZQFT1816-O0-M</v>
          </cell>
          <cell r="B149" t="str">
            <v>YZ-ZQFT1816</v>
          </cell>
          <cell r="C149">
            <v>1</v>
          </cell>
          <cell r="D149">
            <v>0</v>
          </cell>
          <cell r="E149">
            <v>2</v>
          </cell>
          <cell r="F149">
            <v>2</v>
          </cell>
        </row>
        <row r="150">
          <cell r="A150" t="str">
            <v>YZ-SUZQ388-K0-L</v>
          </cell>
          <cell r="B150" t="str">
            <v>YZ-SUZQ388</v>
          </cell>
          <cell r="C150">
            <v>0</v>
          </cell>
          <cell r="D150">
            <v>15</v>
          </cell>
          <cell r="E150">
            <v>20</v>
          </cell>
          <cell r="F150">
            <v>2</v>
          </cell>
        </row>
        <row r="151">
          <cell r="A151" t="str">
            <v>YZ-ZQFT1816-Y0-M</v>
          </cell>
          <cell r="B151" t="str">
            <v>YZ-ZQFT1816</v>
          </cell>
          <cell r="C151">
            <v>0</v>
          </cell>
          <cell r="D151">
            <v>1</v>
          </cell>
          <cell r="E151">
            <v>2</v>
          </cell>
          <cell r="F151">
            <v>1</v>
          </cell>
        </row>
        <row r="152">
          <cell r="A152" t="str">
            <v>YZ-SUZQ598-R0-3XL</v>
          </cell>
          <cell r="B152" t="str">
            <v>YZ-SUZQ598</v>
          </cell>
          <cell r="C152">
            <v>1</v>
          </cell>
          <cell r="D152">
            <v>0</v>
          </cell>
          <cell r="E152">
            <v>2</v>
          </cell>
          <cell r="F152">
            <v>3</v>
          </cell>
        </row>
        <row r="153">
          <cell r="A153" t="str">
            <v>YZ-SUZQ598-R0-XL</v>
          </cell>
          <cell r="B153" t="str">
            <v>YZ-SUZQ598</v>
          </cell>
          <cell r="C153">
            <v>0</v>
          </cell>
          <cell r="D153">
            <v>0</v>
          </cell>
          <cell r="E153">
            <v>0</v>
          </cell>
          <cell r="F153">
            <v>1</v>
          </cell>
        </row>
        <row r="154">
          <cell r="A154" t="str">
            <v>YZ-JY5694-K0-4XL</v>
          </cell>
          <cell r="B154" t="str">
            <v>YZ-JY5694</v>
          </cell>
          <cell r="C154">
            <v>0</v>
          </cell>
          <cell r="D154">
            <v>0</v>
          </cell>
          <cell r="E154">
            <v>1</v>
          </cell>
          <cell r="F154">
            <v>1</v>
          </cell>
        </row>
        <row r="155">
          <cell r="A155" t="str">
            <v>YZ-SUZQBL03-K0-S</v>
          </cell>
          <cell r="B155" t="str">
            <v>YZ-SUZQBL03</v>
          </cell>
          <cell r="C155">
            <v>1</v>
          </cell>
          <cell r="D155">
            <v>6</v>
          </cell>
          <cell r="E155">
            <v>1</v>
          </cell>
          <cell r="F155">
            <v>1</v>
          </cell>
        </row>
        <row r="156">
          <cell r="A156" t="str">
            <v>YZ-ZQ1521BF5XL</v>
          </cell>
          <cell r="B156" t="str">
            <v>YZ-ZQ1521</v>
          </cell>
          <cell r="C156">
            <v>8</v>
          </cell>
          <cell r="D156">
            <v>3</v>
          </cell>
          <cell r="E156">
            <v>4</v>
          </cell>
          <cell r="F156">
            <v>2</v>
          </cell>
        </row>
        <row r="157">
          <cell r="A157" t="str">
            <v>YZ-HM17845-YH-L</v>
          </cell>
          <cell r="B157" t="str">
            <v>YZ-HM17845</v>
          </cell>
          <cell r="C157">
            <v>0</v>
          </cell>
          <cell r="D157">
            <v>0</v>
          </cell>
          <cell r="E157">
            <v>1</v>
          </cell>
          <cell r="F157">
            <v>2</v>
          </cell>
        </row>
        <row r="158">
          <cell r="A158" t="str">
            <v>YZ-SUZQBL03-B0-S</v>
          </cell>
          <cell r="B158" t="str">
            <v>YZ-SUZQBL03</v>
          </cell>
          <cell r="C158">
            <v>0</v>
          </cell>
          <cell r="D158">
            <v>2</v>
          </cell>
          <cell r="E158">
            <v>5</v>
          </cell>
          <cell r="F158">
            <v>1</v>
          </cell>
        </row>
        <row r="159">
          <cell r="A159" t="str">
            <v>YZ-HM1757-K0-S</v>
          </cell>
          <cell r="B159" t="str">
            <v>YZ-HM1757</v>
          </cell>
          <cell r="C159">
            <v>0</v>
          </cell>
          <cell r="D159">
            <v>0</v>
          </cell>
          <cell r="E159">
            <v>1</v>
          </cell>
          <cell r="F159">
            <v>1</v>
          </cell>
        </row>
        <row r="160">
          <cell r="A160" t="str">
            <v>YZ-ZQQ9217-K0-S</v>
          </cell>
          <cell r="B160" t="str">
            <v>YZ-ZQQ9217</v>
          </cell>
          <cell r="C160">
            <v>0</v>
          </cell>
          <cell r="D160">
            <v>0</v>
          </cell>
          <cell r="E160">
            <v>0</v>
          </cell>
          <cell r="F160">
            <v>1</v>
          </cell>
        </row>
        <row r="161">
          <cell r="A161" t="str">
            <v>YZ-ZQ1521WP2XL</v>
          </cell>
          <cell r="B161" t="str">
            <v>YZ-ZQ1521</v>
          </cell>
          <cell r="C161">
            <v>1</v>
          </cell>
          <cell r="D161">
            <v>1</v>
          </cell>
          <cell r="E161">
            <v>0</v>
          </cell>
          <cell r="F161">
            <v>1</v>
          </cell>
        </row>
        <row r="162">
          <cell r="A162" t="str">
            <v>YZ-ZQMICAIK0M</v>
          </cell>
          <cell r="B162" t="str">
            <v>YZ-ZQMICAI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</row>
        <row r="163">
          <cell r="A163" t="str">
            <v>YZ-ZQ1521KF3XL</v>
          </cell>
          <cell r="B163" t="str">
            <v>YZ-ZQ1521</v>
          </cell>
          <cell r="C163">
            <v>4</v>
          </cell>
          <cell r="D163">
            <v>0</v>
          </cell>
          <cell r="E163">
            <v>2</v>
          </cell>
          <cell r="F163">
            <v>1</v>
          </cell>
        </row>
        <row r="164">
          <cell r="A164" t="str">
            <v>YZ-HM111-B0-S</v>
          </cell>
          <cell r="B164" t="str">
            <v>YZ-HM111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</row>
        <row r="165">
          <cell r="A165" t="str">
            <v>YZ-JY2526-R0-XL</v>
          </cell>
          <cell r="B165" t="str">
            <v>YZ-JY2526</v>
          </cell>
          <cell r="C165">
            <v>0</v>
          </cell>
          <cell r="D165">
            <v>0</v>
          </cell>
          <cell r="E165">
            <v>1</v>
          </cell>
          <cell r="F165">
            <v>1</v>
          </cell>
        </row>
        <row r="166">
          <cell r="A166" t="str">
            <v>YZ-ZQ15905-W0-S</v>
          </cell>
          <cell r="B166" t="str">
            <v>YZ-ZQ15905</v>
          </cell>
          <cell r="C166">
            <v>3</v>
          </cell>
          <cell r="D166">
            <v>0</v>
          </cell>
          <cell r="E166">
            <v>2</v>
          </cell>
          <cell r="F166">
            <v>1</v>
          </cell>
        </row>
        <row r="167">
          <cell r="A167" t="str">
            <v>YZ-ZQ15827BS4XL</v>
          </cell>
          <cell r="B167" t="str">
            <v>YZ-ZQ15827</v>
          </cell>
          <cell r="C167">
            <v>0</v>
          </cell>
          <cell r="D167">
            <v>1</v>
          </cell>
          <cell r="E167">
            <v>0</v>
          </cell>
          <cell r="F167">
            <v>1</v>
          </cell>
        </row>
        <row r="168">
          <cell r="A168" t="str">
            <v>LYQ-ZQ3550-E0-5X</v>
          </cell>
          <cell r="B168" t="str">
            <v>LYQ-ZQ3550</v>
          </cell>
          <cell r="C168">
            <v>2</v>
          </cell>
          <cell r="D168">
            <v>4</v>
          </cell>
          <cell r="E168">
            <v>6</v>
          </cell>
          <cell r="F168">
            <v>1</v>
          </cell>
        </row>
        <row r="169">
          <cell r="A169" t="str">
            <v>YZ-ZQ1521BF2XL</v>
          </cell>
          <cell r="B169" t="str">
            <v>YZ-ZQ1521</v>
          </cell>
          <cell r="C169">
            <v>3</v>
          </cell>
          <cell r="D169">
            <v>0</v>
          </cell>
          <cell r="E169">
            <v>2</v>
          </cell>
          <cell r="F169">
            <v>0</v>
          </cell>
        </row>
        <row r="170">
          <cell r="A170" t="str">
            <v>YZ-ZQ1715-W0-XL</v>
          </cell>
          <cell r="B170" t="str">
            <v>YZ-ZQ1715</v>
          </cell>
          <cell r="C170">
            <v>0</v>
          </cell>
          <cell r="D170">
            <v>1</v>
          </cell>
          <cell r="E170">
            <v>1</v>
          </cell>
          <cell r="F170">
            <v>0</v>
          </cell>
        </row>
        <row r="171">
          <cell r="A171" t="str">
            <v>YZ-SM-HM30CH-L</v>
          </cell>
          <cell r="B171" t="str">
            <v>YZ-SM-HM30CH</v>
          </cell>
          <cell r="C171">
            <v>0</v>
          </cell>
          <cell r="D171">
            <v>0</v>
          </cell>
          <cell r="E171">
            <v>2</v>
          </cell>
          <cell r="F171">
            <v>0</v>
          </cell>
        </row>
        <row r="172">
          <cell r="A172" t="str">
            <v>YZ-SUZQ388-W0-XS</v>
          </cell>
          <cell r="B172" t="str">
            <v>YZ-SUZQ388</v>
          </cell>
          <cell r="C172">
            <v>2</v>
          </cell>
          <cell r="D172">
            <v>6</v>
          </cell>
          <cell r="E172">
            <v>1</v>
          </cell>
          <cell r="F172">
            <v>0</v>
          </cell>
        </row>
        <row r="173">
          <cell r="A173" t="str">
            <v>LYQ-ZQ1669-B0-L</v>
          </cell>
          <cell r="B173" t="str">
            <v>LYQ-ZQ1669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</row>
        <row r="174">
          <cell r="A174" t="str">
            <v>YZ-ZQ789K03XL</v>
          </cell>
          <cell r="B174" t="str">
            <v>YZ-ZQ789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</row>
        <row r="175">
          <cell r="A175" t="str">
            <v>YZ-ZQ15827W02XL</v>
          </cell>
          <cell r="B175" t="str">
            <v>YZ-ZQ15827</v>
          </cell>
          <cell r="C175">
            <v>0</v>
          </cell>
          <cell r="D175">
            <v>1</v>
          </cell>
          <cell r="E175">
            <v>1</v>
          </cell>
          <cell r="F175">
            <v>0</v>
          </cell>
        </row>
        <row r="176">
          <cell r="A176" t="str">
            <v>YZ-CLD072-K0-XL</v>
          </cell>
          <cell r="B176" t="str">
            <v>YZ-CLD072</v>
          </cell>
          <cell r="C176">
            <v>0</v>
          </cell>
          <cell r="D176">
            <v>0</v>
          </cell>
          <cell r="E176">
            <v>1</v>
          </cell>
          <cell r="F176">
            <v>0</v>
          </cell>
        </row>
        <row r="177">
          <cell r="A177" t="str">
            <v>YZ-HM241-SH-XL</v>
          </cell>
          <cell r="B177" t="str">
            <v>YZ-HM241</v>
          </cell>
          <cell r="C177">
            <v>1</v>
          </cell>
          <cell r="D177">
            <v>0</v>
          </cell>
          <cell r="E177">
            <v>1</v>
          </cell>
          <cell r="F177">
            <v>0</v>
          </cell>
        </row>
        <row r="178">
          <cell r="A178" t="str">
            <v>YZ-ZQFT1816-O0-3X</v>
          </cell>
          <cell r="B178" t="str">
            <v>YZ-ZQFT1816</v>
          </cell>
          <cell r="C178">
            <v>2</v>
          </cell>
          <cell r="D178">
            <v>1</v>
          </cell>
          <cell r="E178">
            <v>2</v>
          </cell>
          <cell r="F178">
            <v>0</v>
          </cell>
        </row>
        <row r="179">
          <cell r="A179" t="str">
            <v>YZ-ZQQ9227-K0-2X</v>
          </cell>
          <cell r="B179" t="str">
            <v>YZ-ZQQ9227</v>
          </cell>
          <cell r="C179">
            <v>0</v>
          </cell>
          <cell r="D179">
            <v>1</v>
          </cell>
          <cell r="E179">
            <v>2</v>
          </cell>
          <cell r="F179">
            <v>0</v>
          </cell>
        </row>
        <row r="180">
          <cell r="A180" t="str">
            <v>YZ-ZQ1521RM4XL</v>
          </cell>
          <cell r="B180" t="str">
            <v>YZ-ZQ1521</v>
          </cell>
          <cell r="C180">
            <v>4</v>
          </cell>
          <cell r="D180">
            <v>3</v>
          </cell>
          <cell r="E180">
            <v>4</v>
          </cell>
          <cell r="F180">
            <v>0</v>
          </cell>
        </row>
        <row r="181">
          <cell r="A181" t="str">
            <v>YZ-SUZQ9441-K0-S</v>
          </cell>
          <cell r="B181" t="str">
            <v>YZ-SUZQ9441</v>
          </cell>
          <cell r="C181">
            <v>0</v>
          </cell>
          <cell r="D181">
            <v>0</v>
          </cell>
          <cell r="E181">
            <v>1</v>
          </cell>
          <cell r="F181">
            <v>0</v>
          </cell>
        </row>
        <row r="182">
          <cell r="A182" t="str">
            <v>YZ-ZQ7777R020</v>
          </cell>
          <cell r="B182" t="str">
            <v>YZ-ZQ7777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</row>
        <row r="183">
          <cell r="A183" t="str">
            <v>LYQ-LY064-G0-4XL</v>
          </cell>
          <cell r="B183" t="str">
            <v>LYQ-LY014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</row>
        <row r="184">
          <cell r="A184" t="str">
            <v>SHJ-ZQLS12-K0-L</v>
          </cell>
          <cell r="B184" t="str">
            <v>SHJ-ZQLS12</v>
          </cell>
          <cell r="C184">
            <v>1</v>
          </cell>
          <cell r="D184">
            <v>1</v>
          </cell>
          <cell r="E184">
            <v>1</v>
          </cell>
          <cell r="F184">
            <v>0</v>
          </cell>
        </row>
        <row r="185">
          <cell r="A185" t="str">
            <v>YZ-ZQ15827W05XL</v>
          </cell>
          <cell r="B185" t="str">
            <v>YZ-ZQ15827</v>
          </cell>
          <cell r="C185">
            <v>0</v>
          </cell>
          <cell r="D185">
            <v>0</v>
          </cell>
          <cell r="E185">
            <v>2</v>
          </cell>
          <cell r="F185">
            <v>0</v>
          </cell>
        </row>
        <row r="186">
          <cell r="A186" t="str">
            <v>YZ-ZQ16597B04XL</v>
          </cell>
          <cell r="B186" t="str">
            <v>YZ-ZQ16597</v>
          </cell>
          <cell r="C186">
            <v>0</v>
          </cell>
          <cell r="D186">
            <v>1</v>
          </cell>
          <cell r="E186">
            <v>1</v>
          </cell>
          <cell r="F186">
            <v>0</v>
          </cell>
        </row>
        <row r="187">
          <cell r="A187" t="str">
            <v>YZ-ZQ15827BS5XL</v>
          </cell>
          <cell r="B187" t="str">
            <v>YZ-ZQ15827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</row>
        <row r="188">
          <cell r="A188" t="str">
            <v>YZ-ZQQ9217-K0-2X</v>
          </cell>
          <cell r="B188" t="str">
            <v>YZ-ZQQ9217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</row>
        <row r="189">
          <cell r="A189" t="str">
            <v>YZ-ZQFT1816-Y0-3X</v>
          </cell>
          <cell r="B189" t="str">
            <v>YZ-ZQFT1816</v>
          </cell>
          <cell r="C189">
            <v>0</v>
          </cell>
          <cell r="D189">
            <v>0</v>
          </cell>
          <cell r="E189">
            <v>2</v>
          </cell>
          <cell r="F189">
            <v>0</v>
          </cell>
        </row>
        <row r="190">
          <cell r="A190" t="str">
            <v>LYQ-CLBAH002-M</v>
          </cell>
          <cell r="B190" t="str">
            <v>LYQ-CLBAH002</v>
          </cell>
          <cell r="C190">
            <v>0</v>
          </cell>
          <cell r="D190">
            <v>0</v>
          </cell>
          <cell r="E190">
            <v>1</v>
          </cell>
          <cell r="F190">
            <v>0</v>
          </cell>
        </row>
        <row r="191">
          <cell r="A191" t="str">
            <v>YZ-ZQ789K02XL</v>
          </cell>
          <cell r="B191" t="str">
            <v>YZ-ZQ789</v>
          </cell>
          <cell r="C191">
            <v>0</v>
          </cell>
          <cell r="D191">
            <v>2</v>
          </cell>
          <cell r="E191">
            <v>1</v>
          </cell>
          <cell r="F191">
            <v>0</v>
          </cell>
        </row>
        <row r="192">
          <cell r="A192" t="str">
            <v>YZ-ZQ1521BL3XL</v>
          </cell>
          <cell r="B192" t="str">
            <v>YZ-ZQ1521</v>
          </cell>
          <cell r="C192">
            <v>1</v>
          </cell>
          <cell r="D192">
            <v>4</v>
          </cell>
          <cell r="E192">
            <v>1</v>
          </cell>
          <cell r="F192">
            <v>0</v>
          </cell>
        </row>
        <row r="193">
          <cell r="A193" t="str">
            <v>YZ-CLD072-MU-M</v>
          </cell>
          <cell r="B193" t="str">
            <v>YZ-CLD072</v>
          </cell>
          <cell r="C193">
            <v>0</v>
          </cell>
          <cell r="D193">
            <v>1</v>
          </cell>
          <cell r="E193">
            <v>1</v>
          </cell>
          <cell r="F193">
            <v>0</v>
          </cell>
        </row>
        <row r="194">
          <cell r="A194" t="str">
            <v>YZ-ZQ1521BL2XL</v>
          </cell>
          <cell r="B194" t="str">
            <v>YZ-ZQ1521</v>
          </cell>
          <cell r="C194">
            <v>1</v>
          </cell>
          <cell r="D194">
            <v>0</v>
          </cell>
          <cell r="E194">
            <v>1</v>
          </cell>
          <cell r="F194">
            <v>0</v>
          </cell>
        </row>
        <row r="195">
          <cell r="A195" t="str">
            <v>YZ-ZQ1519-K0-3X</v>
          </cell>
          <cell r="B195" t="str">
            <v>YZ-ZQ1519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LYQ-ZQPC01-B0-XXL</v>
          </cell>
          <cell r="B196" t="str">
            <v>LYQ-ZQPC01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</row>
        <row r="197">
          <cell r="A197" t="str">
            <v>YZ-ZQ1521KFXL</v>
          </cell>
          <cell r="B197" t="str">
            <v>YZ-ZQ1521</v>
          </cell>
          <cell r="C197">
            <v>0</v>
          </cell>
          <cell r="D197">
            <v>0</v>
          </cell>
          <cell r="E197">
            <v>1</v>
          </cell>
          <cell r="F197">
            <v>0</v>
          </cell>
        </row>
        <row r="198">
          <cell r="A198" t="str">
            <v>YZ-HM0052-B0-XL</v>
          </cell>
          <cell r="B198" t="str">
            <v>YZ-HM0052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</row>
        <row r="199">
          <cell r="A199" t="str">
            <v>YZ-ZQ1732-R0-L</v>
          </cell>
          <cell r="B199" t="str">
            <v>YZ-ZQ1732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</row>
        <row r="200">
          <cell r="A200" t="str">
            <v>YZ-HM241-ZL-L</v>
          </cell>
          <cell r="B200" t="str">
            <v>YZ-HM241</v>
          </cell>
          <cell r="C200">
            <v>0</v>
          </cell>
          <cell r="D200">
            <v>0</v>
          </cell>
          <cell r="E200">
            <v>1</v>
          </cell>
          <cell r="F200">
            <v>0</v>
          </cell>
        </row>
        <row r="201">
          <cell r="A201" t="str">
            <v>YZ-ZQBL03-B0-L</v>
          </cell>
          <cell r="B201" t="str">
            <v>YZ-ZQBL03</v>
          </cell>
          <cell r="C201">
            <v>0</v>
          </cell>
          <cell r="D201">
            <v>3</v>
          </cell>
          <cell r="E201">
            <v>1</v>
          </cell>
          <cell r="F201">
            <v>0</v>
          </cell>
        </row>
        <row r="202">
          <cell r="A202" t="str">
            <v>YZ-SUZQ187-K0-3X</v>
          </cell>
          <cell r="B202" t="str">
            <v>YZ-SUZQ187</v>
          </cell>
          <cell r="C202">
            <v>1</v>
          </cell>
          <cell r="D202">
            <v>3</v>
          </cell>
          <cell r="E202">
            <v>1</v>
          </cell>
          <cell r="F202">
            <v>0</v>
          </cell>
        </row>
        <row r="203">
          <cell r="A203" t="str">
            <v>YZ-HMBKN17015-K0-XL</v>
          </cell>
          <cell r="B203" t="str">
            <v>YZ-HMBKN17015</v>
          </cell>
          <cell r="C203">
            <v>1</v>
          </cell>
          <cell r="D203">
            <v>0</v>
          </cell>
          <cell r="E203">
            <v>1</v>
          </cell>
          <cell r="F203">
            <v>0</v>
          </cell>
        </row>
        <row r="204">
          <cell r="A204" t="str">
            <v>YZ-HM1683-BDG0-54</v>
          </cell>
          <cell r="B204" t="str">
            <v>YZ-HM1683</v>
          </cell>
          <cell r="C204">
            <v>0</v>
          </cell>
          <cell r="D204">
            <v>0</v>
          </cell>
          <cell r="E204">
            <v>1</v>
          </cell>
          <cell r="F204">
            <v>0</v>
          </cell>
        </row>
        <row r="205">
          <cell r="A205" t="str">
            <v>YZ-ZQ17845-K0-L</v>
          </cell>
          <cell r="B205" t="str">
            <v>YZ-ZQ17845</v>
          </cell>
          <cell r="C205">
            <v>0</v>
          </cell>
          <cell r="D205">
            <v>2</v>
          </cell>
          <cell r="E205">
            <v>1</v>
          </cell>
          <cell r="F205">
            <v>0</v>
          </cell>
        </row>
        <row r="206">
          <cell r="A206" t="str">
            <v>YZ-ZQ15919-B0-5X</v>
          </cell>
          <cell r="B206" t="str">
            <v>YZ-ZQ1519</v>
          </cell>
          <cell r="C206">
            <v>0</v>
          </cell>
          <cell r="D206">
            <v>0</v>
          </cell>
          <cell r="E206">
            <v>2</v>
          </cell>
          <cell r="F206">
            <v>0</v>
          </cell>
        </row>
        <row r="207">
          <cell r="A207" t="str">
            <v>YZ-SM-HM30CH-XL</v>
          </cell>
          <cell r="B207" t="str">
            <v>YZ-SM-HM30CH</v>
          </cell>
          <cell r="C207">
            <v>1</v>
          </cell>
          <cell r="D207">
            <v>1</v>
          </cell>
          <cell r="E207">
            <v>2</v>
          </cell>
          <cell r="F207">
            <v>0</v>
          </cell>
        </row>
        <row r="208">
          <cell r="A208" t="str">
            <v>YZ-ZQ15827B0L</v>
          </cell>
          <cell r="B208" t="str">
            <v>YZ-ZQ15827</v>
          </cell>
          <cell r="C208">
            <v>1</v>
          </cell>
          <cell r="D208">
            <v>1</v>
          </cell>
          <cell r="E208">
            <v>1</v>
          </cell>
          <cell r="F208">
            <v>0</v>
          </cell>
        </row>
        <row r="209">
          <cell r="A209" t="str">
            <v>YZ-ZQOM388-W0-L</v>
          </cell>
          <cell r="B209" t="str">
            <v>YZ-ZQOM388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</row>
        <row r="210">
          <cell r="A210" t="str">
            <v>YZ-ZQ789K04XL</v>
          </cell>
          <cell r="B210" t="str">
            <v>YZ-ZQ789</v>
          </cell>
          <cell r="C210">
            <v>1</v>
          </cell>
          <cell r="D210">
            <v>1</v>
          </cell>
          <cell r="E210">
            <v>1</v>
          </cell>
          <cell r="F210">
            <v>0</v>
          </cell>
        </row>
        <row r="211">
          <cell r="A211" t="str">
            <v>LYQ-ZQ3550-E0-3X</v>
          </cell>
          <cell r="B211" t="str">
            <v>LYQ-ZQ3550</v>
          </cell>
          <cell r="C211">
            <v>2</v>
          </cell>
          <cell r="D211">
            <v>12</v>
          </cell>
          <cell r="E211">
            <v>3</v>
          </cell>
          <cell r="F211">
            <v>0</v>
          </cell>
        </row>
        <row r="212">
          <cell r="A212" t="str">
            <v>YZ-ZQOM388-W0-2XL</v>
          </cell>
          <cell r="B212" t="str">
            <v>YZ-ZQOM388</v>
          </cell>
          <cell r="C212">
            <v>0</v>
          </cell>
          <cell r="D212">
            <v>0</v>
          </cell>
          <cell r="E212">
            <v>1</v>
          </cell>
          <cell r="F212">
            <v>0</v>
          </cell>
        </row>
        <row r="213">
          <cell r="A213" t="str">
            <v>YZ-ZQ1521RM3XL</v>
          </cell>
          <cell r="B213" t="str">
            <v>YZ-ZQ1521</v>
          </cell>
          <cell r="C213">
            <v>1</v>
          </cell>
          <cell r="D213">
            <v>2</v>
          </cell>
          <cell r="E213">
            <v>2</v>
          </cell>
          <cell r="F213">
            <v>0</v>
          </cell>
        </row>
        <row r="214">
          <cell r="A214" t="str">
            <v>LYQ-ZQ7900-W0-L</v>
          </cell>
          <cell r="B214" t="str">
            <v>LYQ-ZQ7900</v>
          </cell>
          <cell r="C214">
            <v>0</v>
          </cell>
          <cell r="D214">
            <v>1</v>
          </cell>
          <cell r="E214">
            <v>1</v>
          </cell>
          <cell r="F214">
            <v>0</v>
          </cell>
        </row>
        <row r="215">
          <cell r="A215" t="str">
            <v>YZ-ZQMICAIK02XL</v>
          </cell>
          <cell r="B215" t="str">
            <v>YZ-ZQMICAI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</row>
        <row r="216">
          <cell r="A216" t="str">
            <v>YZ-HMBKN17015-OR-L</v>
          </cell>
          <cell r="B216" t="str">
            <v>YZ-HMBKN17015</v>
          </cell>
          <cell r="C216">
            <v>0</v>
          </cell>
          <cell r="D216">
            <v>0</v>
          </cell>
          <cell r="E216">
            <v>1</v>
          </cell>
          <cell r="F216">
            <v>0</v>
          </cell>
        </row>
        <row r="217">
          <cell r="A217" t="str">
            <v>YZ-ZQ17986W0-XL</v>
          </cell>
          <cell r="B217" t="str">
            <v>YZ-ZQ17986</v>
          </cell>
          <cell r="C217">
            <v>1</v>
          </cell>
          <cell r="D217">
            <v>0</v>
          </cell>
          <cell r="E217">
            <v>1</v>
          </cell>
          <cell r="F217">
            <v>0</v>
          </cell>
        </row>
        <row r="218">
          <cell r="A218" t="str">
            <v>YZ-HM241-G0-S</v>
          </cell>
          <cell r="B218" t="str">
            <v>YZ-HM241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</row>
        <row r="219">
          <cell r="A219" t="str">
            <v>YZ-ZQ15827B05XL</v>
          </cell>
          <cell r="B219" t="str">
            <v>YZ-ZQ15827</v>
          </cell>
          <cell r="C219">
            <v>0</v>
          </cell>
          <cell r="D219">
            <v>1</v>
          </cell>
          <cell r="E219">
            <v>1</v>
          </cell>
          <cell r="F219">
            <v>0</v>
          </cell>
        </row>
        <row r="220">
          <cell r="A220" t="str">
            <v>YZ-SUZQ388-W0-S</v>
          </cell>
          <cell r="B220" t="str">
            <v>YZ-SUZQ388</v>
          </cell>
          <cell r="C220">
            <v>7</v>
          </cell>
          <cell r="D220">
            <v>6</v>
          </cell>
          <cell r="E220">
            <v>3</v>
          </cell>
          <cell r="F220">
            <v>0</v>
          </cell>
        </row>
        <row r="221">
          <cell r="A221" t="str">
            <v>YZ-ZQBL03-B0-2XL</v>
          </cell>
          <cell r="B221" t="str">
            <v>YZ-ZQBL03</v>
          </cell>
          <cell r="C221">
            <v>4</v>
          </cell>
          <cell r="D221">
            <v>3</v>
          </cell>
          <cell r="E221">
            <v>1</v>
          </cell>
          <cell r="F221">
            <v>0</v>
          </cell>
        </row>
        <row r="222">
          <cell r="A222" t="str">
            <v>YZ-ZQSG16121E03XL</v>
          </cell>
          <cell r="B222" t="str">
            <v>YZ-ZQSG16121</v>
          </cell>
          <cell r="C222">
            <v>0</v>
          </cell>
          <cell r="D222">
            <v>1</v>
          </cell>
          <cell r="E222">
            <v>1</v>
          </cell>
          <cell r="F222">
            <v>0</v>
          </cell>
        </row>
        <row r="223">
          <cell r="A223" t="str">
            <v>YZ-ZQSG16121R03XL</v>
          </cell>
          <cell r="B223" t="str">
            <v>YZ-ZQSG16121</v>
          </cell>
          <cell r="C223">
            <v>0</v>
          </cell>
          <cell r="D223">
            <v>0</v>
          </cell>
          <cell r="E223">
            <v>1</v>
          </cell>
          <cell r="F223">
            <v>0</v>
          </cell>
        </row>
        <row r="224">
          <cell r="A224" t="str">
            <v>YZ-SUZQBL03-B0-3X</v>
          </cell>
          <cell r="B224" t="str">
            <v>YZ-SUZQBL03</v>
          </cell>
          <cell r="C224">
            <v>1</v>
          </cell>
          <cell r="D224">
            <v>1</v>
          </cell>
          <cell r="E224">
            <v>1</v>
          </cell>
          <cell r="F224">
            <v>0</v>
          </cell>
        </row>
        <row r="225">
          <cell r="A225" t="str">
            <v>YZ-ZQFT1816-Y0-4X</v>
          </cell>
          <cell r="B225" t="str">
            <v>YZ-ZQFT1816</v>
          </cell>
          <cell r="C225">
            <v>0</v>
          </cell>
          <cell r="D225">
            <v>0</v>
          </cell>
          <cell r="E225">
            <v>1</v>
          </cell>
          <cell r="F225">
            <v>0</v>
          </cell>
        </row>
        <row r="226">
          <cell r="A226" t="str">
            <v>LYQ-ZQ1669-B0-XL</v>
          </cell>
          <cell r="B226" t="str">
            <v>LYQ-ZQ1669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</row>
        <row r="227">
          <cell r="A227" t="str">
            <v>YZ-SUZQ388-W0-M</v>
          </cell>
          <cell r="B227" t="str">
            <v>YZ-SUZQ388</v>
          </cell>
          <cell r="C227">
            <v>8</v>
          </cell>
          <cell r="D227">
            <v>12</v>
          </cell>
          <cell r="E227">
            <v>1</v>
          </cell>
          <cell r="F227">
            <v>0</v>
          </cell>
        </row>
        <row r="228">
          <cell r="A228" t="str">
            <v>YZ-ZQadn1601-B1-S</v>
          </cell>
          <cell r="B228" t="str">
            <v>YZ-ZQadn1601</v>
          </cell>
          <cell r="C228">
            <v>1</v>
          </cell>
          <cell r="D228">
            <v>1</v>
          </cell>
          <cell r="E228">
            <v>0</v>
          </cell>
          <cell r="F228">
            <v>0</v>
          </cell>
        </row>
        <row r="229">
          <cell r="A229" t="str">
            <v>LYQ-ZQ1669-B0-M</v>
          </cell>
          <cell r="B229" t="str">
            <v>LYQ-ZQ1669</v>
          </cell>
          <cell r="C229">
            <v>0</v>
          </cell>
          <cell r="D229">
            <v>0</v>
          </cell>
          <cell r="E229">
            <v>1</v>
          </cell>
          <cell r="F229">
            <v>0</v>
          </cell>
        </row>
        <row r="230">
          <cell r="A230" t="str">
            <v>YZ-ZQ15827R2L</v>
          </cell>
          <cell r="B230" t="str">
            <v>YZ-ZQ15827</v>
          </cell>
          <cell r="C230">
            <v>0</v>
          </cell>
          <cell r="D230">
            <v>0</v>
          </cell>
          <cell r="E230">
            <v>1</v>
          </cell>
          <cell r="F230">
            <v>0</v>
          </cell>
        </row>
        <row r="231">
          <cell r="A231" t="str">
            <v>YZ-ZQQ9217-K0-L</v>
          </cell>
          <cell r="B231" t="str">
            <v>YZ-ZQQ9217</v>
          </cell>
          <cell r="C231">
            <v>0</v>
          </cell>
          <cell r="D231">
            <v>1</v>
          </cell>
          <cell r="E231">
            <v>1</v>
          </cell>
          <cell r="F231">
            <v>0</v>
          </cell>
        </row>
        <row r="232">
          <cell r="A232" t="str">
            <v>YZ-SUZQBL03-K0-XL</v>
          </cell>
          <cell r="B232" t="str">
            <v>YZ-SUZQBL03</v>
          </cell>
          <cell r="C232">
            <v>0</v>
          </cell>
          <cell r="D232">
            <v>1</v>
          </cell>
          <cell r="E232">
            <v>1</v>
          </cell>
          <cell r="F232">
            <v>0</v>
          </cell>
        </row>
        <row r="233">
          <cell r="A233" t="str">
            <v>YZ-ZQ15827W0L</v>
          </cell>
          <cell r="B233" t="str">
            <v>YZ-ZQ15827</v>
          </cell>
          <cell r="C233">
            <v>0</v>
          </cell>
          <cell r="D233">
            <v>0</v>
          </cell>
          <cell r="E233">
            <v>1</v>
          </cell>
          <cell r="F233">
            <v>0</v>
          </cell>
        </row>
        <row r="234">
          <cell r="A234" t="str">
            <v>YZ-SUZQ388-W0-XL</v>
          </cell>
          <cell r="B234" t="str">
            <v>YZ-SUZQ388</v>
          </cell>
          <cell r="C234">
            <v>2</v>
          </cell>
          <cell r="D234">
            <v>5</v>
          </cell>
          <cell r="E234">
            <v>1</v>
          </cell>
          <cell r="F234">
            <v>0</v>
          </cell>
        </row>
        <row r="235">
          <cell r="A235" t="str">
            <v>YZ-CL7042-ZL-M</v>
          </cell>
          <cell r="B235" t="str">
            <v>YZ-CL7042</v>
          </cell>
          <cell r="C235">
            <v>0</v>
          </cell>
          <cell r="D235">
            <v>0</v>
          </cell>
          <cell r="E235">
            <v>1</v>
          </cell>
          <cell r="F235">
            <v>0</v>
          </cell>
        </row>
        <row r="236">
          <cell r="A236" t="str">
            <v>LYQ-ZQD390-K0-S</v>
          </cell>
          <cell r="B236" t="str">
            <v>LYQ-ZQD390</v>
          </cell>
          <cell r="C236">
            <v>0</v>
          </cell>
          <cell r="D236">
            <v>0</v>
          </cell>
          <cell r="E236">
            <v>1</v>
          </cell>
          <cell r="F236">
            <v>0</v>
          </cell>
        </row>
        <row r="237">
          <cell r="A237" t="str">
            <v>YZ-HM241-K0-S</v>
          </cell>
          <cell r="B237" t="str">
            <v>YZ-HM241</v>
          </cell>
          <cell r="C237">
            <v>0</v>
          </cell>
          <cell r="D237">
            <v>1</v>
          </cell>
          <cell r="E237">
            <v>1</v>
          </cell>
          <cell r="F237">
            <v>0</v>
          </cell>
        </row>
        <row r="238">
          <cell r="A238" t="str">
            <v>YZ-HM1757-Pi-M</v>
          </cell>
          <cell r="B238" t="str">
            <v>YZ-HM1757</v>
          </cell>
          <cell r="C238">
            <v>0</v>
          </cell>
          <cell r="D238">
            <v>0</v>
          </cell>
          <cell r="E238">
            <v>1</v>
          </cell>
          <cell r="F238">
            <v>0</v>
          </cell>
        </row>
        <row r="239">
          <cell r="A239" t="str">
            <v>YZ-ZQ1617-BH-3XL</v>
          </cell>
          <cell r="B239" t="str">
            <v>YZ-ZQ1617</v>
          </cell>
          <cell r="C239">
            <v>1</v>
          </cell>
          <cell r="D239">
            <v>0</v>
          </cell>
          <cell r="E239">
            <v>1</v>
          </cell>
          <cell r="F239">
            <v>0</v>
          </cell>
        </row>
        <row r="240">
          <cell r="A240" t="str">
            <v>LYQ-ZQ3550-PI-M</v>
          </cell>
          <cell r="B240" t="str">
            <v>LYQ-ZQ3550</v>
          </cell>
          <cell r="C240">
            <v>0</v>
          </cell>
          <cell r="D240">
            <v>1</v>
          </cell>
          <cell r="E240">
            <v>1</v>
          </cell>
          <cell r="F240">
            <v>0</v>
          </cell>
        </row>
        <row r="241">
          <cell r="A241" t="str">
            <v>YZ-ZQ6667G044</v>
          </cell>
          <cell r="B241" t="str">
            <v>YZ-ZQ6667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</row>
        <row r="242">
          <cell r="A242" t="str">
            <v>YZ-ZQ1521GWXL</v>
          </cell>
          <cell r="B242" t="str">
            <v>YZ-ZQ1521</v>
          </cell>
          <cell r="C242">
            <v>1</v>
          </cell>
          <cell r="D242">
            <v>0</v>
          </cell>
          <cell r="E242">
            <v>0</v>
          </cell>
          <cell r="F242">
            <v>0</v>
          </cell>
        </row>
        <row r="243">
          <cell r="A243" t="str">
            <v>YZ-SUZQ388-W0-L</v>
          </cell>
          <cell r="B243" t="str">
            <v>YZ-SUZQ388</v>
          </cell>
          <cell r="C243">
            <v>6</v>
          </cell>
          <cell r="D243">
            <v>8</v>
          </cell>
          <cell r="E243">
            <v>0</v>
          </cell>
          <cell r="F243">
            <v>0</v>
          </cell>
        </row>
        <row r="244">
          <cell r="A244" t="str">
            <v>LYQ-ZQ1880-ZL-XL</v>
          </cell>
          <cell r="B244" t="str">
            <v>LYQ-ZQ1880</v>
          </cell>
          <cell r="C244">
            <v>0</v>
          </cell>
          <cell r="D244">
            <v>1</v>
          </cell>
          <cell r="E244">
            <v>0</v>
          </cell>
          <cell r="F244">
            <v>0</v>
          </cell>
        </row>
        <row r="245">
          <cell r="A245" t="str">
            <v>YZ-HMBKN17015-OR-XL</v>
          </cell>
          <cell r="B245" t="str">
            <v>YZ-HMBKN17015</v>
          </cell>
          <cell r="C245">
            <v>1</v>
          </cell>
          <cell r="D245">
            <v>3</v>
          </cell>
          <cell r="E245">
            <v>0</v>
          </cell>
          <cell r="F245">
            <v>0</v>
          </cell>
        </row>
        <row r="246">
          <cell r="A246" t="str">
            <v>SHJ-ZQLS12-K0-XL</v>
          </cell>
          <cell r="B246" t="str">
            <v>SHJ-ZQLS12</v>
          </cell>
          <cell r="C246">
            <v>3</v>
          </cell>
          <cell r="D246">
            <v>2</v>
          </cell>
          <cell r="E246">
            <v>0</v>
          </cell>
          <cell r="F246">
            <v>0</v>
          </cell>
        </row>
        <row r="247">
          <cell r="A247" t="str">
            <v>YZ-HM1757-K0-L</v>
          </cell>
          <cell r="B247" t="str">
            <v>YZ-HM1757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</row>
        <row r="248">
          <cell r="A248" t="str">
            <v>YZ-ZQ1521RM5XL</v>
          </cell>
          <cell r="B248" t="str">
            <v>YZ-ZQ1521</v>
          </cell>
          <cell r="C248">
            <v>2</v>
          </cell>
          <cell r="D248">
            <v>4</v>
          </cell>
          <cell r="E248">
            <v>0</v>
          </cell>
          <cell r="F248">
            <v>0</v>
          </cell>
        </row>
        <row r="249">
          <cell r="A249" t="str">
            <v>YZ-ZQ15919-B0-4X</v>
          </cell>
          <cell r="B249" t="str">
            <v>YZ-ZQ1519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</row>
        <row r="250">
          <cell r="A250" t="str">
            <v>YZ-ZQ16103ZL2XL</v>
          </cell>
          <cell r="B250" t="str">
            <v>YZ-ZQ16103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</row>
        <row r="251">
          <cell r="A251" t="str">
            <v>YZ-ZQFT1816-O0-S</v>
          </cell>
          <cell r="B251" t="str">
            <v>YZ-ZQFT1816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</row>
        <row r="252">
          <cell r="A252" t="str">
            <v>YZ-HM241-ZL-M</v>
          </cell>
          <cell r="B252" t="str">
            <v>YZ-HM241</v>
          </cell>
          <cell r="C252">
            <v>0</v>
          </cell>
          <cell r="D252">
            <v>1</v>
          </cell>
          <cell r="E252">
            <v>0</v>
          </cell>
          <cell r="F252">
            <v>0</v>
          </cell>
        </row>
        <row r="253">
          <cell r="A253" t="str">
            <v>YZ-SUBL03-K0-S</v>
          </cell>
          <cell r="B253" t="str">
            <v>YZ-SUBL03</v>
          </cell>
          <cell r="C253">
            <v>9</v>
          </cell>
          <cell r="D253">
            <v>4</v>
          </cell>
          <cell r="E253">
            <v>0</v>
          </cell>
          <cell r="F253">
            <v>0</v>
          </cell>
        </row>
        <row r="254">
          <cell r="A254" t="str">
            <v>YZ-CL7042-R0-M</v>
          </cell>
          <cell r="B254" t="str">
            <v>YZ-CL7042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</row>
        <row r="255">
          <cell r="A255" t="str">
            <v>YZ-HM1683-BDB0-52</v>
          </cell>
          <cell r="B255" t="str">
            <v>YZ-HM1683</v>
          </cell>
          <cell r="C255">
            <v>0</v>
          </cell>
          <cell r="D255">
            <v>1</v>
          </cell>
          <cell r="E255">
            <v>0</v>
          </cell>
          <cell r="F255">
            <v>0</v>
          </cell>
        </row>
        <row r="256">
          <cell r="A256" t="str">
            <v>LYQ-ZQ1117-C0-M</v>
          </cell>
          <cell r="B256" t="str">
            <v>LYQ-ZQ1117</v>
          </cell>
          <cell r="C256">
            <v>0</v>
          </cell>
          <cell r="D256">
            <v>1</v>
          </cell>
          <cell r="E256">
            <v>0</v>
          </cell>
          <cell r="F256">
            <v>0</v>
          </cell>
        </row>
        <row r="257">
          <cell r="A257" t="str">
            <v>YZ-ZQ1521RL2XL</v>
          </cell>
          <cell r="B257" t="str">
            <v>YZ-ZQ1521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</row>
        <row r="258">
          <cell r="A258" t="str">
            <v>YZ-CL0001-R0-XS</v>
          </cell>
          <cell r="B258" t="str">
            <v>YZ-CL0001</v>
          </cell>
          <cell r="C258">
            <v>0</v>
          </cell>
          <cell r="D258">
            <v>1</v>
          </cell>
          <cell r="E258">
            <v>0</v>
          </cell>
          <cell r="F258">
            <v>0</v>
          </cell>
        </row>
        <row r="259">
          <cell r="A259" t="str">
            <v>YZ-HM241-DS-2XL</v>
          </cell>
          <cell r="B259" t="str">
            <v>YZ-HM241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</row>
        <row r="260">
          <cell r="A260" t="str">
            <v>YZ-ZQBL03-R2-2XL</v>
          </cell>
          <cell r="B260" t="str">
            <v>YZ-ZQBL03</v>
          </cell>
          <cell r="C260">
            <v>4</v>
          </cell>
          <cell r="D260">
            <v>3</v>
          </cell>
          <cell r="E260">
            <v>0</v>
          </cell>
          <cell r="F260">
            <v>0</v>
          </cell>
        </row>
        <row r="261">
          <cell r="A261" t="str">
            <v>YZ-HMBKN17015-K0-L</v>
          </cell>
          <cell r="B261" t="str">
            <v>YZ-HMBKN17015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</row>
        <row r="262">
          <cell r="A262" t="str">
            <v>YZ-HM1757-Pi-XL</v>
          </cell>
          <cell r="B262" t="str">
            <v>YZ-HM17845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</row>
        <row r="263">
          <cell r="A263" t="str">
            <v>YZ-ZQ1521GF4XL</v>
          </cell>
          <cell r="B263" t="str">
            <v>YZ-ZQ1521</v>
          </cell>
          <cell r="C263">
            <v>0</v>
          </cell>
          <cell r="D263">
            <v>6</v>
          </cell>
          <cell r="E263">
            <v>0</v>
          </cell>
          <cell r="F263">
            <v>0</v>
          </cell>
        </row>
        <row r="264">
          <cell r="A264" t="str">
            <v>YZ-ZQ1521WP3XL</v>
          </cell>
          <cell r="B264" t="str">
            <v>YZ-ZQ1521</v>
          </cell>
          <cell r="C264">
            <v>2</v>
          </cell>
          <cell r="D264">
            <v>3</v>
          </cell>
          <cell r="E264">
            <v>0</v>
          </cell>
          <cell r="F264">
            <v>0</v>
          </cell>
        </row>
        <row r="265">
          <cell r="A265" t="str">
            <v>YZ-SUBL03-K0-M</v>
          </cell>
          <cell r="B265" t="str">
            <v>YZ-SUBL03</v>
          </cell>
          <cell r="C265">
            <v>8</v>
          </cell>
          <cell r="D265">
            <v>5</v>
          </cell>
          <cell r="E265">
            <v>0</v>
          </cell>
          <cell r="F265">
            <v>0</v>
          </cell>
        </row>
        <row r="266">
          <cell r="A266" t="str">
            <v>YZ-ZQ1732-B0-L</v>
          </cell>
          <cell r="B266" t="str">
            <v>YZ-ZQ1732</v>
          </cell>
          <cell r="C266">
            <v>0</v>
          </cell>
          <cell r="D266">
            <v>1</v>
          </cell>
          <cell r="E266">
            <v>0</v>
          </cell>
          <cell r="F266">
            <v>0</v>
          </cell>
        </row>
        <row r="267">
          <cell r="A267" t="str">
            <v>YZ-ZQ1521RFXL</v>
          </cell>
          <cell r="B267" t="str">
            <v>YZ-ZQ1521</v>
          </cell>
          <cell r="C267">
            <v>0</v>
          </cell>
          <cell r="D267">
            <v>1</v>
          </cell>
          <cell r="E267">
            <v>0</v>
          </cell>
          <cell r="F267">
            <v>0</v>
          </cell>
        </row>
        <row r="268">
          <cell r="A268" t="str">
            <v>YZ-ZQ1521KF2XL</v>
          </cell>
          <cell r="B268" t="str">
            <v>YZ-ZQ1521</v>
          </cell>
          <cell r="C268">
            <v>0</v>
          </cell>
          <cell r="D268">
            <v>2</v>
          </cell>
          <cell r="E268">
            <v>0</v>
          </cell>
          <cell r="F268">
            <v>0</v>
          </cell>
        </row>
        <row r="269">
          <cell r="A269" t="str">
            <v>YZ-ZQBL03-B0-XL</v>
          </cell>
          <cell r="B269" t="str">
            <v>YZ-ZQBL03</v>
          </cell>
          <cell r="C269">
            <v>0</v>
          </cell>
          <cell r="D269">
            <v>4</v>
          </cell>
          <cell r="E269">
            <v>0</v>
          </cell>
          <cell r="F269">
            <v>0</v>
          </cell>
        </row>
        <row r="270">
          <cell r="A270" t="str">
            <v>YZ-ZQ6189P054</v>
          </cell>
          <cell r="B270" t="str">
            <v>YZ-ZQ6189</v>
          </cell>
          <cell r="C270">
            <v>0</v>
          </cell>
          <cell r="D270">
            <v>1</v>
          </cell>
          <cell r="E270">
            <v>0</v>
          </cell>
          <cell r="F270">
            <v>0</v>
          </cell>
        </row>
        <row r="271">
          <cell r="A271" t="str">
            <v>YZ-ZQFT1816-Y0-5X</v>
          </cell>
          <cell r="B271" t="str">
            <v>YZ-ZQFT1816</v>
          </cell>
          <cell r="C271">
            <v>0</v>
          </cell>
          <cell r="D271">
            <v>1</v>
          </cell>
          <cell r="E271">
            <v>0</v>
          </cell>
          <cell r="F271">
            <v>0</v>
          </cell>
        </row>
        <row r="272">
          <cell r="A272" t="str">
            <v>YZ-ZQBL03-R2-L</v>
          </cell>
          <cell r="B272" t="str">
            <v>YZ-ZQBL03</v>
          </cell>
          <cell r="C272">
            <v>8</v>
          </cell>
          <cell r="D272">
            <v>2</v>
          </cell>
          <cell r="E272">
            <v>0</v>
          </cell>
          <cell r="F272">
            <v>0</v>
          </cell>
        </row>
        <row r="273">
          <cell r="A273" t="str">
            <v>YZ-ZQ1521RMXL</v>
          </cell>
          <cell r="B273" t="str">
            <v>YZ-ZQ1521</v>
          </cell>
          <cell r="C273">
            <v>1</v>
          </cell>
          <cell r="D273">
            <v>2</v>
          </cell>
          <cell r="E273">
            <v>0</v>
          </cell>
          <cell r="F273">
            <v>0</v>
          </cell>
        </row>
        <row r="274">
          <cell r="A274" t="str">
            <v>LYQ-ZQPC01-ZL-XXL</v>
          </cell>
          <cell r="B274" t="str">
            <v>LYQ-ZQPC01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</row>
        <row r="275">
          <cell r="A275" t="str">
            <v>YZ-JY5694-K0-XL</v>
          </cell>
          <cell r="B275" t="str">
            <v>YZ-JY5694</v>
          </cell>
          <cell r="C275">
            <v>0</v>
          </cell>
          <cell r="D275">
            <v>2</v>
          </cell>
          <cell r="E275">
            <v>0</v>
          </cell>
          <cell r="F275">
            <v>0</v>
          </cell>
        </row>
        <row r="276">
          <cell r="A276" t="str">
            <v>YZ-ZQ1521WP4XL</v>
          </cell>
          <cell r="B276" t="str">
            <v>YZ-ZQ1521</v>
          </cell>
          <cell r="C276">
            <v>1</v>
          </cell>
          <cell r="D276">
            <v>3</v>
          </cell>
          <cell r="E276">
            <v>0</v>
          </cell>
          <cell r="F276">
            <v>0</v>
          </cell>
        </row>
        <row r="277">
          <cell r="A277" t="str">
            <v>YZ-SUZQ598-R0-L</v>
          </cell>
          <cell r="B277" t="str">
            <v>YZ-SUZQ598</v>
          </cell>
          <cell r="C277">
            <v>0</v>
          </cell>
          <cell r="D277">
            <v>1</v>
          </cell>
          <cell r="E277">
            <v>0</v>
          </cell>
          <cell r="F277">
            <v>0</v>
          </cell>
        </row>
        <row r="278">
          <cell r="A278" t="str">
            <v>YZ-ZQ298N0XL</v>
          </cell>
          <cell r="B278" t="str">
            <v>YZ-ZQ298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</row>
        <row r="279">
          <cell r="A279" t="str">
            <v>YZ-SUBL03-K0-XS</v>
          </cell>
          <cell r="B279" t="str">
            <v>YZ-SUBL03</v>
          </cell>
          <cell r="C279">
            <v>1</v>
          </cell>
          <cell r="D279">
            <v>2</v>
          </cell>
          <cell r="E279">
            <v>0</v>
          </cell>
          <cell r="F279">
            <v>0</v>
          </cell>
        </row>
        <row r="280">
          <cell r="A280" t="str">
            <v>LYQ-ZQD390-G0-S</v>
          </cell>
          <cell r="B280" t="str">
            <v>LYQ-ZQD390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</row>
        <row r="281">
          <cell r="A281" t="str">
            <v>YZ-HM1478-Wi-L</v>
          </cell>
          <cell r="B281" t="str">
            <v>YZ-HM1478</v>
          </cell>
          <cell r="C281">
            <v>0</v>
          </cell>
          <cell r="D281">
            <v>1</v>
          </cell>
          <cell r="E281">
            <v>0</v>
          </cell>
          <cell r="F281">
            <v>0</v>
          </cell>
        </row>
        <row r="282">
          <cell r="A282" t="str">
            <v>LYQ-ZQ2973-W1-2XL</v>
          </cell>
          <cell r="B282" t="str">
            <v>LYQ-ZQ2973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</row>
        <row r="283">
          <cell r="A283" t="str">
            <v>YZ-ZQ7777R018</v>
          </cell>
          <cell r="B283" t="str">
            <v>YZ-ZQ7777</v>
          </cell>
          <cell r="C283">
            <v>0</v>
          </cell>
          <cell r="D283">
            <v>1</v>
          </cell>
          <cell r="E283">
            <v>0</v>
          </cell>
          <cell r="F283">
            <v>0</v>
          </cell>
        </row>
        <row r="284">
          <cell r="A284" t="str">
            <v>YZ-ZQQ9227-K0-4X</v>
          </cell>
          <cell r="B284" t="str">
            <v>YZ-ZQQ9227</v>
          </cell>
          <cell r="C284">
            <v>0</v>
          </cell>
          <cell r="D284">
            <v>1</v>
          </cell>
          <cell r="E284">
            <v>0</v>
          </cell>
          <cell r="F284">
            <v>0</v>
          </cell>
        </row>
        <row r="285">
          <cell r="A285" t="str">
            <v>LYQ-CLBAH002-S</v>
          </cell>
          <cell r="B285" t="str">
            <v>LYQ-CLBAH002</v>
          </cell>
          <cell r="C285">
            <v>1</v>
          </cell>
          <cell r="D285">
            <v>1</v>
          </cell>
          <cell r="E285">
            <v>0</v>
          </cell>
          <cell r="F285">
            <v>0</v>
          </cell>
        </row>
        <row r="286">
          <cell r="A286" t="str">
            <v>YZ-ZQ15905-K0-M</v>
          </cell>
          <cell r="B286" t="str">
            <v>YZ-ZQ15905</v>
          </cell>
          <cell r="C286">
            <v>0</v>
          </cell>
          <cell r="D286">
            <v>1</v>
          </cell>
          <cell r="E286">
            <v>0</v>
          </cell>
          <cell r="F286">
            <v>0</v>
          </cell>
        </row>
        <row r="287">
          <cell r="A287" t="str">
            <v>YZ-ZQ1732-K0-M</v>
          </cell>
          <cell r="B287" t="str">
            <v>YZ-ZQ1732</v>
          </cell>
          <cell r="C287">
            <v>0</v>
          </cell>
          <cell r="D287">
            <v>1</v>
          </cell>
          <cell r="E287">
            <v>0</v>
          </cell>
          <cell r="F287">
            <v>0</v>
          </cell>
        </row>
        <row r="288">
          <cell r="A288" t="str">
            <v>YZ-ZQQ9227-K0-S</v>
          </cell>
          <cell r="B288" t="str">
            <v>YZ-ZQQ9227</v>
          </cell>
          <cell r="C288">
            <v>1</v>
          </cell>
          <cell r="D288">
            <v>1</v>
          </cell>
          <cell r="E288">
            <v>0</v>
          </cell>
          <cell r="F288">
            <v>0</v>
          </cell>
        </row>
        <row r="289">
          <cell r="A289" t="str">
            <v>LYQ-1001-R0-L</v>
          </cell>
          <cell r="B289" t="str">
            <v>LYQ-1001</v>
          </cell>
          <cell r="C289">
            <v>0</v>
          </cell>
          <cell r="D289">
            <v>1</v>
          </cell>
          <cell r="E289">
            <v>0</v>
          </cell>
          <cell r="F289">
            <v>0</v>
          </cell>
        </row>
        <row r="290">
          <cell r="A290" t="str">
            <v>LYQ-ZQ1117-BD-2XL</v>
          </cell>
          <cell r="B290" t="str">
            <v>LYQ-ZQ1117</v>
          </cell>
          <cell r="C290">
            <v>0</v>
          </cell>
          <cell r="D290">
            <v>1</v>
          </cell>
          <cell r="E290">
            <v>0</v>
          </cell>
          <cell r="F290">
            <v>0</v>
          </cell>
        </row>
        <row r="291">
          <cell r="A291" t="str">
            <v>YZ-HM241-G0-L</v>
          </cell>
          <cell r="B291" t="str">
            <v>YZ-HM241</v>
          </cell>
          <cell r="C291">
            <v>0</v>
          </cell>
          <cell r="D291">
            <v>1</v>
          </cell>
          <cell r="E291">
            <v>0</v>
          </cell>
          <cell r="F291">
            <v>0</v>
          </cell>
        </row>
        <row r="292">
          <cell r="A292" t="str">
            <v>YZ-ZQMICAIK0XL</v>
          </cell>
          <cell r="B292" t="str">
            <v>YZ-ZQMICAI</v>
          </cell>
          <cell r="C292">
            <v>0</v>
          </cell>
          <cell r="D292">
            <v>1</v>
          </cell>
          <cell r="E292">
            <v>0</v>
          </cell>
          <cell r="F292">
            <v>0</v>
          </cell>
        </row>
        <row r="293">
          <cell r="A293" t="str">
            <v>LYQ-ZQPC01-ZL-M</v>
          </cell>
          <cell r="B293" t="str">
            <v>LYQ-ZQPC01</v>
          </cell>
          <cell r="C293">
            <v>0</v>
          </cell>
          <cell r="D293">
            <v>1</v>
          </cell>
          <cell r="E293">
            <v>0</v>
          </cell>
          <cell r="F293">
            <v>0</v>
          </cell>
        </row>
        <row r="294">
          <cell r="A294" t="str">
            <v>YZ-CL0001-R1-S</v>
          </cell>
          <cell r="B294" t="str">
            <v>YZ-CL0001</v>
          </cell>
          <cell r="C294">
            <v>0</v>
          </cell>
          <cell r="D294">
            <v>1</v>
          </cell>
          <cell r="E294">
            <v>0</v>
          </cell>
          <cell r="F294">
            <v>0</v>
          </cell>
        </row>
        <row r="295">
          <cell r="A295" t="str">
            <v>YZ-HM7035-DJG0-M</v>
          </cell>
          <cell r="B295" t="str">
            <v>YZ-HM7035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</row>
        <row r="296">
          <cell r="A296" t="str">
            <v>LYQ-LY064-G0-L</v>
          </cell>
          <cell r="B296" t="str">
            <v>LYQ-LY064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</row>
        <row r="297">
          <cell r="A297" t="str">
            <v>YZ-ZQ1521RF2XL</v>
          </cell>
          <cell r="B297" t="str">
            <v>YZ-ZQ1521</v>
          </cell>
          <cell r="C297">
            <v>1</v>
          </cell>
          <cell r="D297">
            <v>0</v>
          </cell>
          <cell r="E297">
            <v>0</v>
          </cell>
          <cell r="F297">
            <v>0</v>
          </cell>
        </row>
        <row r="298">
          <cell r="A298" t="str">
            <v>YZ-ZQA100-G0-L</v>
          </cell>
          <cell r="B298" t="str">
            <v>YZ-ZQA100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</row>
        <row r="299">
          <cell r="A299" t="str">
            <v>YZ-HM7035-DJG0-L</v>
          </cell>
          <cell r="B299" t="str">
            <v>YZ-HM7035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</row>
        <row r="300">
          <cell r="A300" t="str">
            <v>YZ-ZQFT1816-O0-5X</v>
          </cell>
          <cell r="B300" t="str">
            <v>YZ-ZQFT1816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</row>
        <row r="301">
          <cell r="A301" t="str">
            <v>YZ-ZQ15905-K0-S</v>
          </cell>
          <cell r="B301" t="str">
            <v>YZ-ZQ15905</v>
          </cell>
          <cell r="C301">
            <v>2</v>
          </cell>
          <cell r="D301">
            <v>0</v>
          </cell>
          <cell r="E301">
            <v>0</v>
          </cell>
          <cell r="F301">
            <v>0</v>
          </cell>
        </row>
        <row r="302">
          <cell r="A302" t="str">
            <v>LYQ-ZQ2973-G0-M</v>
          </cell>
          <cell r="B302" t="str">
            <v>LYQ-ZQ2973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</row>
        <row r="303">
          <cell r="A303" t="str">
            <v>YZ-ZQ6667R050</v>
          </cell>
          <cell r="B303" t="str">
            <v>YZ-ZQ6667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</row>
        <row r="304">
          <cell r="A304" t="str">
            <v>LYQ-ZQ1117-G7-L</v>
          </cell>
          <cell r="B304" t="str">
            <v>LYQ-ZQ1117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</row>
        <row r="305">
          <cell r="A305" t="str">
            <v>YZ-ZQ1519-K0-5X</v>
          </cell>
          <cell r="B305" t="str">
            <v>YZ-ZQ1519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</row>
        <row r="306">
          <cell r="A306" t="str">
            <v>YZ-ZQ6667R054</v>
          </cell>
          <cell r="B306" t="str">
            <v>YZ-ZQ6667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</row>
        <row r="307">
          <cell r="A307" t="str">
            <v>YZ-SUBL03-K0-L</v>
          </cell>
          <cell r="B307" t="str">
            <v>YZ-SUBL03</v>
          </cell>
          <cell r="C307">
            <v>5</v>
          </cell>
          <cell r="D307">
            <v>0</v>
          </cell>
          <cell r="E307">
            <v>0</v>
          </cell>
          <cell r="F307">
            <v>0</v>
          </cell>
        </row>
        <row r="308">
          <cell r="A308" t="str">
            <v>YZ-JY5694-K0-L</v>
          </cell>
          <cell r="B308" t="str">
            <v>YZ-JY5694</v>
          </cell>
          <cell r="C308">
            <v>1</v>
          </cell>
          <cell r="D308">
            <v>0</v>
          </cell>
          <cell r="E308">
            <v>0</v>
          </cell>
          <cell r="F308">
            <v>0</v>
          </cell>
        </row>
        <row r="309">
          <cell r="A309" t="str">
            <v>YZ-SUZQBL03-K0-3X</v>
          </cell>
          <cell r="B309" t="str">
            <v>YZ-SUZQBL03</v>
          </cell>
          <cell r="C309">
            <v>2</v>
          </cell>
          <cell r="D309">
            <v>0</v>
          </cell>
          <cell r="E309">
            <v>0</v>
          </cell>
          <cell r="F309">
            <v>0</v>
          </cell>
        </row>
        <row r="310">
          <cell r="A310" t="str">
            <v>YZ-ZQ1521GW2XL</v>
          </cell>
          <cell r="B310" t="str">
            <v>YZ-ZQ1521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</row>
        <row r="311">
          <cell r="A311" t="str">
            <v>LYQ-ZQ1880-ZL-L</v>
          </cell>
          <cell r="B311" t="str">
            <v>LYQ-ZQ1880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</row>
        <row r="312">
          <cell r="A312" t="str">
            <v>YZ-HM241-DS-L</v>
          </cell>
          <cell r="B312" t="str">
            <v>YZ-HM241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</row>
        <row r="313">
          <cell r="A313" t="str">
            <v>YZ-ZQ15827R2XL</v>
          </cell>
          <cell r="B313" t="str">
            <v>YZ-ZQ15827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</row>
        <row r="314">
          <cell r="A314" t="str">
            <v>YZ-ZQQ9227-K0-XL</v>
          </cell>
          <cell r="B314" t="str">
            <v>YZ-ZQQ9227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</row>
        <row r="315">
          <cell r="A315" t="str">
            <v>YZ-ZQ16103ZL3XL</v>
          </cell>
          <cell r="B315" t="str">
            <v>YZ-ZQ16103</v>
          </cell>
          <cell r="C315">
            <v>2</v>
          </cell>
          <cell r="D315">
            <v>0</v>
          </cell>
          <cell r="E315">
            <v>0</v>
          </cell>
          <cell r="F315">
            <v>0</v>
          </cell>
        </row>
        <row r="316">
          <cell r="A316" t="str">
            <v>LYQ-ZQ2973-KQ-L</v>
          </cell>
          <cell r="B316" t="str">
            <v>LYQ-ZQ2973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</row>
        <row r="317">
          <cell r="A317" t="str">
            <v>YZ-HM0052-B0-S</v>
          </cell>
          <cell r="B317" t="str">
            <v>YZ-HM0052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</row>
        <row r="318">
          <cell r="A318" t="str">
            <v>YZ-ZQ17986W0-M</v>
          </cell>
          <cell r="B318" t="str">
            <v>YZ-ZQ17986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</row>
        <row r="319">
          <cell r="A319" t="str">
            <v>YZ-HM241-SH-L</v>
          </cell>
          <cell r="B319" t="str">
            <v>YZ-HM241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</row>
        <row r="320">
          <cell r="A320" t="str">
            <v>YZ-ZQXZ345-G0-XL</v>
          </cell>
          <cell r="B320" t="str">
            <v>YZ-ZQXZ345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</row>
        <row r="321">
          <cell r="A321" t="str">
            <v>YZ-HM7040-ZL-XL</v>
          </cell>
          <cell r="B321" t="str">
            <v>YZ-HM7040</v>
          </cell>
          <cell r="C321">
            <v>1</v>
          </cell>
          <cell r="D321">
            <v>0</v>
          </cell>
          <cell r="E321">
            <v>0</v>
          </cell>
          <cell r="F321">
            <v>0</v>
          </cell>
        </row>
        <row r="322">
          <cell r="A322" t="str">
            <v>YZ-ZQSG16121E02XL</v>
          </cell>
          <cell r="B322" t="str">
            <v>YZ-ZQSG16121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</row>
        <row r="2404">
          <cell r="A2404" t="str">
            <v>YZ-ZQ1521GF3XL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YZ-ZQBL03</v>
          </cell>
          <cell r="B2">
            <v>20.7886111111111</v>
          </cell>
        </row>
        <row r="3">
          <cell r="A3" t="str">
            <v>YZ-SUZQBL03</v>
          </cell>
          <cell r="B3">
            <v>19.724693877551</v>
          </cell>
        </row>
        <row r="4">
          <cell r="A4" t="str">
            <v>YZ-SUZQ9441</v>
          </cell>
          <cell r="B4">
            <v>19.99</v>
          </cell>
        </row>
        <row r="5">
          <cell r="A5" t="str">
            <v>YZ-ZQQ9217</v>
          </cell>
          <cell r="B5">
            <v>19.3233333333333</v>
          </cell>
        </row>
        <row r="6">
          <cell r="A6" t="str">
            <v>YZ-HM111</v>
          </cell>
          <cell r="B6">
            <v>18.765625</v>
          </cell>
        </row>
        <row r="7">
          <cell r="A7" t="str">
            <v>YZ-HM1727</v>
          </cell>
          <cell r="B7">
            <v>18.6474545454545</v>
          </cell>
        </row>
        <row r="8">
          <cell r="A8" t="str">
            <v>LYQ-ZQ3550</v>
          </cell>
          <cell r="B8">
            <v>16.1605426356589</v>
          </cell>
        </row>
        <row r="9">
          <cell r="A9" t="str">
            <v>LYQ-CLBAH002</v>
          </cell>
          <cell r="B9">
            <v>29.99</v>
          </cell>
        </row>
        <row r="10">
          <cell r="A10" t="str">
            <v>YZ-HM1728</v>
          </cell>
          <cell r="B10">
            <v>18.1068831168831</v>
          </cell>
        </row>
        <row r="11">
          <cell r="A11" t="str">
            <v>YZ-HMBKN17015</v>
          </cell>
          <cell r="B11">
            <v>16.99</v>
          </cell>
        </row>
        <row r="12">
          <cell r="A12" t="str">
            <v>YZ-ZQ1733</v>
          </cell>
          <cell r="B12">
            <v>17.73</v>
          </cell>
        </row>
        <row r="13">
          <cell r="A13" t="str">
            <v>YZ-HM241</v>
          </cell>
          <cell r="B13">
            <v>14.7293333333333</v>
          </cell>
        </row>
        <row r="14">
          <cell r="A14" t="str">
            <v>YZ-ZQ15827</v>
          </cell>
          <cell r="B14">
            <v>20.69</v>
          </cell>
        </row>
        <row r="15">
          <cell r="A15" t="str">
            <v>YZ-ZQ1521</v>
          </cell>
          <cell r="B15">
            <v>19.4548056537102</v>
          </cell>
        </row>
        <row r="16">
          <cell r="A16" t="str">
            <v>YZ-ZQ6667</v>
          </cell>
          <cell r="B16">
            <v>25.79</v>
          </cell>
        </row>
        <row r="17">
          <cell r="A17" t="str">
            <v>YZ-JY2526</v>
          </cell>
          <cell r="B17">
            <v>18.6466666666667</v>
          </cell>
        </row>
        <row r="18">
          <cell r="A18" t="str">
            <v>YZ-ZQMICAI</v>
          </cell>
          <cell r="B18">
            <v>16.99</v>
          </cell>
        </row>
        <row r="19">
          <cell r="A19" t="str">
            <v>YZ-HMBKN30</v>
          </cell>
          <cell r="B19" t="e">
            <v>#DIV/0!</v>
          </cell>
        </row>
        <row r="20">
          <cell r="A20" t="str">
            <v>YZ-HM5048</v>
          </cell>
          <cell r="B20" t="e">
            <v>#DIV/0!</v>
          </cell>
        </row>
        <row r="21">
          <cell r="A21" t="str">
            <v>YZ-SUZQ388</v>
          </cell>
          <cell r="B21">
            <v>19.918</v>
          </cell>
        </row>
        <row r="22">
          <cell r="A22" t="str">
            <v>LYQ-ZQD390</v>
          </cell>
          <cell r="B22">
            <v>16.99</v>
          </cell>
        </row>
        <row r="23">
          <cell r="A23" t="str">
            <v>YZ-ZQadn1601</v>
          </cell>
          <cell r="B23">
            <v>18.99</v>
          </cell>
        </row>
        <row r="24">
          <cell r="A24" t="str">
            <v>YZ-ZQ112</v>
          </cell>
          <cell r="B24">
            <v>14.99</v>
          </cell>
        </row>
        <row r="25">
          <cell r="A25" t="str">
            <v>YZ-ZQQ9227</v>
          </cell>
          <cell r="B25">
            <v>20.7757142857143</v>
          </cell>
        </row>
        <row r="26">
          <cell r="A26" t="str">
            <v>YZ-ZQFT1816</v>
          </cell>
          <cell r="B26">
            <v>19.99</v>
          </cell>
        </row>
        <row r="27">
          <cell r="A27" t="str">
            <v>YZ-HM1757</v>
          </cell>
          <cell r="B27">
            <v>16.99</v>
          </cell>
        </row>
        <row r="28">
          <cell r="A28" t="str">
            <v>YZ-ZQ298</v>
          </cell>
          <cell r="B28" t="e">
            <v>#DIV/0!</v>
          </cell>
        </row>
        <row r="29">
          <cell r="A29" t="str">
            <v>YZ-ZQ789</v>
          </cell>
          <cell r="B29">
            <v>15.7677777777778</v>
          </cell>
        </row>
        <row r="30">
          <cell r="A30" t="str">
            <v>YZ-ZQ17985</v>
          </cell>
          <cell r="B30">
            <v>16.99</v>
          </cell>
        </row>
        <row r="31">
          <cell r="A31" t="str">
            <v>YZ-HM17845</v>
          </cell>
          <cell r="B31">
            <v>16.99</v>
          </cell>
        </row>
        <row r="32">
          <cell r="A32" t="str">
            <v>YZ-HM17077</v>
          </cell>
          <cell r="B32">
            <v>18.18</v>
          </cell>
        </row>
        <row r="33">
          <cell r="A33" t="str">
            <v>YZ-ZQ16597</v>
          </cell>
          <cell r="B33">
            <v>17.99</v>
          </cell>
        </row>
        <row r="34">
          <cell r="A34" t="str">
            <v>LYQ-ZQ7900</v>
          </cell>
          <cell r="B34">
            <v>17.49</v>
          </cell>
        </row>
        <row r="35">
          <cell r="A35" t="str">
            <v>YZ-ZQMS02</v>
          </cell>
          <cell r="B35">
            <v>19.9</v>
          </cell>
        </row>
        <row r="36">
          <cell r="A36" t="str">
            <v>YZ-ZQ1617</v>
          </cell>
          <cell r="B36">
            <v>14.49</v>
          </cell>
        </row>
        <row r="37">
          <cell r="A37" t="str">
            <v>YZ-ZQ16103</v>
          </cell>
          <cell r="B37">
            <v>25.24</v>
          </cell>
        </row>
        <row r="38">
          <cell r="A38" t="str">
            <v>MZ-JY1616</v>
          </cell>
          <cell r="B38">
            <v>9.98</v>
          </cell>
        </row>
        <row r="39">
          <cell r="A39" t="str">
            <v>YZ-ZQA100</v>
          </cell>
          <cell r="B39">
            <v>13.3233333333333</v>
          </cell>
        </row>
        <row r="40">
          <cell r="A40" t="str">
            <v>LYQ-HM1205</v>
          </cell>
          <cell r="B40">
            <v>25.99</v>
          </cell>
        </row>
        <row r="41">
          <cell r="A41" t="str">
            <v>LYQ-ZQ1880</v>
          </cell>
          <cell r="B41">
            <v>19.99</v>
          </cell>
        </row>
        <row r="42">
          <cell r="A42" t="str">
            <v>WT-ZQ921</v>
          </cell>
          <cell r="B42">
            <v>18.99</v>
          </cell>
        </row>
        <row r="43">
          <cell r="A43" t="str">
            <v>LYQ-ZQ2973</v>
          </cell>
          <cell r="B43">
            <v>18.99</v>
          </cell>
        </row>
        <row r="44">
          <cell r="A44" t="str">
            <v>YZ-SUZQ598</v>
          </cell>
          <cell r="B44">
            <v>19.99</v>
          </cell>
        </row>
        <row r="45">
          <cell r="A45" t="str">
            <v>YZ-JY5694</v>
          </cell>
          <cell r="B45">
            <v>18.98</v>
          </cell>
        </row>
        <row r="46">
          <cell r="A46" t="str">
            <v>YZ-ZQ15905</v>
          </cell>
          <cell r="B46">
            <v>19.99</v>
          </cell>
        </row>
        <row r="47">
          <cell r="A47" t="str">
            <v>YZ-ZQ1715</v>
          </cell>
          <cell r="B47">
            <v>15.9</v>
          </cell>
        </row>
        <row r="48">
          <cell r="A48" t="str">
            <v>YZ-SM-HM30CH</v>
          </cell>
          <cell r="B48">
            <v>15.09</v>
          </cell>
        </row>
        <row r="49">
          <cell r="A49" t="str">
            <v>LYQ-ZQ1669</v>
          </cell>
          <cell r="B49">
            <v>16.99</v>
          </cell>
        </row>
        <row r="50">
          <cell r="A50" t="str">
            <v>YZ-CLD072</v>
          </cell>
          <cell r="B50">
            <v>17.88</v>
          </cell>
        </row>
        <row r="51">
          <cell r="A51" t="str">
            <v>YZ-ZQ7777</v>
          </cell>
          <cell r="B51">
            <v>23.99</v>
          </cell>
        </row>
        <row r="52">
          <cell r="A52" t="str">
            <v>LYQ-LY014</v>
          </cell>
          <cell r="B52">
            <v>18.96</v>
          </cell>
        </row>
        <row r="53">
          <cell r="A53" t="str">
            <v>SHJ-ZQLS12</v>
          </cell>
          <cell r="B53">
            <v>19.615</v>
          </cell>
        </row>
        <row r="54">
          <cell r="A54" t="str">
            <v>YZ-ZQ1519</v>
          </cell>
          <cell r="B54">
            <v>19.99</v>
          </cell>
        </row>
        <row r="55">
          <cell r="A55" t="str">
            <v>LYQ-ZQPC01</v>
          </cell>
          <cell r="B55">
            <v>19.49</v>
          </cell>
        </row>
        <row r="56">
          <cell r="A56" t="str">
            <v>YZ-HM0052</v>
          </cell>
          <cell r="B56">
            <v>19.99</v>
          </cell>
        </row>
        <row r="57">
          <cell r="A57" t="str">
            <v>YZ-ZQ1732</v>
          </cell>
          <cell r="B57">
            <v>17.3233333333333</v>
          </cell>
        </row>
        <row r="58">
          <cell r="A58" t="str">
            <v>YZ-SUZQ187</v>
          </cell>
          <cell r="B58">
            <v>19.99</v>
          </cell>
        </row>
        <row r="59">
          <cell r="A59" t="str">
            <v>YZ-HM1683</v>
          </cell>
          <cell r="B59">
            <v>23.88</v>
          </cell>
        </row>
        <row r="60">
          <cell r="A60" t="str">
            <v>YZ-ZQ17845</v>
          </cell>
          <cell r="B60">
            <v>18.99</v>
          </cell>
        </row>
        <row r="61">
          <cell r="A61" t="str">
            <v>YZ-ZQOM388</v>
          </cell>
          <cell r="B61">
            <v>16.9</v>
          </cell>
        </row>
        <row r="62">
          <cell r="A62" t="str">
            <v>YZ-ZQ17986</v>
          </cell>
          <cell r="B62">
            <v>19.99</v>
          </cell>
        </row>
        <row r="63">
          <cell r="A63" t="str">
            <v>YZ-ZQSG16121</v>
          </cell>
          <cell r="B63">
            <v>19.99</v>
          </cell>
        </row>
        <row r="64">
          <cell r="A64" t="str">
            <v>YZ-CL7042</v>
          </cell>
          <cell r="B64">
            <v>12.9</v>
          </cell>
        </row>
        <row r="65">
          <cell r="A65" t="str">
            <v>YZ-SUBL03</v>
          </cell>
          <cell r="B65">
            <v>19.99</v>
          </cell>
        </row>
        <row r="66">
          <cell r="A66" t="str">
            <v>LYQ-ZQ1117</v>
          </cell>
          <cell r="B66">
            <v>15.99</v>
          </cell>
        </row>
        <row r="67">
          <cell r="A67" t="str">
            <v>YZ-CL0001</v>
          </cell>
          <cell r="B67">
            <v>9.9</v>
          </cell>
        </row>
        <row r="68">
          <cell r="A68" t="str">
            <v>YZ-ZQ6189</v>
          </cell>
          <cell r="B68">
            <v>19.99</v>
          </cell>
        </row>
        <row r="69">
          <cell r="A69" t="str">
            <v>YZ-HM1478</v>
          </cell>
          <cell r="B69">
            <v>19.9</v>
          </cell>
        </row>
        <row r="70">
          <cell r="A70" t="str">
            <v>LYQ-1001</v>
          </cell>
          <cell r="B70">
            <v>15.99</v>
          </cell>
        </row>
        <row r="71">
          <cell r="A71" t="str">
            <v>YZ-HM7035</v>
          </cell>
          <cell r="B71">
            <v>16.99</v>
          </cell>
        </row>
        <row r="72">
          <cell r="A72" t="str">
            <v>LYQ-LY064</v>
          </cell>
          <cell r="B72">
            <v>18.96</v>
          </cell>
        </row>
        <row r="73">
          <cell r="A73" t="str">
            <v>YZ-ZQXZ345</v>
          </cell>
          <cell r="B73">
            <v>19.9</v>
          </cell>
        </row>
        <row r="74">
          <cell r="A74" t="str">
            <v>YZ-HM7040</v>
          </cell>
          <cell r="B74">
            <v>14.9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159</v>
          </cell>
          <cell r="C2">
            <v>199</v>
          </cell>
          <cell r="D2">
            <v>199</v>
          </cell>
          <cell r="E2">
            <v>186</v>
          </cell>
        </row>
        <row r="3">
          <cell r="A3" t="str">
            <v>B06WRXM3GY</v>
          </cell>
          <cell r="B3">
            <v>82</v>
          </cell>
          <cell r="C3">
            <v>100</v>
          </cell>
          <cell r="D3">
            <v>100</v>
          </cell>
          <cell r="E3">
            <v>72</v>
          </cell>
        </row>
        <row r="4">
          <cell r="A4" t="str">
            <v>B06W5JMC3G</v>
          </cell>
          <cell r="B4">
            <v>78</v>
          </cell>
          <cell r="C4">
            <v>189</v>
          </cell>
          <cell r="D4">
            <v>189</v>
          </cell>
          <cell r="E4">
            <v>125</v>
          </cell>
        </row>
        <row r="5">
          <cell r="A5" t="str">
            <v>B01N74K227</v>
          </cell>
          <cell r="B5">
            <v>200</v>
          </cell>
          <cell r="C5">
            <v>154</v>
          </cell>
          <cell r="D5">
            <v>154</v>
          </cell>
          <cell r="E5">
            <v>144</v>
          </cell>
        </row>
        <row r="6">
          <cell r="A6" t="str">
            <v>B01MYM265E</v>
          </cell>
          <cell r="B6">
            <v>32</v>
          </cell>
          <cell r="C6">
            <v>161</v>
          </cell>
          <cell r="D6">
            <v>161</v>
          </cell>
          <cell r="E6">
            <v>259</v>
          </cell>
        </row>
        <row r="7">
          <cell r="A7" t="str">
            <v>B071L9XNCJ</v>
          </cell>
          <cell r="B7">
            <v>45</v>
          </cell>
          <cell r="C7">
            <v>40</v>
          </cell>
          <cell r="D7">
            <v>40</v>
          </cell>
          <cell r="E7">
            <v>71</v>
          </cell>
        </row>
        <row r="8">
          <cell r="A8" t="str">
            <v>B06VYFC3HZ</v>
          </cell>
          <cell r="B8">
            <v>92</v>
          </cell>
          <cell r="C8">
            <v>153</v>
          </cell>
          <cell r="D8">
            <v>153</v>
          </cell>
          <cell r="E8">
            <v>96</v>
          </cell>
        </row>
        <row r="9">
          <cell r="A9" t="str">
            <v>B06XWQSHYX</v>
          </cell>
          <cell r="B9">
            <v>24</v>
          </cell>
          <cell r="C9">
            <v>29</v>
          </cell>
          <cell r="D9">
            <v>29</v>
          </cell>
          <cell r="E9">
            <v>33</v>
          </cell>
        </row>
        <row r="10">
          <cell r="A10" t="str">
            <v>B06XRGKYBC</v>
          </cell>
          <cell r="B10">
            <v>48</v>
          </cell>
          <cell r="C10">
            <v>52</v>
          </cell>
          <cell r="D10">
            <v>52</v>
          </cell>
          <cell r="E10">
            <v>20</v>
          </cell>
        </row>
        <row r="11">
          <cell r="A11" t="str">
            <v>B07BPW5ZSV</v>
          </cell>
          <cell r="B11">
            <v>44</v>
          </cell>
          <cell r="C11">
            <v>36</v>
          </cell>
          <cell r="D11">
            <v>36</v>
          </cell>
          <cell r="E11">
            <v>34</v>
          </cell>
        </row>
        <row r="12">
          <cell r="A12" t="str">
            <v>B07BPWRCZZ</v>
          </cell>
          <cell r="B12">
            <v>7</v>
          </cell>
          <cell r="C12">
            <v>63</v>
          </cell>
          <cell r="D12">
            <v>63</v>
          </cell>
          <cell r="E12">
            <v>21</v>
          </cell>
        </row>
        <row r="13">
          <cell r="A13" t="str">
            <v>B071DV9D1Q</v>
          </cell>
          <cell r="B13">
            <v>37</v>
          </cell>
          <cell r="C13">
            <v>150</v>
          </cell>
          <cell r="D13">
            <v>150</v>
          </cell>
          <cell r="E13">
            <v>103</v>
          </cell>
        </row>
        <row r="14">
          <cell r="A14" t="str">
            <v>B07C97VM95</v>
          </cell>
          <cell r="B14">
            <v>5</v>
          </cell>
          <cell r="C14">
            <v>31</v>
          </cell>
          <cell r="D14">
            <v>31</v>
          </cell>
          <cell r="E14">
            <v>27</v>
          </cell>
        </row>
        <row r="15">
          <cell r="A15" t="str">
            <v>B01N1ELDWA</v>
          </cell>
          <cell r="B15">
            <v>5</v>
          </cell>
          <cell r="C15">
            <v>27</v>
          </cell>
          <cell r="D15">
            <v>27</v>
          </cell>
          <cell r="E15">
            <v>24</v>
          </cell>
        </row>
        <row r="16">
          <cell r="A16" t="str">
            <v>B01N4L3QB1</v>
          </cell>
          <cell r="B16">
            <v>8</v>
          </cell>
          <cell r="C16">
            <v>5</v>
          </cell>
          <cell r="D16">
            <v>5</v>
          </cell>
          <cell r="E16">
            <v>9</v>
          </cell>
        </row>
        <row r="17">
          <cell r="A17" t="str">
            <v>B06XWQQ8BD</v>
          </cell>
          <cell r="B17">
            <v>21</v>
          </cell>
          <cell r="C17">
            <v>43</v>
          </cell>
          <cell r="D17">
            <v>43</v>
          </cell>
          <cell r="E17">
            <v>42</v>
          </cell>
        </row>
        <row r="18">
          <cell r="A18" t="str">
            <v>B071DV9DK1</v>
          </cell>
          <cell r="B18">
            <v>13</v>
          </cell>
          <cell r="C18">
            <v>14</v>
          </cell>
          <cell r="D18">
            <v>14</v>
          </cell>
          <cell r="E18">
            <v>9</v>
          </cell>
        </row>
        <row r="19">
          <cell r="A19" t="str">
            <v>B07BPSHDV6</v>
          </cell>
          <cell r="B19">
            <v>82</v>
          </cell>
          <cell r="C19">
            <v>51</v>
          </cell>
          <cell r="D19">
            <v>51</v>
          </cell>
          <cell r="E19">
            <v>46</v>
          </cell>
        </row>
        <row r="20">
          <cell r="A20" t="str">
            <v>B01I2I95SO</v>
          </cell>
          <cell r="B20">
            <v>35</v>
          </cell>
          <cell r="C20">
            <v>36</v>
          </cell>
          <cell r="D20">
            <v>36</v>
          </cell>
          <cell r="E20">
            <v>21</v>
          </cell>
        </row>
        <row r="21">
          <cell r="A21" t="str">
            <v>B071FZW8CS</v>
          </cell>
          <cell r="B21">
            <v>1</v>
          </cell>
          <cell r="C21">
            <v>29</v>
          </cell>
          <cell r="D21">
            <v>29</v>
          </cell>
          <cell r="E21">
            <v>39</v>
          </cell>
        </row>
        <row r="22">
          <cell r="A22" t="str">
            <v>B071JLRTDQ</v>
          </cell>
          <cell r="B22">
            <v>29</v>
          </cell>
          <cell r="C22">
            <v>5</v>
          </cell>
          <cell r="D22">
            <v>5</v>
          </cell>
          <cell r="E22">
            <v>23</v>
          </cell>
        </row>
        <row r="23">
          <cell r="A23" t="str">
            <v>B078TCMCWF</v>
          </cell>
          <cell r="B23">
            <v>11</v>
          </cell>
          <cell r="C23">
            <v>5</v>
          </cell>
          <cell r="D23">
            <v>5</v>
          </cell>
          <cell r="E23">
            <v>58</v>
          </cell>
        </row>
        <row r="24">
          <cell r="A24" t="str">
            <v>B01GJPBB7U</v>
          </cell>
          <cell r="B24">
            <v>13</v>
          </cell>
          <cell r="C24">
            <v>0</v>
          </cell>
          <cell r="D24">
            <v>0</v>
          </cell>
          <cell r="E24">
            <v>9</v>
          </cell>
        </row>
        <row r="25">
          <cell r="A25" t="str">
            <v>B01GJPBG4I</v>
          </cell>
          <cell r="B25">
            <v>23</v>
          </cell>
          <cell r="C25">
            <v>3</v>
          </cell>
          <cell r="D25">
            <v>3</v>
          </cell>
          <cell r="E25">
            <v>10</v>
          </cell>
        </row>
        <row r="26">
          <cell r="A26" t="str">
            <v>B06XWQGYFH</v>
          </cell>
          <cell r="B26">
            <v>22</v>
          </cell>
          <cell r="C26">
            <v>46</v>
          </cell>
          <cell r="D26">
            <v>46</v>
          </cell>
          <cell r="E26">
            <v>43</v>
          </cell>
        </row>
        <row r="27">
          <cell r="A27" t="str">
            <v>B071FZWWBS</v>
          </cell>
          <cell r="B27">
            <v>15</v>
          </cell>
          <cell r="C27">
            <v>5</v>
          </cell>
          <cell r="D27">
            <v>5</v>
          </cell>
          <cell r="E27">
            <v>68</v>
          </cell>
        </row>
        <row r="28">
          <cell r="A28" t="str">
            <v>B072JT4NS9</v>
          </cell>
          <cell r="B28">
            <v>16</v>
          </cell>
          <cell r="C28">
            <v>21</v>
          </cell>
          <cell r="D28">
            <v>21</v>
          </cell>
          <cell r="E28">
            <v>24</v>
          </cell>
        </row>
        <row r="29">
          <cell r="A29" t="str">
            <v>B073GLS8H2</v>
          </cell>
          <cell r="B29">
            <v>10</v>
          </cell>
          <cell r="C29">
            <v>23</v>
          </cell>
          <cell r="D29">
            <v>23</v>
          </cell>
          <cell r="E29">
            <v>21</v>
          </cell>
        </row>
        <row r="30">
          <cell r="A30" t="str">
            <v>B0792SQRWB</v>
          </cell>
          <cell r="B30">
            <v>13</v>
          </cell>
          <cell r="C30">
            <v>11</v>
          </cell>
          <cell r="D30">
            <v>11</v>
          </cell>
          <cell r="E30">
            <v>12</v>
          </cell>
        </row>
        <row r="31">
          <cell r="A31" t="str">
            <v>B01GJPBHRY</v>
          </cell>
          <cell r="B31">
            <v>6</v>
          </cell>
          <cell r="C31">
            <v>14</v>
          </cell>
          <cell r="D31">
            <v>14</v>
          </cell>
          <cell r="E31">
            <v>20</v>
          </cell>
        </row>
        <row r="32">
          <cell r="A32" t="str">
            <v>B01I2I94LC</v>
          </cell>
          <cell r="B32">
            <v>25</v>
          </cell>
          <cell r="C32">
            <v>17</v>
          </cell>
          <cell r="D32">
            <v>17</v>
          </cell>
          <cell r="E32">
            <v>16</v>
          </cell>
        </row>
        <row r="33">
          <cell r="A33" t="str">
            <v>B01N406GK7</v>
          </cell>
          <cell r="B33">
            <v>24</v>
          </cell>
          <cell r="C33">
            <v>2</v>
          </cell>
          <cell r="D33">
            <v>2</v>
          </cell>
          <cell r="E33">
            <v>60</v>
          </cell>
        </row>
        <row r="34">
          <cell r="A34" t="str">
            <v>B06XRW7ZB3</v>
          </cell>
          <cell r="B34">
            <v>33</v>
          </cell>
          <cell r="C34">
            <v>36</v>
          </cell>
          <cell r="D34">
            <v>36</v>
          </cell>
          <cell r="E34">
            <v>14</v>
          </cell>
        </row>
        <row r="35">
          <cell r="A35" t="str">
            <v>B0792SW5YQ</v>
          </cell>
          <cell r="B35">
            <v>62</v>
          </cell>
          <cell r="C35">
            <v>37</v>
          </cell>
          <cell r="D35">
            <v>37</v>
          </cell>
          <cell r="E35">
            <v>42</v>
          </cell>
        </row>
        <row r="36">
          <cell r="A36" t="str">
            <v>B07BVLVJCR</v>
          </cell>
          <cell r="B36">
            <v>1</v>
          </cell>
          <cell r="C36">
            <v>0</v>
          </cell>
          <cell r="D36">
            <v>0</v>
          </cell>
          <cell r="E36">
            <v>18</v>
          </cell>
        </row>
        <row r="37">
          <cell r="A37" t="str">
            <v>B07D49XT2D</v>
          </cell>
          <cell r="B37">
            <v>0</v>
          </cell>
          <cell r="C37">
            <v>0</v>
          </cell>
          <cell r="D37">
            <v>0</v>
          </cell>
          <cell r="E37">
            <v>9</v>
          </cell>
        </row>
        <row r="38">
          <cell r="A38" t="str">
            <v>B01GJPBRLK</v>
          </cell>
          <cell r="B38">
            <v>25</v>
          </cell>
          <cell r="C38">
            <v>14</v>
          </cell>
          <cell r="D38">
            <v>14</v>
          </cell>
          <cell r="E38">
            <v>8</v>
          </cell>
        </row>
        <row r="39">
          <cell r="A39" t="str">
            <v>B01GJPCQQK</v>
          </cell>
          <cell r="B39">
            <v>9</v>
          </cell>
          <cell r="C39">
            <v>4</v>
          </cell>
          <cell r="D39">
            <v>4</v>
          </cell>
          <cell r="E39">
            <v>5</v>
          </cell>
        </row>
        <row r="40">
          <cell r="A40" t="str">
            <v>B01GJPCZZ2</v>
          </cell>
          <cell r="B40">
            <v>0</v>
          </cell>
          <cell r="C40">
            <v>24</v>
          </cell>
          <cell r="D40">
            <v>24</v>
          </cell>
          <cell r="E40">
            <v>9</v>
          </cell>
        </row>
        <row r="41">
          <cell r="A41" t="str">
            <v>B01GJPD7PY</v>
          </cell>
          <cell r="B41">
            <v>12</v>
          </cell>
          <cell r="C41">
            <v>9</v>
          </cell>
          <cell r="D41">
            <v>9</v>
          </cell>
          <cell r="E41">
            <v>8</v>
          </cell>
        </row>
        <row r="42">
          <cell r="A42" t="str">
            <v>B01HZ9RXTE</v>
          </cell>
          <cell r="B42">
            <v>0</v>
          </cell>
          <cell r="C42">
            <v>0</v>
          </cell>
          <cell r="D42">
            <v>0</v>
          </cell>
          <cell r="E42">
            <v>2</v>
          </cell>
        </row>
        <row r="43">
          <cell r="A43" t="str">
            <v>B01MT6CBRR</v>
          </cell>
          <cell r="B43">
            <v>21</v>
          </cell>
          <cell r="C43">
            <v>10</v>
          </cell>
          <cell r="D43">
            <v>10</v>
          </cell>
          <cell r="E43">
            <v>51</v>
          </cell>
        </row>
        <row r="44">
          <cell r="A44" t="str">
            <v>B06XRVQGKC</v>
          </cell>
          <cell r="B44">
            <v>27</v>
          </cell>
          <cell r="C44">
            <v>16</v>
          </cell>
          <cell r="D44">
            <v>16</v>
          </cell>
          <cell r="E44">
            <v>12</v>
          </cell>
        </row>
        <row r="45">
          <cell r="A45" t="str">
            <v>B071FZX1KP</v>
          </cell>
          <cell r="B45">
            <v>6</v>
          </cell>
          <cell r="C45">
            <v>11</v>
          </cell>
          <cell r="D45">
            <v>11</v>
          </cell>
          <cell r="E45">
            <v>18</v>
          </cell>
        </row>
        <row r="46">
          <cell r="A46" t="str">
            <v>B071GQNCYS</v>
          </cell>
          <cell r="B46">
            <v>15</v>
          </cell>
          <cell r="C46">
            <v>15</v>
          </cell>
          <cell r="D46">
            <v>15</v>
          </cell>
          <cell r="E46">
            <v>10</v>
          </cell>
        </row>
        <row r="47">
          <cell r="A47" t="str">
            <v>B072MF2GWB</v>
          </cell>
          <cell r="B47">
            <v>7</v>
          </cell>
          <cell r="C47">
            <v>4</v>
          </cell>
          <cell r="D47">
            <v>4</v>
          </cell>
          <cell r="E47">
            <v>10</v>
          </cell>
        </row>
        <row r="48">
          <cell r="A48" t="str">
            <v>B072QB3CPP</v>
          </cell>
          <cell r="B48">
            <v>4</v>
          </cell>
          <cell r="C48">
            <v>6</v>
          </cell>
          <cell r="D48">
            <v>6</v>
          </cell>
          <cell r="E48">
            <v>26</v>
          </cell>
        </row>
        <row r="49">
          <cell r="A49" t="str">
            <v>B073XH9RWZ</v>
          </cell>
          <cell r="B49">
            <v>11</v>
          </cell>
          <cell r="C49">
            <v>15</v>
          </cell>
          <cell r="D49">
            <v>15</v>
          </cell>
          <cell r="E49">
            <v>5</v>
          </cell>
        </row>
        <row r="50">
          <cell r="A50" t="str">
            <v>B07BMQRTNW</v>
          </cell>
          <cell r="B50">
            <v>17</v>
          </cell>
          <cell r="C50">
            <v>10</v>
          </cell>
          <cell r="D50">
            <v>10</v>
          </cell>
          <cell r="E50">
            <v>22</v>
          </cell>
        </row>
        <row r="51">
          <cell r="A51" t="str">
            <v>B07BVLR6YY</v>
          </cell>
          <cell r="B51">
            <v>0</v>
          </cell>
          <cell r="C51">
            <v>0</v>
          </cell>
          <cell r="D51">
            <v>0</v>
          </cell>
          <cell r="E51">
            <v>5</v>
          </cell>
        </row>
        <row r="52">
          <cell r="A52" t="str">
            <v>B07C2TPXH2</v>
          </cell>
          <cell r="B52">
            <v>0</v>
          </cell>
          <cell r="C52">
            <v>0</v>
          </cell>
          <cell r="D52">
            <v>0</v>
          </cell>
          <cell r="E52">
            <v>2</v>
          </cell>
        </row>
        <row r="53">
          <cell r="A53" t="str">
            <v>B07C2V3Q7B</v>
          </cell>
          <cell r="B53">
            <v>5</v>
          </cell>
          <cell r="C53">
            <v>7</v>
          </cell>
          <cell r="D53">
            <v>7</v>
          </cell>
          <cell r="E53">
            <v>6</v>
          </cell>
        </row>
        <row r="54">
          <cell r="A54" t="str">
            <v>B07CFKRZVH</v>
          </cell>
          <cell r="B54">
            <v>0</v>
          </cell>
          <cell r="C54">
            <v>5</v>
          </cell>
          <cell r="D54">
            <v>5</v>
          </cell>
          <cell r="E54">
            <v>11</v>
          </cell>
        </row>
        <row r="55">
          <cell r="A55" t="str">
            <v>B07D49SG55</v>
          </cell>
          <cell r="B55">
            <v>0</v>
          </cell>
          <cell r="C55">
            <v>4</v>
          </cell>
          <cell r="D55">
            <v>4</v>
          </cell>
          <cell r="E55">
            <v>6</v>
          </cell>
        </row>
        <row r="56">
          <cell r="A56" t="str">
            <v>B01GCGA6TU</v>
          </cell>
          <cell r="B56">
            <v>0</v>
          </cell>
          <cell r="C56">
            <v>23</v>
          </cell>
          <cell r="D56">
            <v>23</v>
          </cell>
          <cell r="E56">
            <v>56</v>
          </cell>
        </row>
        <row r="57">
          <cell r="A57" t="str">
            <v>B01GJPB4CC</v>
          </cell>
          <cell r="B57">
            <v>7</v>
          </cell>
          <cell r="C57">
            <v>3</v>
          </cell>
          <cell r="D57">
            <v>3</v>
          </cell>
          <cell r="E57">
            <v>12</v>
          </cell>
        </row>
        <row r="58">
          <cell r="A58" t="str">
            <v>B01GJPB7DS</v>
          </cell>
          <cell r="B58">
            <v>11</v>
          </cell>
          <cell r="C58">
            <v>5</v>
          </cell>
          <cell r="D58">
            <v>5</v>
          </cell>
          <cell r="E58">
            <v>2</v>
          </cell>
        </row>
        <row r="59">
          <cell r="A59" t="str">
            <v>B01GJPCTJO</v>
          </cell>
          <cell r="B59">
            <v>13</v>
          </cell>
          <cell r="C59">
            <v>15</v>
          </cell>
          <cell r="D59">
            <v>15</v>
          </cell>
          <cell r="E59">
            <v>8</v>
          </cell>
        </row>
        <row r="60">
          <cell r="A60" t="str">
            <v>B01GJPD8YY</v>
          </cell>
          <cell r="B60">
            <v>12</v>
          </cell>
          <cell r="C60">
            <v>2</v>
          </cell>
          <cell r="D60">
            <v>2</v>
          </cell>
          <cell r="E60">
            <v>2</v>
          </cell>
        </row>
        <row r="61">
          <cell r="A61" t="str">
            <v>B01GJPDNQ2</v>
          </cell>
          <cell r="B61">
            <v>23</v>
          </cell>
          <cell r="C61">
            <v>18</v>
          </cell>
          <cell r="D61">
            <v>18</v>
          </cell>
          <cell r="E61">
            <v>4</v>
          </cell>
        </row>
        <row r="62">
          <cell r="A62" t="str">
            <v>B01GJPDY52</v>
          </cell>
          <cell r="B62">
            <v>31</v>
          </cell>
          <cell r="C62">
            <v>18</v>
          </cell>
          <cell r="D62">
            <v>18</v>
          </cell>
          <cell r="E62">
            <v>8</v>
          </cell>
        </row>
        <row r="63">
          <cell r="A63" t="str">
            <v>B01HTJ8YUM</v>
          </cell>
          <cell r="B63">
            <v>4</v>
          </cell>
          <cell r="C63">
            <v>5</v>
          </cell>
          <cell r="D63">
            <v>5</v>
          </cell>
          <cell r="E63">
            <v>4</v>
          </cell>
        </row>
        <row r="64">
          <cell r="A64" t="str">
            <v>B01HZ2XJW6</v>
          </cell>
          <cell r="B64">
            <v>4</v>
          </cell>
          <cell r="C64">
            <v>16</v>
          </cell>
          <cell r="D64">
            <v>16</v>
          </cell>
          <cell r="E64">
            <v>11</v>
          </cell>
        </row>
        <row r="65">
          <cell r="A65" t="str">
            <v>B01M366E1Z</v>
          </cell>
          <cell r="B65">
            <v>6</v>
          </cell>
          <cell r="C65">
            <v>3</v>
          </cell>
          <cell r="D65">
            <v>3</v>
          </cell>
          <cell r="E65">
            <v>2</v>
          </cell>
        </row>
        <row r="66">
          <cell r="A66" t="str">
            <v>B01M6Z8GFX</v>
          </cell>
          <cell r="B66">
            <v>7</v>
          </cell>
          <cell r="C66">
            <v>2</v>
          </cell>
          <cell r="D66">
            <v>2</v>
          </cell>
          <cell r="E66">
            <v>8</v>
          </cell>
        </row>
        <row r="67">
          <cell r="A67" t="str">
            <v>B01MFGOWLQ</v>
          </cell>
          <cell r="B67">
            <v>0</v>
          </cell>
          <cell r="C67">
            <v>0</v>
          </cell>
          <cell r="D67">
            <v>0</v>
          </cell>
          <cell r="E67">
            <v>2</v>
          </cell>
        </row>
        <row r="68">
          <cell r="A68" t="str">
            <v>B06W5D2991</v>
          </cell>
          <cell r="B68">
            <v>1</v>
          </cell>
          <cell r="C68">
            <v>1</v>
          </cell>
          <cell r="D68">
            <v>1</v>
          </cell>
          <cell r="E68">
            <v>4</v>
          </cell>
        </row>
        <row r="69">
          <cell r="A69" t="str">
            <v>B06X6LTGGL</v>
          </cell>
          <cell r="B69">
            <v>1</v>
          </cell>
          <cell r="C69">
            <v>8</v>
          </cell>
          <cell r="D69">
            <v>8</v>
          </cell>
          <cell r="E69">
            <v>6</v>
          </cell>
        </row>
        <row r="70">
          <cell r="A70" t="str">
            <v>B06ZZJ46LT</v>
          </cell>
          <cell r="B70">
            <v>2</v>
          </cell>
          <cell r="C70">
            <v>17</v>
          </cell>
          <cell r="D70">
            <v>17</v>
          </cell>
          <cell r="E70">
            <v>29</v>
          </cell>
        </row>
        <row r="71">
          <cell r="A71" t="str">
            <v>B07121WQTP</v>
          </cell>
          <cell r="B71">
            <v>0</v>
          </cell>
          <cell r="C71">
            <v>0</v>
          </cell>
          <cell r="D71">
            <v>0</v>
          </cell>
          <cell r="E71">
            <v>5</v>
          </cell>
        </row>
        <row r="72">
          <cell r="A72" t="str">
            <v>B0714MHMB7</v>
          </cell>
          <cell r="B72">
            <v>10</v>
          </cell>
          <cell r="C72">
            <v>17</v>
          </cell>
          <cell r="D72">
            <v>17</v>
          </cell>
          <cell r="E72">
            <v>11</v>
          </cell>
        </row>
        <row r="73">
          <cell r="A73" t="str">
            <v>B0716XWQ18</v>
          </cell>
          <cell r="B73">
            <v>3</v>
          </cell>
          <cell r="C73">
            <v>1</v>
          </cell>
          <cell r="D73">
            <v>1</v>
          </cell>
          <cell r="E73">
            <v>6</v>
          </cell>
        </row>
        <row r="74">
          <cell r="A74" t="str">
            <v>B071DV9G8Z</v>
          </cell>
          <cell r="B74">
            <v>6</v>
          </cell>
          <cell r="C74">
            <v>4</v>
          </cell>
          <cell r="D74">
            <v>4</v>
          </cell>
          <cell r="E74">
            <v>1</v>
          </cell>
        </row>
        <row r="75">
          <cell r="A75" t="str">
            <v>B071FZWYWN</v>
          </cell>
          <cell r="B75">
            <v>3</v>
          </cell>
          <cell r="C75">
            <v>2</v>
          </cell>
          <cell r="D75">
            <v>2</v>
          </cell>
          <cell r="E75">
            <v>4</v>
          </cell>
        </row>
        <row r="76">
          <cell r="A76" t="str">
            <v>B071G5PTHM</v>
          </cell>
          <cell r="B76">
            <v>0</v>
          </cell>
          <cell r="C76">
            <v>0</v>
          </cell>
          <cell r="D76">
            <v>0</v>
          </cell>
          <cell r="E76">
            <v>4</v>
          </cell>
        </row>
        <row r="77">
          <cell r="A77" t="str">
            <v>B071VRWZL7</v>
          </cell>
          <cell r="B77">
            <v>0</v>
          </cell>
          <cell r="C77">
            <v>0</v>
          </cell>
          <cell r="D77">
            <v>0</v>
          </cell>
          <cell r="E77">
            <v>12</v>
          </cell>
        </row>
        <row r="78">
          <cell r="A78" t="str">
            <v>B071WJY8WZ</v>
          </cell>
          <cell r="B78">
            <v>4</v>
          </cell>
          <cell r="C78">
            <v>21</v>
          </cell>
          <cell r="D78">
            <v>21</v>
          </cell>
          <cell r="E78">
            <v>19</v>
          </cell>
        </row>
        <row r="79">
          <cell r="A79" t="str">
            <v>B071ZYZ4WT</v>
          </cell>
          <cell r="B79">
            <v>11</v>
          </cell>
          <cell r="C79">
            <v>11</v>
          </cell>
          <cell r="D79">
            <v>11</v>
          </cell>
          <cell r="E79">
            <v>15</v>
          </cell>
        </row>
        <row r="80">
          <cell r="A80" t="str">
            <v>B073XHDS44</v>
          </cell>
          <cell r="B80">
            <v>6</v>
          </cell>
          <cell r="C80">
            <v>9</v>
          </cell>
          <cell r="D80">
            <v>9</v>
          </cell>
          <cell r="E80">
            <v>8</v>
          </cell>
        </row>
        <row r="81">
          <cell r="A81" t="str">
            <v>B0758D78JH</v>
          </cell>
          <cell r="B81">
            <v>0</v>
          </cell>
          <cell r="C81">
            <v>2</v>
          </cell>
          <cell r="D81">
            <v>2</v>
          </cell>
          <cell r="E81">
            <v>2</v>
          </cell>
        </row>
        <row r="82">
          <cell r="A82" t="str">
            <v>B07B8NQ96W</v>
          </cell>
          <cell r="B82">
            <v>0</v>
          </cell>
          <cell r="C82">
            <v>0</v>
          </cell>
          <cell r="D82">
            <v>0</v>
          </cell>
          <cell r="E82">
            <v>7</v>
          </cell>
        </row>
        <row r="83">
          <cell r="A83" t="str">
            <v>B07C2SKKBG</v>
          </cell>
          <cell r="B83">
            <v>28</v>
          </cell>
          <cell r="C83">
            <v>5</v>
          </cell>
          <cell r="D83">
            <v>5</v>
          </cell>
          <cell r="E83">
            <v>3</v>
          </cell>
        </row>
        <row r="84">
          <cell r="A84" t="str">
            <v>B07C323BGV</v>
          </cell>
          <cell r="B84">
            <v>17</v>
          </cell>
          <cell r="C84">
            <v>8</v>
          </cell>
          <cell r="D84">
            <v>8</v>
          </cell>
          <cell r="E84">
            <v>6</v>
          </cell>
        </row>
        <row r="85">
          <cell r="A85" t="str">
            <v>B07CCMGJKF</v>
          </cell>
          <cell r="B85">
            <v>35</v>
          </cell>
          <cell r="C85">
            <v>166</v>
          </cell>
          <cell r="D85">
            <v>166</v>
          </cell>
          <cell r="E85">
            <v>126</v>
          </cell>
        </row>
        <row r="86">
          <cell r="A86" t="str">
            <v>B01EJI50HG</v>
          </cell>
          <cell r="B86">
            <v>0</v>
          </cell>
          <cell r="C86">
            <v>0</v>
          </cell>
          <cell r="D86">
            <v>0</v>
          </cell>
          <cell r="E86">
            <v>4</v>
          </cell>
        </row>
        <row r="87">
          <cell r="A87" t="str">
            <v>B01GFMMDY2</v>
          </cell>
          <cell r="B87">
            <v>0</v>
          </cell>
          <cell r="C87">
            <v>3</v>
          </cell>
          <cell r="D87">
            <v>3</v>
          </cell>
          <cell r="E87">
            <v>2</v>
          </cell>
        </row>
        <row r="88">
          <cell r="A88" t="str">
            <v>B01GFMMI92</v>
          </cell>
          <cell r="B88">
            <v>6</v>
          </cell>
          <cell r="C88">
            <v>3</v>
          </cell>
          <cell r="D88">
            <v>3</v>
          </cell>
          <cell r="E88">
            <v>2</v>
          </cell>
        </row>
        <row r="89">
          <cell r="A89" t="str">
            <v>B01GJPB23I</v>
          </cell>
          <cell r="B89">
            <v>19</v>
          </cell>
          <cell r="C89">
            <v>22</v>
          </cell>
          <cell r="D89">
            <v>22</v>
          </cell>
          <cell r="E89">
            <v>10</v>
          </cell>
        </row>
        <row r="90">
          <cell r="A90" t="str">
            <v>B01GJPBKEE</v>
          </cell>
          <cell r="B90">
            <v>10</v>
          </cell>
          <cell r="C90">
            <v>24</v>
          </cell>
          <cell r="D90">
            <v>24</v>
          </cell>
          <cell r="E90">
            <v>17</v>
          </cell>
        </row>
        <row r="91">
          <cell r="A91" t="str">
            <v>B01GJPBMDI</v>
          </cell>
          <cell r="B91">
            <v>11</v>
          </cell>
          <cell r="C91">
            <v>8</v>
          </cell>
          <cell r="D91">
            <v>8</v>
          </cell>
          <cell r="E91">
            <v>2</v>
          </cell>
        </row>
        <row r="92">
          <cell r="A92" t="str">
            <v>B01GJPBTJU</v>
          </cell>
          <cell r="B92">
            <v>14</v>
          </cell>
          <cell r="C92">
            <v>20</v>
          </cell>
          <cell r="D92">
            <v>20</v>
          </cell>
          <cell r="E92">
            <v>6</v>
          </cell>
        </row>
        <row r="93">
          <cell r="A93" t="str">
            <v>B01GJPBY22</v>
          </cell>
          <cell r="B93">
            <v>12</v>
          </cell>
          <cell r="C93">
            <v>11</v>
          </cell>
          <cell r="D93">
            <v>11</v>
          </cell>
          <cell r="E93">
            <v>8</v>
          </cell>
        </row>
        <row r="94">
          <cell r="A94" t="str">
            <v>B01GJPC03E</v>
          </cell>
          <cell r="B94">
            <v>9</v>
          </cell>
          <cell r="C94">
            <v>13</v>
          </cell>
          <cell r="D94">
            <v>13</v>
          </cell>
          <cell r="E94">
            <v>5</v>
          </cell>
        </row>
        <row r="95">
          <cell r="A95" t="str">
            <v>B01GJPCGZ6</v>
          </cell>
          <cell r="B95">
            <v>6</v>
          </cell>
          <cell r="C95">
            <v>6</v>
          </cell>
          <cell r="D95">
            <v>6</v>
          </cell>
          <cell r="E95">
            <v>2</v>
          </cell>
        </row>
        <row r="96">
          <cell r="A96" t="str">
            <v>B01GJPCKIO</v>
          </cell>
          <cell r="B96">
            <v>7</v>
          </cell>
          <cell r="C96">
            <v>10</v>
          </cell>
          <cell r="D96">
            <v>10</v>
          </cell>
          <cell r="E96">
            <v>4</v>
          </cell>
        </row>
        <row r="97">
          <cell r="A97" t="str">
            <v>B01GJPD23G</v>
          </cell>
          <cell r="B97">
            <v>16</v>
          </cell>
          <cell r="C97">
            <v>31</v>
          </cell>
          <cell r="D97">
            <v>31</v>
          </cell>
          <cell r="E97">
            <v>11</v>
          </cell>
        </row>
        <row r="98">
          <cell r="A98" t="str">
            <v>B01GJPD542</v>
          </cell>
          <cell r="B98">
            <v>9</v>
          </cell>
          <cell r="C98">
            <v>9</v>
          </cell>
          <cell r="D98">
            <v>9</v>
          </cell>
          <cell r="E98">
            <v>1</v>
          </cell>
        </row>
        <row r="99">
          <cell r="A99" t="str">
            <v>B01H7074XQ</v>
          </cell>
          <cell r="B99">
            <v>8</v>
          </cell>
          <cell r="C99">
            <v>8</v>
          </cell>
          <cell r="D99">
            <v>8</v>
          </cell>
          <cell r="E99">
            <v>14</v>
          </cell>
        </row>
        <row r="100">
          <cell r="A100" t="str">
            <v>B01HZ2XL56</v>
          </cell>
          <cell r="B100">
            <v>2</v>
          </cell>
          <cell r="C100">
            <v>0</v>
          </cell>
          <cell r="D100">
            <v>0</v>
          </cell>
          <cell r="E100">
            <v>1</v>
          </cell>
        </row>
        <row r="101">
          <cell r="A101" t="str">
            <v>B01HZ2XNAY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</row>
        <row r="102">
          <cell r="A102" t="str">
            <v>B01HZ9RULA</v>
          </cell>
          <cell r="B102">
            <v>3</v>
          </cell>
          <cell r="C102">
            <v>4</v>
          </cell>
          <cell r="D102">
            <v>4</v>
          </cell>
          <cell r="E102">
            <v>3</v>
          </cell>
        </row>
        <row r="103">
          <cell r="A103" t="str">
            <v>B01HZ9S43S</v>
          </cell>
          <cell r="B103">
            <v>2</v>
          </cell>
          <cell r="C103">
            <v>0</v>
          </cell>
          <cell r="D103">
            <v>0</v>
          </cell>
          <cell r="E103">
            <v>3</v>
          </cell>
        </row>
        <row r="104">
          <cell r="A104" t="str">
            <v>B01I2I96ME</v>
          </cell>
          <cell r="B104">
            <v>18</v>
          </cell>
          <cell r="C104">
            <v>15</v>
          </cell>
          <cell r="D104">
            <v>15</v>
          </cell>
          <cell r="E104">
            <v>13</v>
          </cell>
        </row>
        <row r="105">
          <cell r="A105" t="str">
            <v>B01ID5DYO2</v>
          </cell>
          <cell r="B105">
            <v>4</v>
          </cell>
          <cell r="C105">
            <v>3</v>
          </cell>
          <cell r="D105">
            <v>3</v>
          </cell>
          <cell r="E105">
            <v>3</v>
          </cell>
        </row>
        <row r="106">
          <cell r="A106" t="str">
            <v>B01ID5ENI8</v>
          </cell>
          <cell r="B106">
            <v>0</v>
          </cell>
          <cell r="C106">
            <v>0</v>
          </cell>
          <cell r="D106">
            <v>0</v>
          </cell>
          <cell r="E106">
            <v>2</v>
          </cell>
        </row>
        <row r="107">
          <cell r="A107" t="str">
            <v>B01IMU4LEK</v>
          </cell>
          <cell r="B107">
            <v>3</v>
          </cell>
          <cell r="C107">
            <v>9</v>
          </cell>
          <cell r="D107">
            <v>9</v>
          </cell>
          <cell r="E107">
            <v>8</v>
          </cell>
        </row>
        <row r="108">
          <cell r="A108" t="str">
            <v>B01IQP5CUS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</row>
        <row r="109">
          <cell r="A109" t="str">
            <v>B01LZ1Z3TP</v>
          </cell>
          <cell r="B109">
            <v>1</v>
          </cell>
          <cell r="C109">
            <v>4</v>
          </cell>
          <cell r="D109">
            <v>4</v>
          </cell>
          <cell r="E109">
            <v>0</v>
          </cell>
        </row>
        <row r="110">
          <cell r="A110" t="str">
            <v>B01M032BV1</v>
          </cell>
          <cell r="B110">
            <v>1</v>
          </cell>
          <cell r="C110">
            <v>1</v>
          </cell>
          <cell r="D110">
            <v>1</v>
          </cell>
          <cell r="E110">
            <v>1</v>
          </cell>
        </row>
        <row r="111">
          <cell r="A111" t="str">
            <v>B01M0D9SKE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</row>
        <row r="112">
          <cell r="A112" t="str">
            <v>B01M366JZA</v>
          </cell>
          <cell r="B112">
            <v>1</v>
          </cell>
          <cell r="C112">
            <v>3</v>
          </cell>
          <cell r="D112">
            <v>3</v>
          </cell>
          <cell r="E112">
            <v>7</v>
          </cell>
        </row>
        <row r="113">
          <cell r="A113" t="str">
            <v>B01M3PY9Y9</v>
          </cell>
          <cell r="B113">
            <v>7</v>
          </cell>
          <cell r="C113">
            <v>3</v>
          </cell>
          <cell r="D113">
            <v>3</v>
          </cell>
          <cell r="E113">
            <v>2</v>
          </cell>
        </row>
        <row r="114">
          <cell r="A114" t="str">
            <v>B01M5B2ISR</v>
          </cell>
          <cell r="B114">
            <v>6</v>
          </cell>
          <cell r="C114">
            <v>6</v>
          </cell>
          <cell r="D114">
            <v>6</v>
          </cell>
          <cell r="E114">
            <v>5</v>
          </cell>
        </row>
        <row r="115">
          <cell r="A115" t="str">
            <v>B01M63OPA2</v>
          </cell>
          <cell r="B115">
            <v>8</v>
          </cell>
          <cell r="C115">
            <v>3</v>
          </cell>
          <cell r="D115">
            <v>3</v>
          </cell>
          <cell r="E115">
            <v>1</v>
          </cell>
        </row>
        <row r="116">
          <cell r="A116" t="str">
            <v>B01M9AOWZ2</v>
          </cell>
          <cell r="B116">
            <v>4</v>
          </cell>
          <cell r="C116">
            <v>6</v>
          </cell>
          <cell r="D116">
            <v>6</v>
          </cell>
          <cell r="E116">
            <v>2</v>
          </cell>
        </row>
        <row r="117">
          <cell r="A117" t="str">
            <v>B01MA69GN2</v>
          </cell>
          <cell r="B117">
            <v>1</v>
          </cell>
          <cell r="C117">
            <v>0</v>
          </cell>
          <cell r="D117">
            <v>0</v>
          </cell>
          <cell r="E117">
            <v>4</v>
          </cell>
        </row>
        <row r="118">
          <cell r="A118" t="str">
            <v>B01MAZ1FP5</v>
          </cell>
          <cell r="B118">
            <v>1</v>
          </cell>
          <cell r="C118">
            <v>16</v>
          </cell>
          <cell r="D118">
            <v>16</v>
          </cell>
          <cell r="E118">
            <v>12</v>
          </cell>
        </row>
        <row r="119">
          <cell r="A119" t="str">
            <v>B01MCTLBRC</v>
          </cell>
          <cell r="B119">
            <v>0</v>
          </cell>
          <cell r="C119">
            <v>1</v>
          </cell>
          <cell r="D119">
            <v>1</v>
          </cell>
          <cell r="E119">
            <v>1</v>
          </cell>
        </row>
        <row r="120">
          <cell r="A120" t="str">
            <v>B01MF9XXYO</v>
          </cell>
          <cell r="B120">
            <v>7</v>
          </cell>
          <cell r="C120">
            <v>10</v>
          </cell>
          <cell r="D120">
            <v>10</v>
          </cell>
          <cell r="E120">
            <v>11</v>
          </cell>
        </row>
        <row r="121">
          <cell r="A121" t="str">
            <v>B01MFA54OG</v>
          </cell>
          <cell r="B121">
            <v>1</v>
          </cell>
          <cell r="C121">
            <v>9</v>
          </cell>
          <cell r="D121">
            <v>9</v>
          </cell>
          <cell r="E121">
            <v>3</v>
          </cell>
        </row>
        <row r="122">
          <cell r="A122" t="str">
            <v>B01MPXO3HC</v>
          </cell>
          <cell r="B122">
            <v>5</v>
          </cell>
          <cell r="C122">
            <v>3</v>
          </cell>
          <cell r="D122">
            <v>3</v>
          </cell>
          <cell r="E122">
            <v>2</v>
          </cell>
        </row>
        <row r="123">
          <cell r="A123" t="str">
            <v>B01MT6CCQX</v>
          </cell>
          <cell r="B123">
            <v>0</v>
          </cell>
          <cell r="C123">
            <v>1</v>
          </cell>
          <cell r="D123">
            <v>1</v>
          </cell>
          <cell r="E123">
            <v>7</v>
          </cell>
        </row>
        <row r="124">
          <cell r="A124" t="str">
            <v>B01N1ZLVZB</v>
          </cell>
          <cell r="B124">
            <v>2</v>
          </cell>
          <cell r="C124">
            <v>4</v>
          </cell>
          <cell r="D124">
            <v>4</v>
          </cell>
          <cell r="E124">
            <v>11</v>
          </cell>
        </row>
        <row r="125">
          <cell r="A125" t="str">
            <v>B01N6P009T</v>
          </cell>
          <cell r="B125">
            <v>1</v>
          </cell>
          <cell r="C125">
            <v>3</v>
          </cell>
          <cell r="D125">
            <v>3</v>
          </cell>
          <cell r="E125">
            <v>2</v>
          </cell>
        </row>
        <row r="126">
          <cell r="A126" t="str">
            <v>B06WGTX4V8</v>
          </cell>
          <cell r="B126">
            <v>4</v>
          </cell>
          <cell r="C126">
            <v>2</v>
          </cell>
          <cell r="D126">
            <v>2</v>
          </cell>
          <cell r="E126">
            <v>0</v>
          </cell>
        </row>
        <row r="127">
          <cell r="A127" t="str">
            <v>B06XRVQKRT</v>
          </cell>
          <cell r="B127">
            <v>20</v>
          </cell>
          <cell r="C127">
            <v>7</v>
          </cell>
          <cell r="D127">
            <v>7</v>
          </cell>
          <cell r="E127">
            <v>7</v>
          </cell>
        </row>
        <row r="128">
          <cell r="A128" t="str">
            <v>B06XWPMW26</v>
          </cell>
          <cell r="B128">
            <v>20</v>
          </cell>
          <cell r="C128">
            <v>48</v>
          </cell>
          <cell r="D128">
            <v>48</v>
          </cell>
          <cell r="E128">
            <v>37</v>
          </cell>
        </row>
        <row r="129">
          <cell r="A129" t="str">
            <v>B06XYJKYYL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</row>
        <row r="130">
          <cell r="A130" t="str">
            <v>B06ZYX6MBT</v>
          </cell>
          <cell r="B130">
            <v>6</v>
          </cell>
          <cell r="C130">
            <v>1</v>
          </cell>
          <cell r="D130">
            <v>1</v>
          </cell>
          <cell r="E130">
            <v>0</v>
          </cell>
        </row>
        <row r="131">
          <cell r="A131" t="str">
            <v>B06ZYY38PQ</v>
          </cell>
          <cell r="B131">
            <v>64</v>
          </cell>
          <cell r="C131">
            <v>0</v>
          </cell>
          <cell r="D131">
            <v>0</v>
          </cell>
          <cell r="E131">
            <v>1</v>
          </cell>
        </row>
        <row r="132">
          <cell r="A132" t="str">
            <v>B06ZZG68SC</v>
          </cell>
          <cell r="B132">
            <v>9</v>
          </cell>
          <cell r="C132">
            <v>15</v>
          </cell>
          <cell r="D132">
            <v>15</v>
          </cell>
          <cell r="E132">
            <v>17</v>
          </cell>
        </row>
        <row r="133">
          <cell r="A133" t="str">
            <v>B06ZZWQLH1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</row>
        <row r="134">
          <cell r="A134" t="str">
            <v>B0719JB654</v>
          </cell>
          <cell r="B134">
            <v>0</v>
          </cell>
          <cell r="C134">
            <v>0</v>
          </cell>
          <cell r="D134">
            <v>0</v>
          </cell>
          <cell r="E134">
            <v>4</v>
          </cell>
        </row>
        <row r="135">
          <cell r="A135" t="str">
            <v>B071F8DKYJ</v>
          </cell>
          <cell r="B135">
            <v>3</v>
          </cell>
          <cell r="C135">
            <v>3</v>
          </cell>
          <cell r="D135">
            <v>3</v>
          </cell>
          <cell r="E135">
            <v>0</v>
          </cell>
        </row>
        <row r="136">
          <cell r="A136" t="str">
            <v>B071FZX594</v>
          </cell>
          <cell r="B136">
            <v>7</v>
          </cell>
          <cell r="C136">
            <v>39</v>
          </cell>
          <cell r="D136">
            <v>39</v>
          </cell>
          <cell r="E136">
            <v>16</v>
          </cell>
        </row>
        <row r="137">
          <cell r="A137" t="str">
            <v>B071JLRH8Z</v>
          </cell>
          <cell r="B137">
            <v>7</v>
          </cell>
          <cell r="C137">
            <v>6</v>
          </cell>
          <cell r="D137">
            <v>6</v>
          </cell>
          <cell r="E137">
            <v>7</v>
          </cell>
        </row>
        <row r="138">
          <cell r="A138" t="str">
            <v>B071RSHZBJ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</row>
        <row r="139">
          <cell r="A139" t="str">
            <v>B071W2X9CV</v>
          </cell>
          <cell r="B139">
            <v>8</v>
          </cell>
          <cell r="C139">
            <v>11</v>
          </cell>
          <cell r="D139">
            <v>11</v>
          </cell>
          <cell r="E139">
            <v>5</v>
          </cell>
        </row>
        <row r="140">
          <cell r="A140" t="str">
            <v>B0722Z56WB</v>
          </cell>
          <cell r="B140">
            <v>3</v>
          </cell>
          <cell r="C140">
            <v>3</v>
          </cell>
          <cell r="D140">
            <v>3</v>
          </cell>
          <cell r="E140">
            <v>4</v>
          </cell>
        </row>
        <row r="141">
          <cell r="A141" t="str">
            <v>B072JT7VHC</v>
          </cell>
          <cell r="B141">
            <v>7</v>
          </cell>
          <cell r="C141">
            <v>20</v>
          </cell>
          <cell r="D141">
            <v>20</v>
          </cell>
          <cell r="E141">
            <v>17</v>
          </cell>
        </row>
        <row r="142">
          <cell r="A142" t="str">
            <v>B073CYD47B</v>
          </cell>
          <cell r="B142">
            <v>1</v>
          </cell>
          <cell r="C142">
            <v>2</v>
          </cell>
          <cell r="D142">
            <v>2</v>
          </cell>
          <cell r="E142">
            <v>3</v>
          </cell>
        </row>
        <row r="143">
          <cell r="A143" t="str">
            <v>B073XGW9SF</v>
          </cell>
          <cell r="B143">
            <v>24</v>
          </cell>
          <cell r="C143">
            <v>4</v>
          </cell>
          <cell r="D143">
            <v>4</v>
          </cell>
          <cell r="E143">
            <v>0</v>
          </cell>
        </row>
        <row r="144">
          <cell r="A144" t="str">
            <v>B073XGWPDJ</v>
          </cell>
          <cell r="B144">
            <v>14</v>
          </cell>
          <cell r="C144">
            <v>7</v>
          </cell>
          <cell r="D144">
            <v>7</v>
          </cell>
          <cell r="E144">
            <v>0</v>
          </cell>
        </row>
        <row r="145">
          <cell r="A145" t="str">
            <v>B073XH5765</v>
          </cell>
          <cell r="B145">
            <v>14</v>
          </cell>
          <cell r="C145">
            <v>11</v>
          </cell>
          <cell r="D145">
            <v>11</v>
          </cell>
          <cell r="E145">
            <v>1</v>
          </cell>
        </row>
        <row r="146">
          <cell r="A146" t="str">
            <v>B073XH8KDN</v>
          </cell>
          <cell r="B146">
            <v>0</v>
          </cell>
          <cell r="C146">
            <v>0</v>
          </cell>
          <cell r="D146">
            <v>0</v>
          </cell>
          <cell r="E146">
            <v>1</v>
          </cell>
        </row>
        <row r="147">
          <cell r="A147" t="str">
            <v>B0742CHPKN</v>
          </cell>
          <cell r="B147">
            <v>5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B074MZR55T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</row>
        <row r="149">
          <cell r="A149" t="str">
            <v>B0758936QQ</v>
          </cell>
          <cell r="B149">
            <v>1</v>
          </cell>
          <cell r="C149">
            <v>3</v>
          </cell>
          <cell r="D149">
            <v>3</v>
          </cell>
          <cell r="E149">
            <v>5</v>
          </cell>
        </row>
        <row r="150">
          <cell r="A150" t="str">
            <v>B075MC6YYJ</v>
          </cell>
          <cell r="B150">
            <v>4</v>
          </cell>
          <cell r="C150">
            <v>1</v>
          </cell>
          <cell r="D150">
            <v>1</v>
          </cell>
          <cell r="E150">
            <v>3</v>
          </cell>
        </row>
        <row r="151">
          <cell r="A151" t="str">
            <v>B0792T7FW3</v>
          </cell>
          <cell r="B151">
            <v>3</v>
          </cell>
          <cell r="C151">
            <v>28</v>
          </cell>
          <cell r="D151">
            <v>28</v>
          </cell>
          <cell r="E151">
            <v>5</v>
          </cell>
        </row>
        <row r="152">
          <cell r="A152" t="str">
            <v>B0792TB9G8</v>
          </cell>
          <cell r="B152">
            <v>15</v>
          </cell>
          <cell r="C152">
            <v>33</v>
          </cell>
          <cell r="D152">
            <v>33</v>
          </cell>
          <cell r="E152">
            <v>46</v>
          </cell>
        </row>
        <row r="153">
          <cell r="A153" t="str">
            <v>B0792TY4YT</v>
          </cell>
          <cell r="B153">
            <v>21</v>
          </cell>
          <cell r="C153">
            <v>0</v>
          </cell>
          <cell r="D153">
            <v>0</v>
          </cell>
          <cell r="E153">
            <v>0</v>
          </cell>
        </row>
        <row r="154">
          <cell r="A154" t="str">
            <v>B07B8HZ787</v>
          </cell>
          <cell r="B154">
            <v>1</v>
          </cell>
          <cell r="C154">
            <v>0</v>
          </cell>
          <cell r="D154">
            <v>0</v>
          </cell>
          <cell r="E154">
            <v>1</v>
          </cell>
        </row>
        <row r="155">
          <cell r="A155" t="str">
            <v>B07BMPP7H3</v>
          </cell>
          <cell r="B155">
            <v>0</v>
          </cell>
          <cell r="C155">
            <v>0</v>
          </cell>
          <cell r="D155">
            <v>0</v>
          </cell>
          <cell r="E155">
            <v>34</v>
          </cell>
        </row>
        <row r="156">
          <cell r="A156" t="str">
            <v>B07BV8T7ZW</v>
          </cell>
          <cell r="B156">
            <v>6</v>
          </cell>
          <cell r="C156">
            <v>1</v>
          </cell>
          <cell r="D156">
            <v>1</v>
          </cell>
          <cell r="E156">
            <v>1</v>
          </cell>
        </row>
        <row r="157">
          <cell r="A157" t="str">
            <v>B07C2THD9D</v>
          </cell>
          <cell r="B157">
            <v>0</v>
          </cell>
          <cell r="C157">
            <v>23</v>
          </cell>
          <cell r="D157">
            <v>23</v>
          </cell>
          <cell r="E157">
            <v>13</v>
          </cell>
        </row>
        <row r="158">
          <cell r="A158" t="str">
            <v>B07C2TL72C</v>
          </cell>
          <cell r="B158">
            <v>2</v>
          </cell>
          <cell r="C158">
            <v>16</v>
          </cell>
          <cell r="D158">
            <v>16</v>
          </cell>
          <cell r="E158">
            <v>11</v>
          </cell>
        </row>
        <row r="159">
          <cell r="A159" t="str">
            <v>B07C315RX4</v>
          </cell>
          <cell r="B159">
            <v>0</v>
          </cell>
          <cell r="C159">
            <v>0</v>
          </cell>
          <cell r="D159">
            <v>0</v>
          </cell>
          <cell r="E159">
            <v>2</v>
          </cell>
        </row>
        <row r="160">
          <cell r="A160" t="str">
            <v>B07C9XTFLF</v>
          </cell>
          <cell r="B160">
            <v>0</v>
          </cell>
          <cell r="C160">
            <v>0</v>
          </cell>
          <cell r="D160">
            <v>0</v>
          </cell>
          <cell r="E160">
            <v>13</v>
          </cell>
        </row>
        <row r="161">
          <cell r="A161" t="str">
            <v>B07D49GLC3</v>
          </cell>
          <cell r="B161">
            <v>11</v>
          </cell>
          <cell r="C161">
            <v>3</v>
          </cell>
          <cell r="D161">
            <v>3</v>
          </cell>
          <cell r="E161">
            <v>6</v>
          </cell>
        </row>
        <row r="162">
          <cell r="A162" t="str">
            <v>B07D49HX8J</v>
          </cell>
          <cell r="B162">
            <v>0</v>
          </cell>
          <cell r="C162">
            <v>14</v>
          </cell>
          <cell r="D162">
            <v>14</v>
          </cell>
          <cell r="E162">
            <v>11</v>
          </cell>
        </row>
        <row r="163">
          <cell r="A163" t="str">
            <v>B07D4B1TLQ</v>
          </cell>
          <cell r="B163">
            <v>11</v>
          </cell>
          <cell r="C163">
            <v>1</v>
          </cell>
          <cell r="D163">
            <v>1</v>
          </cell>
          <cell r="E163">
            <v>3</v>
          </cell>
        </row>
        <row r="164">
          <cell r="A164" t="str">
            <v>B07D4B2SC5</v>
          </cell>
          <cell r="B164">
            <v>0</v>
          </cell>
          <cell r="C164">
            <v>11</v>
          </cell>
          <cell r="D164">
            <v>11</v>
          </cell>
          <cell r="E164">
            <v>7</v>
          </cell>
        </row>
        <row r="165">
          <cell r="A165" t="str">
            <v>B01GFM5LEQ</v>
          </cell>
          <cell r="B165">
            <v>4</v>
          </cell>
          <cell r="C165">
            <v>2</v>
          </cell>
          <cell r="D165">
            <v>2</v>
          </cell>
          <cell r="E165">
            <v>1</v>
          </cell>
        </row>
        <row r="166">
          <cell r="A166" t="str">
            <v>B01GFMMBY4</v>
          </cell>
          <cell r="B166">
            <v>24</v>
          </cell>
          <cell r="C166">
            <v>11</v>
          </cell>
          <cell r="D166">
            <v>11</v>
          </cell>
          <cell r="E166">
            <v>4</v>
          </cell>
        </row>
        <row r="167">
          <cell r="A167" t="str">
            <v>B01GFMMEYG</v>
          </cell>
          <cell r="B167">
            <v>7</v>
          </cell>
          <cell r="C167">
            <v>1</v>
          </cell>
          <cell r="D167">
            <v>1</v>
          </cell>
          <cell r="E167">
            <v>2</v>
          </cell>
        </row>
        <row r="168">
          <cell r="A168" t="str">
            <v>B01GFMMG80</v>
          </cell>
          <cell r="B168">
            <v>4</v>
          </cell>
          <cell r="C168">
            <v>0</v>
          </cell>
          <cell r="D168">
            <v>0</v>
          </cell>
          <cell r="E168">
            <v>2</v>
          </cell>
        </row>
        <row r="169">
          <cell r="A169" t="str">
            <v>B01GFMMHAW</v>
          </cell>
          <cell r="B169">
            <v>4</v>
          </cell>
          <cell r="C169">
            <v>1</v>
          </cell>
          <cell r="D169">
            <v>1</v>
          </cell>
          <cell r="E169">
            <v>1</v>
          </cell>
        </row>
        <row r="170">
          <cell r="A170" t="str">
            <v>B01GJPAXLU</v>
          </cell>
          <cell r="B170">
            <v>289</v>
          </cell>
          <cell r="C170">
            <v>172</v>
          </cell>
          <cell r="D170">
            <v>172</v>
          </cell>
          <cell r="E170">
            <v>175</v>
          </cell>
        </row>
        <row r="171">
          <cell r="A171" t="str">
            <v>B01GJPB094</v>
          </cell>
          <cell r="B171">
            <v>10</v>
          </cell>
          <cell r="C171">
            <v>14</v>
          </cell>
          <cell r="D171">
            <v>14</v>
          </cell>
          <cell r="E171">
            <v>3</v>
          </cell>
        </row>
        <row r="172">
          <cell r="A172" t="str">
            <v>B01GJPB27E</v>
          </cell>
          <cell r="B172">
            <v>5</v>
          </cell>
          <cell r="C172">
            <v>5</v>
          </cell>
          <cell r="D172">
            <v>5</v>
          </cell>
          <cell r="E172">
            <v>3</v>
          </cell>
        </row>
        <row r="173">
          <cell r="A173" t="str">
            <v>B01GJPB4DQ</v>
          </cell>
          <cell r="B173">
            <v>9</v>
          </cell>
          <cell r="C173">
            <v>6</v>
          </cell>
          <cell r="D173">
            <v>6</v>
          </cell>
          <cell r="E173">
            <v>3</v>
          </cell>
        </row>
        <row r="174">
          <cell r="A174" t="str">
            <v>B01GJPB6J8</v>
          </cell>
          <cell r="B174">
            <v>10</v>
          </cell>
          <cell r="C174">
            <v>12</v>
          </cell>
          <cell r="D174">
            <v>12</v>
          </cell>
          <cell r="E174">
            <v>9</v>
          </cell>
        </row>
        <row r="175">
          <cell r="A175" t="str">
            <v>B01GJPBNN2</v>
          </cell>
          <cell r="B175">
            <v>11</v>
          </cell>
          <cell r="C175">
            <v>4</v>
          </cell>
          <cell r="D175">
            <v>4</v>
          </cell>
          <cell r="E175">
            <v>6</v>
          </cell>
        </row>
        <row r="176">
          <cell r="A176" t="str">
            <v>B01GJPBW4C</v>
          </cell>
          <cell r="B176">
            <v>5</v>
          </cell>
          <cell r="C176">
            <v>2</v>
          </cell>
          <cell r="D176">
            <v>2</v>
          </cell>
          <cell r="E176">
            <v>3</v>
          </cell>
        </row>
        <row r="177">
          <cell r="A177" t="str">
            <v>B01GJPC14C</v>
          </cell>
          <cell r="B177">
            <v>14</v>
          </cell>
          <cell r="C177">
            <v>21</v>
          </cell>
          <cell r="D177">
            <v>21</v>
          </cell>
          <cell r="E177">
            <v>8</v>
          </cell>
        </row>
        <row r="178">
          <cell r="A178" t="str">
            <v>B01GJPCE9O</v>
          </cell>
          <cell r="B178">
            <v>6</v>
          </cell>
          <cell r="C178">
            <v>8</v>
          </cell>
          <cell r="D178">
            <v>8</v>
          </cell>
          <cell r="E178">
            <v>4</v>
          </cell>
        </row>
        <row r="179">
          <cell r="A179" t="str">
            <v>B01GJPCF2K</v>
          </cell>
          <cell r="B179">
            <v>9</v>
          </cell>
          <cell r="C179">
            <v>20</v>
          </cell>
          <cell r="D179">
            <v>20</v>
          </cell>
          <cell r="E179">
            <v>3</v>
          </cell>
        </row>
        <row r="180">
          <cell r="A180" t="str">
            <v>B01GJPCIL8</v>
          </cell>
          <cell r="B180">
            <v>5</v>
          </cell>
          <cell r="C180">
            <v>5</v>
          </cell>
          <cell r="D180">
            <v>5</v>
          </cell>
          <cell r="E180">
            <v>4</v>
          </cell>
        </row>
        <row r="181">
          <cell r="A181" t="str">
            <v>B01GJPD21S</v>
          </cell>
          <cell r="B181">
            <v>22</v>
          </cell>
          <cell r="C181">
            <v>10</v>
          </cell>
          <cell r="D181">
            <v>10</v>
          </cell>
          <cell r="E181">
            <v>3</v>
          </cell>
        </row>
        <row r="182">
          <cell r="A182" t="str">
            <v>B01H14OWBA</v>
          </cell>
          <cell r="B182">
            <v>12</v>
          </cell>
          <cell r="C182">
            <v>18</v>
          </cell>
          <cell r="D182">
            <v>18</v>
          </cell>
          <cell r="E182">
            <v>29</v>
          </cell>
        </row>
        <row r="183">
          <cell r="A183" t="str">
            <v>B01H1Q93C6</v>
          </cell>
          <cell r="B183">
            <v>9</v>
          </cell>
          <cell r="C183">
            <v>2</v>
          </cell>
          <cell r="D183">
            <v>2</v>
          </cell>
          <cell r="E183">
            <v>3</v>
          </cell>
        </row>
        <row r="184">
          <cell r="A184" t="str">
            <v>B01H6DX8XY</v>
          </cell>
          <cell r="B184">
            <v>3</v>
          </cell>
          <cell r="C184">
            <v>3</v>
          </cell>
          <cell r="D184">
            <v>3</v>
          </cell>
          <cell r="E184">
            <v>4</v>
          </cell>
        </row>
        <row r="185">
          <cell r="A185" t="str">
            <v>B01H6DX8YI</v>
          </cell>
          <cell r="B185">
            <v>1</v>
          </cell>
          <cell r="C185">
            <v>0</v>
          </cell>
          <cell r="D185">
            <v>0</v>
          </cell>
          <cell r="E185">
            <v>1</v>
          </cell>
        </row>
        <row r="186">
          <cell r="A186" t="str">
            <v>B01H6DXAP0</v>
          </cell>
          <cell r="B186">
            <v>3</v>
          </cell>
          <cell r="C186">
            <v>1</v>
          </cell>
          <cell r="D186">
            <v>1</v>
          </cell>
          <cell r="E186">
            <v>1</v>
          </cell>
        </row>
        <row r="187">
          <cell r="A187" t="str">
            <v>B01H6DXBQI</v>
          </cell>
          <cell r="B187">
            <v>4</v>
          </cell>
          <cell r="C187">
            <v>1</v>
          </cell>
          <cell r="D187">
            <v>1</v>
          </cell>
          <cell r="E187">
            <v>1</v>
          </cell>
        </row>
        <row r="188">
          <cell r="A188" t="str">
            <v>B01H6DXCYE</v>
          </cell>
          <cell r="B188">
            <v>2</v>
          </cell>
          <cell r="C188">
            <v>1</v>
          </cell>
          <cell r="D188">
            <v>1</v>
          </cell>
          <cell r="E188">
            <v>1</v>
          </cell>
        </row>
        <row r="189">
          <cell r="A189" t="str">
            <v>B01H6DXDHA</v>
          </cell>
          <cell r="B189">
            <v>2</v>
          </cell>
          <cell r="C189">
            <v>1</v>
          </cell>
          <cell r="D189">
            <v>1</v>
          </cell>
          <cell r="E189">
            <v>1</v>
          </cell>
        </row>
        <row r="190">
          <cell r="A190" t="str">
            <v>B01H6DXE1U</v>
          </cell>
          <cell r="B190">
            <v>3</v>
          </cell>
          <cell r="C190">
            <v>0</v>
          </cell>
          <cell r="D190">
            <v>0</v>
          </cell>
          <cell r="E190">
            <v>1</v>
          </cell>
        </row>
        <row r="191">
          <cell r="A191" t="str">
            <v>B01H7076HA</v>
          </cell>
          <cell r="B191">
            <v>3</v>
          </cell>
          <cell r="C191">
            <v>6</v>
          </cell>
          <cell r="D191">
            <v>6</v>
          </cell>
          <cell r="E191">
            <v>3</v>
          </cell>
        </row>
        <row r="192">
          <cell r="A192" t="str">
            <v>B01H7076OS</v>
          </cell>
          <cell r="B192">
            <v>0</v>
          </cell>
          <cell r="C192">
            <v>1</v>
          </cell>
          <cell r="D192">
            <v>1</v>
          </cell>
          <cell r="E192">
            <v>1</v>
          </cell>
        </row>
        <row r="193">
          <cell r="A193" t="str">
            <v>B01H70785K</v>
          </cell>
          <cell r="B193">
            <v>0</v>
          </cell>
          <cell r="C193">
            <v>5</v>
          </cell>
          <cell r="D193">
            <v>5</v>
          </cell>
          <cell r="E193">
            <v>3</v>
          </cell>
        </row>
        <row r="194">
          <cell r="A194" t="str">
            <v>B01H7078BY</v>
          </cell>
          <cell r="B194">
            <v>2</v>
          </cell>
          <cell r="C194">
            <v>3</v>
          </cell>
          <cell r="D194">
            <v>3</v>
          </cell>
          <cell r="E194">
            <v>3</v>
          </cell>
        </row>
        <row r="195">
          <cell r="A195" t="str">
            <v>B01H7079W2</v>
          </cell>
          <cell r="B195">
            <v>3</v>
          </cell>
          <cell r="C195">
            <v>1</v>
          </cell>
          <cell r="D195">
            <v>1</v>
          </cell>
          <cell r="E195">
            <v>6</v>
          </cell>
        </row>
        <row r="196">
          <cell r="A196" t="str">
            <v>B01HTJ8QUK</v>
          </cell>
          <cell r="B196">
            <v>3</v>
          </cell>
          <cell r="C196">
            <v>3</v>
          </cell>
          <cell r="D196">
            <v>3</v>
          </cell>
          <cell r="E196">
            <v>1</v>
          </cell>
        </row>
        <row r="197">
          <cell r="A197" t="str">
            <v>B01HTJ90K0</v>
          </cell>
          <cell r="B197">
            <v>4</v>
          </cell>
          <cell r="C197">
            <v>2</v>
          </cell>
          <cell r="D197">
            <v>2</v>
          </cell>
          <cell r="E197">
            <v>1</v>
          </cell>
        </row>
        <row r="198">
          <cell r="A198" t="str">
            <v>B01HZ2XKJ8</v>
          </cell>
          <cell r="B198">
            <v>9</v>
          </cell>
          <cell r="C198">
            <v>21</v>
          </cell>
          <cell r="D198">
            <v>21</v>
          </cell>
          <cell r="E198">
            <v>24</v>
          </cell>
        </row>
        <row r="199">
          <cell r="A199" t="str">
            <v>B01HZ2XMAA</v>
          </cell>
          <cell r="B199">
            <v>5</v>
          </cell>
          <cell r="C199">
            <v>5</v>
          </cell>
          <cell r="D199">
            <v>5</v>
          </cell>
          <cell r="E199">
            <v>3</v>
          </cell>
        </row>
        <row r="200">
          <cell r="A200" t="str">
            <v>B01HZ2XMYQ</v>
          </cell>
          <cell r="B200">
            <v>4</v>
          </cell>
          <cell r="C200">
            <v>2</v>
          </cell>
          <cell r="D200">
            <v>2</v>
          </cell>
          <cell r="E200">
            <v>1</v>
          </cell>
        </row>
        <row r="201">
          <cell r="A201" t="str">
            <v>B01HZ2XQSI</v>
          </cell>
          <cell r="B201">
            <v>6</v>
          </cell>
          <cell r="C201">
            <v>11</v>
          </cell>
          <cell r="D201">
            <v>11</v>
          </cell>
          <cell r="E201">
            <v>5</v>
          </cell>
        </row>
        <row r="202">
          <cell r="A202" t="str">
            <v>B01HZ9S0P0</v>
          </cell>
          <cell r="B202">
            <v>0</v>
          </cell>
          <cell r="C202">
            <v>1</v>
          </cell>
          <cell r="D202">
            <v>1</v>
          </cell>
          <cell r="E202">
            <v>3</v>
          </cell>
        </row>
        <row r="203">
          <cell r="A203" t="str">
            <v>B01I2I94IA</v>
          </cell>
          <cell r="B203">
            <v>45</v>
          </cell>
          <cell r="C203">
            <v>79</v>
          </cell>
          <cell r="D203">
            <v>79</v>
          </cell>
          <cell r="E203">
            <v>48</v>
          </cell>
        </row>
        <row r="204">
          <cell r="A204" t="str">
            <v>B01I2I95HU</v>
          </cell>
          <cell r="B204">
            <v>5</v>
          </cell>
          <cell r="C204">
            <v>2</v>
          </cell>
          <cell r="D204">
            <v>2</v>
          </cell>
          <cell r="E204">
            <v>3</v>
          </cell>
        </row>
        <row r="205">
          <cell r="A205" t="str">
            <v>B01I4KVTG6</v>
          </cell>
          <cell r="B205">
            <v>25</v>
          </cell>
          <cell r="C205">
            <v>28</v>
          </cell>
          <cell r="D205">
            <v>28</v>
          </cell>
          <cell r="E205">
            <v>19</v>
          </cell>
        </row>
        <row r="206">
          <cell r="A206" t="str">
            <v>B01ID5DU64</v>
          </cell>
          <cell r="B206">
            <v>26</v>
          </cell>
          <cell r="C206">
            <v>46</v>
          </cell>
          <cell r="D206">
            <v>46</v>
          </cell>
          <cell r="E206">
            <v>57</v>
          </cell>
        </row>
        <row r="207">
          <cell r="A207" t="str">
            <v>B01ID5DUD2</v>
          </cell>
          <cell r="B207">
            <v>4</v>
          </cell>
          <cell r="C207">
            <v>4</v>
          </cell>
          <cell r="D207">
            <v>4</v>
          </cell>
          <cell r="E207">
            <v>7</v>
          </cell>
        </row>
        <row r="208">
          <cell r="A208" t="str">
            <v>B01ID5DVN6</v>
          </cell>
          <cell r="B208">
            <v>3</v>
          </cell>
          <cell r="C208">
            <v>4</v>
          </cell>
          <cell r="D208">
            <v>4</v>
          </cell>
          <cell r="E208">
            <v>3</v>
          </cell>
        </row>
        <row r="209">
          <cell r="A209" t="str">
            <v>B01ID5DXEI</v>
          </cell>
          <cell r="B209">
            <v>5</v>
          </cell>
          <cell r="C209">
            <v>3</v>
          </cell>
          <cell r="D209">
            <v>3</v>
          </cell>
          <cell r="E209">
            <v>2</v>
          </cell>
        </row>
        <row r="210">
          <cell r="A210" t="str">
            <v>B01ID5E5ZY</v>
          </cell>
          <cell r="B210">
            <v>6</v>
          </cell>
          <cell r="C210">
            <v>3</v>
          </cell>
          <cell r="D210">
            <v>3</v>
          </cell>
          <cell r="E210">
            <v>2</v>
          </cell>
        </row>
        <row r="211">
          <cell r="A211" t="str">
            <v>B01ID5EO6E</v>
          </cell>
          <cell r="B211">
            <v>3</v>
          </cell>
          <cell r="C211">
            <v>6</v>
          </cell>
          <cell r="D211">
            <v>6</v>
          </cell>
          <cell r="E211">
            <v>4</v>
          </cell>
        </row>
        <row r="212">
          <cell r="A212" t="str">
            <v>B01IEYL9FI</v>
          </cell>
          <cell r="B212">
            <v>2</v>
          </cell>
          <cell r="C212">
            <v>1</v>
          </cell>
          <cell r="D212">
            <v>1</v>
          </cell>
          <cell r="E212">
            <v>2</v>
          </cell>
        </row>
        <row r="213">
          <cell r="A213" t="str">
            <v>B01IMU4IWK</v>
          </cell>
          <cell r="B213">
            <v>16</v>
          </cell>
          <cell r="C213">
            <v>14</v>
          </cell>
          <cell r="D213">
            <v>14</v>
          </cell>
          <cell r="E213">
            <v>23</v>
          </cell>
        </row>
        <row r="214">
          <cell r="A214" t="str">
            <v>B01IMU4JK6</v>
          </cell>
          <cell r="B214">
            <v>13</v>
          </cell>
          <cell r="C214">
            <v>7</v>
          </cell>
          <cell r="D214">
            <v>7</v>
          </cell>
          <cell r="E214">
            <v>6</v>
          </cell>
        </row>
        <row r="215">
          <cell r="A215" t="str">
            <v>B01IMU4KQE</v>
          </cell>
          <cell r="B215">
            <v>15</v>
          </cell>
          <cell r="C215">
            <v>7</v>
          </cell>
          <cell r="D215">
            <v>7</v>
          </cell>
          <cell r="E215">
            <v>9</v>
          </cell>
        </row>
        <row r="216">
          <cell r="A216" t="str">
            <v>B01IQP4X8A</v>
          </cell>
          <cell r="B216">
            <v>4</v>
          </cell>
          <cell r="C216">
            <v>0</v>
          </cell>
          <cell r="D216">
            <v>0</v>
          </cell>
          <cell r="E216">
            <v>5</v>
          </cell>
        </row>
        <row r="217">
          <cell r="A217" t="str">
            <v>B01IQP4Y6Q</v>
          </cell>
          <cell r="B217">
            <v>5</v>
          </cell>
          <cell r="C217">
            <v>0</v>
          </cell>
          <cell r="D217">
            <v>0</v>
          </cell>
          <cell r="E217">
            <v>2</v>
          </cell>
        </row>
        <row r="218">
          <cell r="A218" t="str">
            <v>B01IQP5C30</v>
          </cell>
          <cell r="B218">
            <v>6</v>
          </cell>
          <cell r="C218">
            <v>3</v>
          </cell>
          <cell r="D218">
            <v>3</v>
          </cell>
          <cell r="E218">
            <v>4</v>
          </cell>
        </row>
        <row r="219">
          <cell r="A219" t="str">
            <v>B01J5AL630</v>
          </cell>
          <cell r="B219">
            <v>5</v>
          </cell>
          <cell r="C219">
            <v>0</v>
          </cell>
          <cell r="D219">
            <v>0</v>
          </cell>
          <cell r="E219">
            <v>2</v>
          </cell>
        </row>
        <row r="220">
          <cell r="A220" t="str">
            <v>B01J5AL88S</v>
          </cell>
          <cell r="B220">
            <v>3</v>
          </cell>
          <cell r="C220">
            <v>2</v>
          </cell>
          <cell r="D220">
            <v>2</v>
          </cell>
          <cell r="E220">
            <v>2</v>
          </cell>
        </row>
        <row r="221">
          <cell r="A221" t="str">
            <v>B01J7RKVZA</v>
          </cell>
          <cell r="B221">
            <v>8</v>
          </cell>
          <cell r="C221">
            <v>10</v>
          </cell>
          <cell r="D221">
            <v>10</v>
          </cell>
          <cell r="E221">
            <v>5</v>
          </cell>
        </row>
        <row r="222">
          <cell r="A222" t="str">
            <v>B01J7RL0OG</v>
          </cell>
          <cell r="B222">
            <v>7</v>
          </cell>
          <cell r="C222">
            <v>6</v>
          </cell>
          <cell r="D222">
            <v>6</v>
          </cell>
          <cell r="E222">
            <v>8</v>
          </cell>
        </row>
        <row r="223">
          <cell r="A223" t="str">
            <v>B01J7T05W2</v>
          </cell>
          <cell r="B223">
            <v>2</v>
          </cell>
          <cell r="C223">
            <v>1</v>
          </cell>
          <cell r="D223">
            <v>1</v>
          </cell>
          <cell r="E223">
            <v>1</v>
          </cell>
        </row>
        <row r="224">
          <cell r="A224" t="str">
            <v>B01J7T07WA</v>
          </cell>
          <cell r="B224">
            <v>2</v>
          </cell>
          <cell r="C224">
            <v>1</v>
          </cell>
          <cell r="D224">
            <v>1</v>
          </cell>
          <cell r="E224">
            <v>1</v>
          </cell>
        </row>
        <row r="225">
          <cell r="A225" t="str">
            <v>B01JZ1G43G</v>
          </cell>
          <cell r="B225">
            <v>0</v>
          </cell>
          <cell r="C225">
            <v>0</v>
          </cell>
          <cell r="D225">
            <v>0</v>
          </cell>
          <cell r="E225">
            <v>1</v>
          </cell>
        </row>
        <row r="226">
          <cell r="A226" t="str">
            <v>B01JZ1G7TC</v>
          </cell>
          <cell r="B226">
            <v>1</v>
          </cell>
          <cell r="C226">
            <v>0</v>
          </cell>
          <cell r="D226">
            <v>0</v>
          </cell>
          <cell r="E226">
            <v>1</v>
          </cell>
        </row>
        <row r="227">
          <cell r="A227" t="str">
            <v>B01JZ1G9CC</v>
          </cell>
          <cell r="B227">
            <v>0</v>
          </cell>
          <cell r="C227">
            <v>0</v>
          </cell>
          <cell r="D227">
            <v>0</v>
          </cell>
          <cell r="E227">
            <v>2</v>
          </cell>
        </row>
        <row r="228">
          <cell r="A228" t="str">
            <v>B01JZ1GO3G</v>
          </cell>
          <cell r="B228">
            <v>1</v>
          </cell>
          <cell r="C228">
            <v>1</v>
          </cell>
          <cell r="D228">
            <v>1</v>
          </cell>
          <cell r="E228">
            <v>1</v>
          </cell>
        </row>
        <row r="229">
          <cell r="A229" t="str">
            <v>B01LVUY9NL</v>
          </cell>
          <cell r="B229">
            <v>6</v>
          </cell>
          <cell r="C229">
            <v>3</v>
          </cell>
          <cell r="D229">
            <v>3</v>
          </cell>
          <cell r="E229">
            <v>11</v>
          </cell>
        </row>
        <row r="230">
          <cell r="A230" t="str">
            <v>B01LVXE7OG</v>
          </cell>
          <cell r="B230">
            <v>2</v>
          </cell>
          <cell r="C230">
            <v>1</v>
          </cell>
          <cell r="D230">
            <v>1</v>
          </cell>
          <cell r="E230">
            <v>5</v>
          </cell>
        </row>
        <row r="231">
          <cell r="A231" t="str">
            <v>B01LW1G9P6</v>
          </cell>
          <cell r="B231">
            <v>5</v>
          </cell>
          <cell r="C231">
            <v>5</v>
          </cell>
          <cell r="D231">
            <v>5</v>
          </cell>
          <cell r="E231">
            <v>7</v>
          </cell>
        </row>
        <row r="232">
          <cell r="A232" t="str">
            <v>B01LWE20EB</v>
          </cell>
          <cell r="B232">
            <v>3</v>
          </cell>
          <cell r="C232">
            <v>5</v>
          </cell>
          <cell r="D232">
            <v>5</v>
          </cell>
          <cell r="E232">
            <v>6</v>
          </cell>
        </row>
        <row r="233">
          <cell r="A233" t="str">
            <v>B01LWI58YH</v>
          </cell>
          <cell r="B233">
            <v>2</v>
          </cell>
          <cell r="C233">
            <v>1</v>
          </cell>
          <cell r="D233">
            <v>1</v>
          </cell>
          <cell r="E233">
            <v>2</v>
          </cell>
        </row>
        <row r="234">
          <cell r="A234" t="str">
            <v>B01LX5LAQB</v>
          </cell>
          <cell r="B234">
            <v>2</v>
          </cell>
          <cell r="C234">
            <v>1</v>
          </cell>
          <cell r="D234">
            <v>1</v>
          </cell>
          <cell r="E234">
            <v>2</v>
          </cell>
        </row>
        <row r="235">
          <cell r="A235" t="str">
            <v>B01LXD9QIS</v>
          </cell>
          <cell r="B235">
            <v>4</v>
          </cell>
          <cell r="C235">
            <v>1</v>
          </cell>
          <cell r="D235">
            <v>1</v>
          </cell>
          <cell r="E235">
            <v>1</v>
          </cell>
        </row>
        <row r="236">
          <cell r="A236" t="str">
            <v>B01LXT1NL3</v>
          </cell>
          <cell r="B236">
            <v>2</v>
          </cell>
          <cell r="C236">
            <v>2</v>
          </cell>
          <cell r="D236">
            <v>2</v>
          </cell>
          <cell r="E236">
            <v>1</v>
          </cell>
        </row>
        <row r="237">
          <cell r="A237" t="str">
            <v>B01LY4R9YJ</v>
          </cell>
          <cell r="B237">
            <v>2</v>
          </cell>
          <cell r="C237">
            <v>3</v>
          </cell>
          <cell r="D237">
            <v>3</v>
          </cell>
          <cell r="E237">
            <v>1</v>
          </cell>
        </row>
        <row r="238">
          <cell r="A238" t="str">
            <v>B01LZ1Z414</v>
          </cell>
          <cell r="B238">
            <v>1</v>
          </cell>
          <cell r="C238">
            <v>1</v>
          </cell>
          <cell r="D238">
            <v>1</v>
          </cell>
          <cell r="E238">
            <v>1</v>
          </cell>
        </row>
        <row r="239">
          <cell r="A239" t="str">
            <v>B01M0327M1</v>
          </cell>
          <cell r="B239">
            <v>2</v>
          </cell>
          <cell r="C239">
            <v>0</v>
          </cell>
          <cell r="D239">
            <v>0</v>
          </cell>
          <cell r="E239">
            <v>2</v>
          </cell>
        </row>
        <row r="240">
          <cell r="A240" t="str">
            <v>B01M0328CI</v>
          </cell>
          <cell r="B240">
            <v>1</v>
          </cell>
          <cell r="C240">
            <v>2</v>
          </cell>
          <cell r="D240">
            <v>2</v>
          </cell>
          <cell r="E240">
            <v>1</v>
          </cell>
        </row>
        <row r="241">
          <cell r="A241" t="str">
            <v>B01M0D9R8F</v>
          </cell>
          <cell r="B241">
            <v>4</v>
          </cell>
          <cell r="C241">
            <v>1</v>
          </cell>
          <cell r="D241">
            <v>1</v>
          </cell>
          <cell r="E241">
            <v>1</v>
          </cell>
        </row>
        <row r="242">
          <cell r="A242" t="str">
            <v>B01M0D9U04</v>
          </cell>
          <cell r="B242">
            <v>3</v>
          </cell>
          <cell r="C242">
            <v>3</v>
          </cell>
          <cell r="D242">
            <v>3</v>
          </cell>
          <cell r="E242">
            <v>1</v>
          </cell>
        </row>
        <row r="243">
          <cell r="A243" t="str">
            <v>B01M0ES8Z0</v>
          </cell>
          <cell r="B243">
            <v>2</v>
          </cell>
          <cell r="C243">
            <v>1</v>
          </cell>
          <cell r="D243">
            <v>1</v>
          </cell>
          <cell r="E243">
            <v>2</v>
          </cell>
        </row>
        <row r="244">
          <cell r="A244" t="str">
            <v>B01M0MD17L</v>
          </cell>
          <cell r="B244">
            <v>3</v>
          </cell>
          <cell r="C244">
            <v>4</v>
          </cell>
          <cell r="D244">
            <v>4</v>
          </cell>
          <cell r="E244">
            <v>3</v>
          </cell>
        </row>
        <row r="245">
          <cell r="A245" t="str">
            <v>B01M0MD17O</v>
          </cell>
          <cell r="B245">
            <v>7</v>
          </cell>
          <cell r="C245">
            <v>2</v>
          </cell>
          <cell r="D245">
            <v>2</v>
          </cell>
          <cell r="E245">
            <v>2</v>
          </cell>
        </row>
        <row r="246">
          <cell r="A246" t="str">
            <v>B01M0OX75I</v>
          </cell>
          <cell r="B246">
            <v>5</v>
          </cell>
          <cell r="C246">
            <v>5</v>
          </cell>
          <cell r="D246">
            <v>5</v>
          </cell>
          <cell r="E246">
            <v>1</v>
          </cell>
        </row>
        <row r="247">
          <cell r="A247" t="str">
            <v>B01M0Q1U1V</v>
          </cell>
          <cell r="B247">
            <v>1</v>
          </cell>
          <cell r="C247">
            <v>2</v>
          </cell>
          <cell r="D247">
            <v>2</v>
          </cell>
          <cell r="E247">
            <v>1</v>
          </cell>
        </row>
        <row r="248">
          <cell r="A248" t="str">
            <v>B01M1VYGY2</v>
          </cell>
          <cell r="B248">
            <v>2</v>
          </cell>
          <cell r="C248">
            <v>0</v>
          </cell>
          <cell r="D248">
            <v>0</v>
          </cell>
          <cell r="E248">
            <v>3</v>
          </cell>
        </row>
        <row r="249">
          <cell r="A249" t="str">
            <v>B01M2487BX</v>
          </cell>
          <cell r="B249">
            <v>2</v>
          </cell>
          <cell r="C249">
            <v>2</v>
          </cell>
          <cell r="D249">
            <v>2</v>
          </cell>
          <cell r="E249">
            <v>2</v>
          </cell>
        </row>
        <row r="250">
          <cell r="A250" t="str">
            <v>B01M29W17K</v>
          </cell>
          <cell r="B250">
            <v>3</v>
          </cell>
          <cell r="C250">
            <v>0</v>
          </cell>
          <cell r="D250">
            <v>0</v>
          </cell>
          <cell r="E250">
            <v>1</v>
          </cell>
        </row>
        <row r="251">
          <cell r="A251" t="str">
            <v>B01M2UYD3I</v>
          </cell>
          <cell r="B251">
            <v>1</v>
          </cell>
          <cell r="C251">
            <v>1</v>
          </cell>
          <cell r="D251">
            <v>1</v>
          </cell>
          <cell r="E251">
            <v>1</v>
          </cell>
        </row>
        <row r="252">
          <cell r="A252" t="str">
            <v>B01M2UYFMQ</v>
          </cell>
          <cell r="B252">
            <v>5</v>
          </cell>
          <cell r="C252">
            <v>0</v>
          </cell>
          <cell r="D252">
            <v>0</v>
          </cell>
          <cell r="E252">
            <v>2</v>
          </cell>
        </row>
        <row r="253">
          <cell r="A253" t="str">
            <v>B01M2WKW8D</v>
          </cell>
          <cell r="B253">
            <v>17</v>
          </cell>
          <cell r="C253">
            <v>21</v>
          </cell>
          <cell r="D253">
            <v>21</v>
          </cell>
          <cell r="E253">
            <v>40</v>
          </cell>
        </row>
        <row r="254">
          <cell r="A254" t="str">
            <v>B01M3PLOQL</v>
          </cell>
          <cell r="B254">
            <v>4</v>
          </cell>
          <cell r="C254">
            <v>2</v>
          </cell>
          <cell r="D254">
            <v>2</v>
          </cell>
          <cell r="E254">
            <v>2</v>
          </cell>
        </row>
        <row r="255">
          <cell r="A255" t="str">
            <v>B01M3PZ1R5</v>
          </cell>
          <cell r="B255">
            <v>5</v>
          </cell>
          <cell r="C255">
            <v>0</v>
          </cell>
          <cell r="D255">
            <v>0</v>
          </cell>
          <cell r="E255">
            <v>1</v>
          </cell>
        </row>
        <row r="256">
          <cell r="A256" t="str">
            <v>B01M3PZ378</v>
          </cell>
          <cell r="B256">
            <v>6</v>
          </cell>
          <cell r="C256">
            <v>2</v>
          </cell>
          <cell r="D256">
            <v>2</v>
          </cell>
          <cell r="E256">
            <v>1</v>
          </cell>
        </row>
        <row r="257">
          <cell r="A257" t="str">
            <v>B01M3Y0ZDC</v>
          </cell>
          <cell r="B257">
            <v>3</v>
          </cell>
          <cell r="C257">
            <v>1</v>
          </cell>
          <cell r="D257">
            <v>1</v>
          </cell>
          <cell r="E257">
            <v>1</v>
          </cell>
        </row>
        <row r="258">
          <cell r="A258" t="str">
            <v>B01M3YW8FW</v>
          </cell>
          <cell r="B258">
            <v>3</v>
          </cell>
          <cell r="C258">
            <v>0</v>
          </cell>
          <cell r="D258">
            <v>0</v>
          </cell>
          <cell r="E258">
            <v>1</v>
          </cell>
        </row>
        <row r="259">
          <cell r="A259" t="str">
            <v>B01M4OHRH9</v>
          </cell>
          <cell r="B259">
            <v>4</v>
          </cell>
          <cell r="C259">
            <v>1</v>
          </cell>
          <cell r="D259">
            <v>1</v>
          </cell>
          <cell r="E259">
            <v>1</v>
          </cell>
        </row>
        <row r="260">
          <cell r="A260" t="str">
            <v>B01M5AYY5V</v>
          </cell>
          <cell r="B260">
            <v>3</v>
          </cell>
          <cell r="C260">
            <v>1</v>
          </cell>
          <cell r="D260">
            <v>1</v>
          </cell>
          <cell r="E260">
            <v>1</v>
          </cell>
        </row>
        <row r="261">
          <cell r="A261" t="str">
            <v>B01M5IWX76</v>
          </cell>
          <cell r="B261">
            <v>5</v>
          </cell>
          <cell r="C261">
            <v>0</v>
          </cell>
          <cell r="D261">
            <v>0</v>
          </cell>
          <cell r="E261">
            <v>2</v>
          </cell>
        </row>
        <row r="262">
          <cell r="A262" t="str">
            <v>B01M5JZGEH</v>
          </cell>
          <cell r="B262">
            <v>0</v>
          </cell>
          <cell r="C262">
            <v>1</v>
          </cell>
          <cell r="D262">
            <v>1</v>
          </cell>
          <cell r="E262">
            <v>2</v>
          </cell>
        </row>
        <row r="263">
          <cell r="A263" t="str">
            <v>B01M63PZ3C</v>
          </cell>
          <cell r="B263">
            <v>3</v>
          </cell>
          <cell r="C263">
            <v>4</v>
          </cell>
          <cell r="D263">
            <v>4</v>
          </cell>
          <cell r="E263">
            <v>3</v>
          </cell>
        </row>
        <row r="264">
          <cell r="A264" t="str">
            <v>B01M63RJG4</v>
          </cell>
          <cell r="B264">
            <v>3</v>
          </cell>
          <cell r="C264">
            <v>1</v>
          </cell>
          <cell r="D264">
            <v>1</v>
          </cell>
          <cell r="E264">
            <v>1</v>
          </cell>
        </row>
        <row r="265">
          <cell r="A265" t="str">
            <v>B01M63RTZE</v>
          </cell>
          <cell r="B265">
            <v>5</v>
          </cell>
          <cell r="C265">
            <v>9</v>
          </cell>
          <cell r="D265">
            <v>9</v>
          </cell>
          <cell r="E265">
            <v>7</v>
          </cell>
        </row>
        <row r="266">
          <cell r="A266" t="str">
            <v>B01M63S2EX</v>
          </cell>
          <cell r="B266">
            <v>0</v>
          </cell>
          <cell r="C266">
            <v>1</v>
          </cell>
          <cell r="D266">
            <v>1</v>
          </cell>
          <cell r="E266">
            <v>1</v>
          </cell>
        </row>
        <row r="267">
          <cell r="A267" t="str">
            <v>B01M66LNMA</v>
          </cell>
          <cell r="B267">
            <v>7</v>
          </cell>
          <cell r="C267">
            <v>2</v>
          </cell>
          <cell r="D267">
            <v>2</v>
          </cell>
          <cell r="E267">
            <v>1</v>
          </cell>
        </row>
        <row r="268">
          <cell r="A268" t="str">
            <v>B01M69CL5T</v>
          </cell>
          <cell r="B268">
            <v>3</v>
          </cell>
          <cell r="C268">
            <v>0</v>
          </cell>
          <cell r="D268">
            <v>0</v>
          </cell>
          <cell r="E268">
            <v>1</v>
          </cell>
        </row>
        <row r="269">
          <cell r="A269" t="str">
            <v>B01M6CMXFJ</v>
          </cell>
          <cell r="B269">
            <v>3</v>
          </cell>
          <cell r="C269">
            <v>7</v>
          </cell>
          <cell r="D269">
            <v>7</v>
          </cell>
          <cell r="E269">
            <v>1</v>
          </cell>
        </row>
        <row r="270">
          <cell r="A270" t="str">
            <v>B01M7P6REV</v>
          </cell>
          <cell r="B270">
            <v>6</v>
          </cell>
          <cell r="C270">
            <v>2</v>
          </cell>
          <cell r="D270">
            <v>2</v>
          </cell>
          <cell r="E270">
            <v>2</v>
          </cell>
        </row>
        <row r="271">
          <cell r="A271" t="str">
            <v>B01M7P70CS</v>
          </cell>
          <cell r="B271">
            <v>20</v>
          </cell>
          <cell r="C271">
            <v>5</v>
          </cell>
          <cell r="D271">
            <v>5</v>
          </cell>
          <cell r="E271">
            <v>4</v>
          </cell>
        </row>
        <row r="272">
          <cell r="A272" t="str">
            <v>B01M7PPHAN</v>
          </cell>
          <cell r="B272">
            <v>3</v>
          </cell>
          <cell r="C272">
            <v>4</v>
          </cell>
          <cell r="D272">
            <v>4</v>
          </cell>
          <cell r="E272">
            <v>3</v>
          </cell>
        </row>
        <row r="273">
          <cell r="A273" t="str">
            <v>B01M7UYYSQ</v>
          </cell>
          <cell r="B273">
            <v>4</v>
          </cell>
          <cell r="C273">
            <v>1</v>
          </cell>
          <cell r="D273">
            <v>1</v>
          </cell>
          <cell r="E273">
            <v>2</v>
          </cell>
        </row>
        <row r="274">
          <cell r="A274" t="str">
            <v>B01M7X7MYF</v>
          </cell>
          <cell r="B274">
            <v>3</v>
          </cell>
          <cell r="C274">
            <v>0</v>
          </cell>
          <cell r="D274">
            <v>0</v>
          </cell>
          <cell r="E274">
            <v>1</v>
          </cell>
        </row>
        <row r="275">
          <cell r="A275" t="str">
            <v>B01M8KQKBA</v>
          </cell>
          <cell r="B275">
            <v>0</v>
          </cell>
          <cell r="C275">
            <v>4</v>
          </cell>
          <cell r="D275">
            <v>4</v>
          </cell>
          <cell r="E275">
            <v>2</v>
          </cell>
        </row>
        <row r="276">
          <cell r="A276" t="str">
            <v>B01M8NN6DC</v>
          </cell>
          <cell r="B276">
            <v>4</v>
          </cell>
          <cell r="C276">
            <v>2</v>
          </cell>
          <cell r="D276">
            <v>2</v>
          </cell>
          <cell r="E276">
            <v>2</v>
          </cell>
        </row>
        <row r="277">
          <cell r="A277" t="str">
            <v>B01M8QZC0V</v>
          </cell>
          <cell r="B277">
            <v>23</v>
          </cell>
          <cell r="C277">
            <v>16</v>
          </cell>
          <cell r="D277">
            <v>16</v>
          </cell>
          <cell r="E277">
            <v>8</v>
          </cell>
        </row>
        <row r="278">
          <cell r="A278" t="str">
            <v>B01MA1KLWC</v>
          </cell>
          <cell r="B278">
            <v>3</v>
          </cell>
          <cell r="C278">
            <v>1</v>
          </cell>
          <cell r="D278">
            <v>1</v>
          </cell>
          <cell r="E278">
            <v>1</v>
          </cell>
        </row>
        <row r="279">
          <cell r="A279" t="str">
            <v>B01MA3UEU3</v>
          </cell>
          <cell r="B279">
            <v>3</v>
          </cell>
          <cell r="C279">
            <v>1</v>
          </cell>
          <cell r="D279">
            <v>1</v>
          </cell>
          <cell r="E279">
            <v>1</v>
          </cell>
        </row>
        <row r="280">
          <cell r="A280" t="str">
            <v>B01MA5X2Y4</v>
          </cell>
          <cell r="B280">
            <v>6</v>
          </cell>
          <cell r="C280">
            <v>12</v>
          </cell>
          <cell r="D280">
            <v>12</v>
          </cell>
          <cell r="E280">
            <v>6</v>
          </cell>
        </row>
        <row r="281">
          <cell r="A281" t="str">
            <v>B01MAUCEHQ</v>
          </cell>
          <cell r="B281">
            <v>3</v>
          </cell>
          <cell r="C281">
            <v>2</v>
          </cell>
          <cell r="D281">
            <v>2</v>
          </cell>
          <cell r="E281">
            <v>1</v>
          </cell>
        </row>
        <row r="282">
          <cell r="A282" t="str">
            <v>B01MAZ1MWP</v>
          </cell>
          <cell r="B282">
            <v>3</v>
          </cell>
          <cell r="C282">
            <v>5</v>
          </cell>
          <cell r="D282">
            <v>5</v>
          </cell>
          <cell r="E282">
            <v>5</v>
          </cell>
        </row>
        <row r="283">
          <cell r="A283" t="str">
            <v>B01MCW20WY</v>
          </cell>
          <cell r="B283">
            <v>4</v>
          </cell>
          <cell r="C283">
            <v>13</v>
          </cell>
          <cell r="D283">
            <v>13</v>
          </cell>
          <cell r="E283">
            <v>28</v>
          </cell>
        </row>
        <row r="284">
          <cell r="A284" t="str">
            <v>B01MCYYCOC</v>
          </cell>
          <cell r="B284">
            <v>5</v>
          </cell>
          <cell r="C284">
            <v>2</v>
          </cell>
          <cell r="D284">
            <v>2</v>
          </cell>
          <cell r="E284">
            <v>2</v>
          </cell>
        </row>
        <row r="285">
          <cell r="A285" t="str">
            <v>B01MDUUIF8</v>
          </cell>
          <cell r="B285">
            <v>5</v>
          </cell>
          <cell r="C285">
            <v>4</v>
          </cell>
          <cell r="D285">
            <v>4</v>
          </cell>
          <cell r="E285">
            <v>2</v>
          </cell>
        </row>
        <row r="286">
          <cell r="A286" t="str">
            <v>B01MECQ070</v>
          </cell>
          <cell r="B286">
            <v>9</v>
          </cell>
          <cell r="C286">
            <v>8</v>
          </cell>
          <cell r="D286">
            <v>8</v>
          </cell>
          <cell r="E286">
            <v>2</v>
          </cell>
        </row>
        <row r="287">
          <cell r="A287" t="str">
            <v>B01MF97PBG</v>
          </cell>
          <cell r="B287">
            <v>22</v>
          </cell>
          <cell r="C287">
            <v>27</v>
          </cell>
          <cell r="D287">
            <v>27</v>
          </cell>
          <cell r="E287">
            <v>19</v>
          </cell>
        </row>
        <row r="288">
          <cell r="A288" t="str">
            <v>B01MF9PTOL</v>
          </cell>
          <cell r="B288">
            <v>3</v>
          </cell>
          <cell r="C288">
            <v>11</v>
          </cell>
          <cell r="D288">
            <v>11</v>
          </cell>
          <cell r="E288">
            <v>2</v>
          </cell>
        </row>
        <row r="289">
          <cell r="A289" t="str">
            <v>B01MFA53BD</v>
          </cell>
          <cell r="B289">
            <v>15</v>
          </cell>
          <cell r="C289">
            <v>10</v>
          </cell>
          <cell r="D289">
            <v>10</v>
          </cell>
          <cell r="E289">
            <v>10</v>
          </cell>
        </row>
        <row r="290">
          <cell r="A290" t="str">
            <v>B01MG8TRFZ</v>
          </cell>
          <cell r="B290">
            <v>3</v>
          </cell>
          <cell r="C290">
            <v>3</v>
          </cell>
          <cell r="D290">
            <v>3</v>
          </cell>
          <cell r="E290">
            <v>2</v>
          </cell>
        </row>
        <row r="291">
          <cell r="A291" t="str">
            <v>B01MQDDSUB</v>
          </cell>
          <cell r="B291">
            <v>0</v>
          </cell>
          <cell r="C291">
            <v>24</v>
          </cell>
          <cell r="D291">
            <v>24</v>
          </cell>
          <cell r="E291">
            <v>24</v>
          </cell>
        </row>
        <row r="292">
          <cell r="A292" t="str">
            <v>B01MQFD56D</v>
          </cell>
          <cell r="B292">
            <v>1</v>
          </cell>
          <cell r="C292">
            <v>0</v>
          </cell>
          <cell r="D292">
            <v>0</v>
          </cell>
          <cell r="E292">
            <v>2</v>
          </cell>
        </row>
        <row r="293">
          <cell r="A293" t="str">
            <v>B01MR0QBC4</v>
          </cell>
          <cell r="B293">
            <v>4</v>
          </cell>
          <cell r="C293">
            <v>2</v>
          </cell>
          <cell r="D293">
            <v>2</v>
          </cell>
          <cell r="E293">
            <v>2</v>
          </cell>
        </row>
        <row r="294">
          <cell r="A294" t="str">
            <v>B01MR44UPW</v>
          </cell>
          <cell r="B294">
            <v>0</v>
          </cell>
          <cell r="C294">
            <v>2</v>
          </cell>
          <cell r="D294">
            <v>2</v>
          </cell>
          <cell r="E294">
            <v>1</v>
          </cell>
        </row>
        <row r="295">
          <cell r="A295" t="str">
            <v>B01MRFG4GM</v>
          </cell>
          <cell r="B295">
            <v>28</v>
          </cell>
          <cell r="C295">
            <v>8</v>
          </cell>
          <cell r="D295">
            <v>8</v>
          </cell>
          <cell r="E295">
            <v>7</v>
          </cell>
        </row>
        <row r="296">
          <cell r="A296" t="str">
            <v>B01MS460RR</v>
          </cell>
          <cell r="B296">
            <v>6</v>
          </cell>
          <cell r="C296">
            <v>0</v>
          </cell>
          <cell r="D296">
            <v>0</v>
          </cell>
          <cell r="E296">
            <v>1</v>
          </cell>
        </row>
        <row r="297">
          <cell r="A297" t="str">
            <v>B01MS5K1L7</v>
          </cell>
          <cell r="B297">
            <v>3</v>
          </cell>
          <cell r="C297">
            <v>1</v>
          </cell>
          <cell r="D297">
            <v>1</v>
          </cell>
          <cell r="E297">
            <v>1</v>
          </cell>
        </row>
        <row r="298">
          <cell r="A298" t="str">
            <v>B01MS6QYZ3</v>
          </cell>
          <cell r="B298">
            <v>2</v>
          </cell>
          <cell r="C298">
            <v>1</v>
          </cell>
          <cell r="D298">
            <v>1</v>
          </cell>
          <cell r="E298">
            <v>1</v>
          </cell>
        </row>
        <row r="299">
          <cell r="A299" t="str">
            <v>B01MS6QZQB</v>
          </cell>
          <cell r="B299">
            <v>2</v>
          </cell>
          <cell r="C299">
            <v>4</v>
          </cell>
          <cell r="D299">
            <v>4</v>
          </cell>
          <cell r="E299">
            <v>1</v>
          </cell>
        </row>
        <row r="300">
          <cell r="A300" t="str">
            <v>B01MS6R0M9</v>
          </cell>
          <cell r="B300">
            <v>4</v>
          </cell>
          <cell r="C300">
            <v>1</v>
          </cell>
          <cell r="D300">
            <v>1</v>
          </cell>
          <cell r="E300">
            <v>3</v>
          </cell>
        </row>
        <row r="301">
          <cell r="A301" t="str">
            <v>B01MSJRM6K</v>
          </cell>
          <cell r="B301">
            <v>1</v>
          </cell>
          <cell r="C301">
            <v>0</v>
          </cell>
          <cell r="D301">
            <v>0</v>
          </cell>
          <cell r="E301">
            <v>1</v>
          </cell>
        </row>
        <row r="302">
          <cell r="A302" t="str">
            <v>B01MSSER4Z</v>
          </cell>
          <cell r="B302">
            <v>4</v>
          </cell>
          <cell r="C302">
            <v>1</v>
          </cell>
          <cell r="D302">
            <v>1</v>
          </cell>
          <cell r="E302">
            <v>1</v>
          </cell>
        </row>
        <row r="303">
          <cell r="A303" t="str">
            <v>B01MTJWG2A</v>
          </cell>
          <cell r="B303">
            <v>1</v>
          </cell>
          <cell r="C303">
            <v>1</v>
          </cell>
          <cell r="D303">
            <v>1</v>
          </cell>
          <cell r="E303">
            <v>2</v>
          </cell>
        </row>
        <row r="304">
          <cell r="A304" t="str">
            <v>B01MTTW6NH</v>
          </cell>
          <cell r="B304">
            <v>0</v>
          </cell>
          <cell r="C304">
            <v>1</v>
          </cell>
          <cell r="D304">
            <v>1</v>
          </cell>
          <cell r="E304">
            <v>1</v>
          </cell>
        </row>
        <row r="305">
          <cell r="A305" t="str">
            <v>B01MU8T1OI</v>
          </cell>
          <cell r="B305">
            <v>1</v>
          </cell>
          <cell r="C305">
            <v>2</v>
          </cell>
          <cell r="D305">
            <v>2</v>
          </cell>
          <cell r="E305">
            <v>3</v>
          </cell>
        </row>
        <row r="306">
          <cell r="A306" t="str">
            <v>B01MU9ZY40</v>
          </cell>
          <cell r="B306">
            <v>0</v>
          </cell>
          <cell r="C306">
            <v>1</v>
          </cell>
          <cell r="D306">
            <v>1</v>
          </cell>
          <cell r="E306">
            <v>3</v>
          </cell>
        </row>
        <row r="307">
          <cell r="A307" t="str">
            <v>B01MV36PGF</v>
          </cell>
          <cell r="B307">
            <v>3</v>
          </cell>
          <cell r="C307">
            <v>2</v>
          </cell>
          <cell r="D307">
            <v>2</v>
          </cell>
          <cell r="E307">
            <v>1</v>
          </cell>
        </row>
        <row r="308">
          <cell r="A308" t="str">
            <v>B01MXIU4BF</v>
          </cell>
          <cell r="B308">
            <v>0</v>
          </cell>
          <cell r="C308">
            <v>3</v>
          </cell>
          <cell r="D308">
            <v>3</v>
          </cell>
          <cell r="E308">
            <v>1</v>
          </cell>
        </row>
        <row r="309">
          <cell r="A309" t="str">
            <v>B01MY7KTQZ</v>
          </cell>
          <cell r="B309">
            <v>2</v>
          </cell>
          <cell r="C309">
            <v>2</v>
          </cell>
          <cell r="D309">
            <v>2</v>
          </cell>
          <cell r="E309">
            <v>1</v>
          </cell>
        </row>
        <row r="310">
          <cell r="A310" t="str">
            <v>B01MY7KX6S</v>
          </cell>
          <cell r="B310">
            <v>1</v>
          </cell>
          <cell r="C310">
            <v>1</v>
          </cell>
          <cell r="D310">
            <v>1</v>
          </cell>
          <cell r="E310">
            <v>1</v>
          </cell>
        </row>
        <row r="311">
          <cell r="A311" t="str">
            <v>B01MYH3XG5</v>
          </cell>
          <cell r="B311">
            <v>3</v>
          </cell>
          <cell r="C311">
            <v>0</v>
          </cell>
          <cell r="D311">
            <v>0</v>
          </cell>
          <cell r="E311">
            <v>1</v>
          </cell>
        </row>
        <row r="312">
          <cell r="A312" t="str">
            <v>B01MZ4I332</v>
          </cell>
          <cell r="B312">
            <v>4</v>
          </cell>
          <cell r="C312">
            <v>2</v>
          </cell>
          <cell r="D312">
            <v>2</v>
          </cell>
          <cell r="E312">
            <v>1</v>
          </cell>
        </row>
        <row r="313">
          <cell r="A313" t="str">
            <v>B01MZ944E4</v>
          </cell>
          <cell r="B313">
            <v>3</v>
          </cell>
          <cell r="C313">
            <v>0</v>
          </cell>
          <cell r="D313">
            <v>0</v>
          </cell>
          <cell r="E313">
            <v>1</v>
          </cell>
        </row>
        <row r="314">
          <cell r="A314" t="str">
            <v>B01N01UI76</v>
          </cell>
          <cell r="B314">
            <v>5</v>
          </cell>
          <cell r="C314">
            <v>0</v>
          </cell>
          <cell r="D314">
            <v>0</v>
          </cell>
          <cell r="E314">
            <v>1</v>
          </cell>
        </row>
        <row r="315">
          <cell r="A315" t="str">
            <v>B01N02OUSI</v>
          </cell>
          <cell r="B315">
            <v>3</v>
          </cell>
          <cell r="C315">
            <v>2</v>
          </cell>
          <cell r="D315">
            <v>2</v>
          </cell>
          <cell r="E315">
            <v>1</v>
          </cell>
        </row>
        <row r="316">
          <cell r="A316" t="str">
            <v>B01N05XVJ7</v>
          </cell>
          <cell r="B316">
            <v>11</v>
          </cell>
          <cell r="C316">
            <v>0</v>
          </cell>
          <cell r="D316">
            <v>0</v>
          </cell>
          <cell r="E316">
            <v>2</v>
          </cell>
        </row>
        <row r="317">
          <cell r="A317" t="str">
            <v>B01N0A39UA</v>
          </cell>
          <cell r="B317">
            <v>3</v>
          </cell>
          <cell r="C317">
            <v>0</v>
          </cell>
          <cell r="D317">
            <v>0</v>
          </cell>
          <cell r="E317">
            <v>1</v>
          </cell>
        </row>
        <row r="318">
          <cell r="A318" t="str">
            <v>B01N0AY376</v>
          </cell>
          <cell r="B318">
            <v>4</v>
          </cell>
          <cell r="C318">
            <v>1</v>
          </cell>
          <cell r="D318">
            <v>1</v>
          </cell>
          <cell r="E318">
            <v>1</v>
          </cell>
        </row>
        <row r="319">
          <cell r="A319" t="str">
            <v>B01N0X4A6O</v>
          </cell>
          <cell r="B319">
            <v>4</v>
          </cell>
          <cell r="C319">
            <v>1</v>
          </cell>
          <cell r="D319">
            <v>1</v>
          </cell>
          <cell r="E319">
            <v>1</v>
          </cell>
        </row>
        <row r="320">
          <cell r="A320" t="str">
            <v>B01N3OVJCL</v>
          </cell>
          <cell r="B320">
            <v>2</v>
          </cell>
          <cell r="C320">
            <v>3</v>
          </cell>
          <cell r="D320">
            <v>3</v>
          </cell>
          <cell r="E320">
            <v>5</v>
          </cell>
        </row>
        <row r="321">
          <cell r="A321" t="str">
            <v>B01N4LAK3O</v>
          </cell>
          <cell r="B321">
            <v>3</v>
          </cell>
          <cell r="C321">
            <v>0</v>
          </cell>
          <cell r="D321">
            <v>0</v>
          </cell>
          <cell r="E321">
            <v>1</v>
          </cell>
        </row>
        <row r="322">
          <cell r="A322" t="str">
            <v>B01N4M5SU1</v>
          </cell>
          <cell r="B322">
            <v>3</v>
          </cell>
          <cell r="C322">
            <v>5</v>
          </cell>
          <cell r="D322">
            <v>5</v>
          </cell>
          <cell r="E322">
            <v>5</v>
          </cell>
        </row>
        <row r="323">
          <cell r="A323" t="str">
            <v>B01N58NBSP</v>
          </cell>
          <cell r="B323">
            <v>0</v>
          </cell>
          <cell r="C323">
            <v>2</v>
          </cell>
          <cell r="D323">
            <v>2</v>
          </cell>
          <cell r="E323">
            <v>1</v>
          </cell>
        </row>
        <row r="324">
          <cell r="A324" t="str">
            <v>B01N5OOTTL</v>
          </cell>
          <cell r="B324">
            <v>2</v>
          </cell>
          <cell r="C324">
            <v>0</v>
          </cell>
          <cell r="D324">
            <v>0</v>
          </cell>
          <cell r="E324">
            <v>3</v>
          </cell>
        </row>
        <row r="325">
          <cell r="A325" t="str">
            <v>B01N6LKJIY</v>
          </cell>
          <cell r="B325">
            <v>2</v>
          </cell>
          <cell r="C325">
            <v>2</v>
          </cell>
          <cell r="D325">
            <v>2</v>
          </cell>
          <cell r="E325">
            <v>1</v>
          </cell>
        </row>
        <row r="326">
          <cell r="A326" t="str">
            <v>B01N8P3P19</v>
          </cell>
          <cell r="B326">
            <v>2</v>
          </cell>
          <cell r="C326">
            <v>2</v>
          </cell>
          <cell r="D326">
            <v>2</v>
          </cell>
          <cell r="E326">
            <v>1</v>
          </cell>
        </row>
        <row r="327">
          <cell r="A327" t="str">
            <v>B01N8XD46Q</v>
          </cell>
          <cell r="B327">
            <v>0</v>
          </cell>
          <cell r="C327">
            <v>4</v>
          </cell>
          <cell r="D327">
            <v>4</v>
          </cell>
          <cell r="E327">
            <v>2</v>
          </cell>
        </row>
        <row r="328">
          <cell r="A328" t="str">
            <v>B01NH0VOD4</v>
          </cell>
          <cell r="B328">
            <v>2</v>
          </cell>
          <cell r="C328">
            <v>1</v>
          </cell>
          <cell r="D328">
            <v>1</v>
          </cell>
          <cell r="E328">
            <v>2</v>
          </cell>
        </row>
        <row r="329">
          <cell r="A329" t="str">
            <v>B06VVT45TS</v>
          </cell>
          <cell r="B329">
            <v>731</v>
          </cell>
          <cell r="C329">
            <v>676</v>
          </cell>
          <cell r="D329">
            <v>676</v>
          </cell>
          <cell r="E329">
            <v>689</v>
          </cell>
        </row>
        <row r="330">
          <cell r="A330" t="str">
            <v>B06VWQQZLK</v>
          </cell>
          <cell r="B330">
            <v>2</v>
          </cell>
          <cell r="C330">
            <v>1</v>
          </cell>
          <cell r="D330">
            <v>1</v>
          </cell>
          <cell r="E330">
            <v>1</v>
          </cell>
        </row>
        <row r="331">
          <cell r="A331" t="str">
            <v>B06W2MDDQL</v>
          </cell>
          <cell r="B331">
            <v>3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B06W2MGY1F</v>
          </cell>
          <cell r="B332">
            <v>2</v>
          </cell>
          <cell r="C332">
            <v>0</v>
          </cell>
          <cell r="D332">
            <v>0</v>
          </cell>
          <cell r="E332">
            <v>1</v>
          </cell>
        </row>
        <row r="333">
          <cell r="A333" t="str">
            <v>B06W2PGTD7</v>
          </cell>
          <cell r="B333">
            <v>3</v>
          </cell>
          <cell r="C333">
            <v>5</v>
          </cell>
          <cell r="D333">
            <v>5</v>
          </cell>
          <cell r="E333">
            <v>2</v>
          </cell>
        </row>
        <row r="334">
          <cell r="A334" t="str">
            <v>B06WPBGWT1</v>
          </cell>
          <cell r="B334">
            <v>1</v>
          </cell>
          <cell r="C334">
            <v>0</v>
          </cell>
          <cell r="D334">
            <v>0</v>
          </cell>
          <cell r="E334">
            <v>1</v>
          </cell>
        </row>
        <row r="335">
          <cell r="A335" t="str">
            <v>B06XFQKV5X</v>
          </cell>
          <cell r="B335">
            <v>3</v>
          </cell>
          <cell r="C335">
            <v>2</v>
          </cell>
          <cell r="D335">
            <v>2</v>
          </cell>
          <cell r="E335">
            <v>7</v>
          </cell>
        </row>
        <row r="336">
          <cell r="A336" t="str">
            <v>B06XFRG6PZ</v>
          </cell>
          <cell r="B336">
            <v>1</v>
          </cell>
          <cell r="C336">
            <v>6</v>
          </cell>
          <cell r="D336">
            <v>6</v>
          </cell>
          <cell r="E336">
            <v>4</v>
          </cell>
        </row>
        <row r="337">
          <cell r="A337" t="str">
            <v>B06XFS7QB2</v>
          </cell>
          <cell r="B337">
            <v>4</v>
          </cell>
          <cell r="C337">
            <v>0</v>
          </cell>
          <cell r="D337">
            <v>0</v>
          </cell>
          <cell r="E337">
            <v>1</v>
          </cell>
        </row>
        <row r="338">
          <cell r="A338" t="str">
            <v>B06XSHBCWZ</v>
          </cell>
          <cell r="B338">
            <v>1</v>
          </cell>
          <cell r="C338">
            <v>3</v>
          </cell>
          <cell r="D338">
            <v>3</v>
          </cell>
          <cell r="E338">
            <v>3</v>
          </cell>
        </row>
        <row r="339">
          <cell r="A339" t="str">
            <v>B06XSP3TCT</v>
          </cell>
          <cell r="B339">
            <v>3</v>
          </cell>
          <cell r="C339">
            <v>0</v>
          </cell>
          <cell r="D339">
            <v>0</v>
          </cell>
          <cell r="E339">
            <v>3</v>
          </cell>
        </row>
        <row r="340">
          <cell r="A340" t="str">
            <v>B06XSQCDV5</v>
          </cell>
          <cell r="B340">
            <v>4</v>
          </cell>
          <cell r="C340">
            <v>0</v>
          </cell>
          <cell r="D340">
            <v>0</v>
          </cell>
          <cell r="E340">
            <v>1</v>
          </cell>
        </row>
        <row r="341">
          <cell r="A341" t="str">
            <v>B06XSSJB6H</v>
          </cell>
          <cell r="B341">
            <v>3</v>
          </cell>
          <cell r="C341">
            <v>0</v>
          </cell>
          <cell r="D341">
            <v>0</v>
          </cell>
          <cell r="E341">
            <v>2</v>
          </cell>
        </row>
        <row r="342">
          <cell r="A342" t="str">
            <v>B06XSWRDZX</v>
          </cell>
          <cell r="B342">
            <v>3</v>
          </cell>
          <cell r="C342">
            <v>1</v>
          </cell>
          <cell r="D342">
            <v>1</v>
          </cell>
          <cell r="E342">
            <v>2</v>
          </cell>
        </row>
        <row r="343">
          <cell r="A343" t="str">
            <v>B06XSYXTSJ</v>
          </cell>
          <cell r="B343">
            <v>4</v>
          </cell>
          <cell r="C343">
            <v>0</v>
          </cell>
          <cell r="D343">
            <v>0</v>
          </cell>
          <cell r="E343">
            <v>1</v>
          </cell>
        </row>
        <row r="344">
          <cell r="A344" t="str">
            <v>B06XSZCYJ3</v>
          </cell>
          <cell r="B344">
            <v>3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B06XT1CWTK</v>
          </cell>
          <cell r="B345">
            <v>3</v>
          </cell>
          <cell r="C345">
            <v>0</v>
          </cell>
          <cell r="D345">
            <v>0</v>
          </cell>
          <cell r="E345">
            <v>3</v>
          </cell>
        </row>
        <row r="346">
          <cell r="A346" t="str">
            <v>B06XWRSNMH</v>
          </cell>
          <cell r="B346">
            <v>70</v>
          </cell>
          <cell r="C346">
            <v>82</v>
          </cell>
          <cell r="D346">
            <v>82</v>
          </cell>
          <cell r="E346">
            <v>62</v>
          </cell>
        </row>
        <row r="347">
          <cell r="A347" t="str">
            <v>B06XY9HVBV</v>
          </cell>
          <cell r="B347">
            <v>3</v>
          </cell>
          <cell r="C347">
            <v>2</v>
          </cell>
          <cell r="D347">
            <v>2</v>
          </cell>
          <cell r="E347">
            <v>2</v>
          </cell>
        </row>
        <row r="348">
          <cell r="A348" t="str">
            <v>B06XYHCQ5T</v>
          </cell>
          <cell r="B348">
            <v>13</v>
          </cell>
          <cell r="C348">
            <v>10</v>
          </cell>
          <cell r="D348">
            <v>10</v>
          </cell>
          <cell r="E348">
            <v>4</v>
          </cell>
        </row>
        <row r="349">
          <cell r="A349" t="str">
            <v>B06XYK2FNV</v>
          </cell>
          <cell r="B349">
            <v>3</v>
          </cell>
          <cell r="C349">
            <v>2</v>
          </cell>
          <cell r="D349">
            <v>2</v>
          </cell>
          <cell r="E349">
            <v>4</v>
          </cell>
        </row>
        <row r="350">
          <cell r="A350" t="str">
            <v>B06XYK5PPM</v>
          </cell>
          <cell r="B350">
            <v>4</v>
          </cell>
          <cell r="C350">
            <v>1</v>
          </cell>
          <cell r="D350">
            <v>1</v>
          </cell>
          <cell r="E350">
            <v>1</v>
          </cell>
        </row>
        <row r="351">
          <cell r="A351" t="str">
            <v>B06XYLBKBR</v>
          </cell>
          <cell r="B351">
            <v>2</v>
          </cell>
          <cell r="C351">
            <v>1</v>
          </cell>
          <cell r="D351">
            <v>1</v>
          </cell>
          <cell r="E351">
            <v>1</v>
          </cell>
        </row>
        <row r="352">
          <cell r="A352" t="str">
            <v>B06XYLNQ1F</v>
          </cell>
          <cell r="B352">
            <v>3</v>
          </cell>
          <cell r="C352">
            <v>0</v>
          </cell>
          <cell r="D352">
            <v>0</v>
          </cell>
          <cell r="E352">
            <v>1</v>
          </cell>
        </row>
        <row r="353">
          <cell r="A353" t="str">
            <v>B06XYMP9HX</v>
          </cell>
          <cell r="B353">
            <v>2</v>
          </cell>
          <cell r="C353">
            <v>2</v>
          </cell>
          <cell r="D353">
            <v>2</v>
          </cell>
          <cell r="E353">
            <v>1</v>
          </cell>
        </row>
        <row r="354">
          <cell r="A354" t="str">
            <v>B06ZXRRTX2</v>
          </cell>
          <cell r="B354">
            <v>3</v>
          </cell>
          <cell r="C354">
            <v>1</v>
          </cell>
          <cell r="D354">
            <v>1</v>
          </cell>
          <cell r="E354">
            <v>3</v>
          </cell>
        </row>
        <row r="355">
          <cell r="A355" t="str">
            <v>B06ZXXQDY3</v>
          </cell>
          <cell r="B355">
            <v>3</v>
          </cell>
          <cell r="C355">
            <v>1</v>
          </cell>
          <cell r="D355">
            <v>1</v>
          </cell>
          <cell r="E355">
            <v>1</v>
          </cell>
        </row>
        <row r="356">
          <cell r="A356" t="str">
            <v>B06ZYW3BC1</v>
          </cell>
          <cell r="B356">
            <v>23</v>
          </cell>
          <cell r="C356">
            <v>18</v>
          </cell>
          <cell r="D356">
            <v>18</v>
          </cell>
          <cell r="E356">
            <v>15</v>
          </cell>
        </row>
        <row r="357">
          <cell r="A357" t="str">
            <v>B06ZZBQM3B</v>
          </cell>
          <cell r="B357">
            <v>2</v>
          </cell>
          <cell r="C357">
            <v>1</v>
          </cell>
          <cell r="D357">
            <v>1</v>
          </cell>
          <cell r="E357">
            <v>3</v>
          </cell>
        </row>
        <row r="358">
          <cell r="A358" t="str">
            <v>B06ZZN8QHJ</v>
          </cell>
          <cell r="B358">
            <v>0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B07115MLY8</v>
          </cell>
          <cell r="B359">
            <v>0</v>
          </cell>
          <cell r="C359">
            <v>0</v>
          </cell>
          <cell r="D359">
            <v>0</v>
          </cell>
          <cell r="E359">
            <v>1</v>
          </cell>
        </row>
        <row r="360">
          <cell r="A360" t="str">
            <v>B0711BYGBJ</v>
          </cell>
          <cell r="B360">
            <v>2</v>
          </cell>
          <cell r="C360">
            <v>1</v>
          </cell>
          <cell r="D360">
            <v>1</v>
          </cell>
          <cell r="E360">
            <v>4</v>
          </cell>
        </row>
        <row r="361">
          <cell r="A361" t="str">
            <v>B0711RJCRZ</v>
          </cell>
          <cell r="B361">
            <v>3</v>
          </cell>
          <cell r="C361">
            <v>1</v>
          </cell>
          <cell r="D361">
            <v>1</v>
          </cell>
          <cell r="E361">
            <v>2</v>
          </cell>
        </row>
        <row r="362">
          <cell r="A362" t="str">
            <v>B0716JJZFV</v>
          </cell>
          <cell r="B362">
            <v>0</v>
          </cell>
          <cell r="C362">
            <v>2</v>
          </cell>
          <cell r="D362">
            <v>2</v>
          </cell>
          <cell r="E362">
            <v>3</v>
          </cell>
        </row>
        <row r="363">
          <cell r="A363" t="str">
            <v>B0717777H3</v>
          </cell>
          <cell r="B363">
            <v>9</v>
          </cell>
          <cell r="C363">
            <v>8</v>
          </cell>
          <cell r="D363">
            <v>8</v>
          </cell>
          <cell r="E363">
            <v>5</v>
          </cell>
        </row>
        <row r="364">
          <cell r="A364" t="str">
            <v>B07193YJ6Z</v>
          </cell>
          <cell r="B364">
            <v>0</v>
          </cell>
          <cell r="C364">
            <v>4</v>
          </cell>
          <cell r="D364">
            <v>4</v>
          </cell>
          <cell r="E364">
            <v>3</v>
          </cell>
        </row>
        <row r="365">
          <cell r="A365" t="str">
            <v>B071CDDRHX</v>
          </cell>
          <cell r="B365">
            <v>0</v>
          </cell>
          <cell r="C365">
            <v>8</v>
          </cell>
          <cell r="D365">
            <v>8</v>
          </cell>
          <cell r="E365">
            <v>11</v>
          </cell>
        </row>
        <row r="366">
          <cell r="A366" t="str">
            <v>B071CF5CXC</v>
          </cell>
          <cell r="B366">
            <v>6</v>
          </cell>
          <cell r="C366">
            <v>0</v>
          </cell>
          <cell r="D366">
            <v>0</v>
          </cell>
          <cell r="E366">
            <v>3</v>
          </cell>
        </row>
        <row r="367">
          <cell r="A367" t="str">
            <v>B071CVTX5C</v>
          </cell>
          <cell r="B367">
            <v>4</v>
          </cell>
          <cell r="C367">
            <v>0</v>
          </cell>
          <cell r="D367">
            <v>0</v>
          </cell>
          <cell r="E367">
            <v>3</v>
          </cell>
        </row>
        <row r="368">
          <cell r="A368" t="str">
            <v>B071D5BVVF</v>
          </cell>
          <cell r="B368">
            <v>4</v>
          </cell>
          <cell r="C368">
            <v>0</v>
          </cell>
          <cell r="D368">
            <v>0</v>
          </cell>
          <cell r="E368">
            <v>1</v>
          </cell>
        </row>
        <row r="369">
          <cell r="A369" t="str">
            <v>B071G5PW8X</v>
          </cell>
          <cell r="B369">
            <v>4</v>
          </cell>
          <cell r="C369">
            <v>2</v>
          </cell>
          <cell r="D369">
            <v>2</v>
          </cell>
          <cell r="E369">
            <v>7</v>
          </cell>
        </row>
        <row r="370">
          <cell r="A370" t="str">
            <v>B071JRJQWZ</v>
          </cell>
          <cell r="B370">
            <v>6</v>
          </cell>
          <cell r="C370">
            <v>2</v>
          </cell>
          <cell r="D370">
            <v>2</v>
          </cell>
          <cell r="E370">
            <v>3</v>
          </cell>
        </row>
        <row r="371">
          <cell r="A371" t="str">
            <v>B071JRNY83</v>
          </cell>
          <cell r="B371">
            <v>1</v>
          </cell>
          <cell r="C371">
            <v>11</v>
          </cell>
          <cell r="D371">
            <v>11</v>
          </cell>
          <cell r="E371">
            <v>5</v>
          </cell>
        </row>
        <row r="372">
          <cell r="A372" t="str">
            <v>B071JRP9Y6</v>
          </cell>
          <cell r="B372">
            <v>1</v>
          </cell>
          <cell r="C372">
            <v>1</v>
          </cell>
          <cell r="D372">
            <v>1</v>
          </cell>
          <cell r="E372">
            <v>4</v>
          </cell>
        </row>
        <row r="373">
          <cell r="A373" t="str">
            <v>B071KV1GG7</v>
          </cell>
          <cell r="B373">
            <v>3</v>
          </cell>
          <cell r="C373">
            <v>0</v>
          </cell>
          <cell r="D373">
            <v>0</v>
          </cell>
          <cell r="E373">
            <v>1</v>
          </cell>
        </row>
        <row r="374">
          <cell r="A374" t="str">
            <v>B071R2J8ZP</v>
          </cell>
          <cell r="B374">
            <v>6</v>
          </cell>
          <cell r="C374">
            <v>2</v>
          </cell>
          <cell r="D374">
            <v>2</v>
          </cell>
          <cell r="E374">
            <v>2</v>
          </cell>
        </row>
        <row r="375">
          <cell r="A375" t="str">
            <v>B071RSFFND</v>
          </cell>
          <cell r="B375">
            <v>8</v>
          </cell>
          <cell r="C375">
            <v>11</v>
          </cell>
          <cell r="D375">
            <v>11</v>
          </cell>
          <cell r="E375">
            <v>15</v>
          </cell>
        </row>
        <row r="376">
          <cell r="A376" t="str">
            <v>B071RSG7X8</v>
          </cell>
          <cell r="B376">
            <v>7</v>
          </cell>
          <cell r="C376">
            <v>6</v>
          </cell>
          <cell r="D376">
            <v>6</v>
          </cell>
          <cell r="E376">
            <v>17</v>
          </cell>
        </row>
        <row r="377">
          <cell r="A377" t="str">
            <v>B071S45R26</v>
          </cell>
          <cell r="B377">
            <v>14</v>
          </cell>
          <cell r="C377">
            <v>4</v>
          </cell>
          <cell r="D377">
            <v>4</v>
          </cell>
          <cell r="E377">
            <v>5</v>
          </cell>
        </row>
        <row r="378">
          <cell r="A378" t="str">
            <v>B071S6ZVDW</v>
          </cell>
          <cell r="B378">
            <v>3</v>
          </cell>
          <cell r="C378">
            <v>2</v>
          </cell>
          <cell r="D378">
            <v>2</v>
          </cell>
          <cell r="E378">
            <v>2</v>
          </cell>
        </row>
        <row r="379">
          <cell r="A379" t="str">
            <v>B071VD3X3X</v>
          </cell>
          <cell r="B379">
            <v>9</v>
          </cell>
          <cell r="C379">
            <v>8</v>
          </cell>
          <cell r="D379">
            <v>8</v>
          </cell>
          <cell r="E379">
            <v>8</v>
          </cell>
        </row>
        <row r="380">
          <cell r="A380" t="str">
            <v>B071WP4TYK</v>
          </cell>
          <cell r="B380">
            <v>4</v>
          </cell>
          <cell r="C380">
            <v>1</v>
          </cell>
          <cell r="D380">
            <v>1</v>
          </cell>
          <cell r="E380">
            <v>1</v>
          </cell>
        </row>
        <row r="381">
          <cell r="A381" t="str">
            <v>B071WPNKQC</v>
          </cell>
          <cell r="B381">
            <v>1</v>
          </cell>
          <cell r="C381">
            <v>9</v>
          </cell>
          <cell r="D381">
            <v>9</v>
          </cell>
          <cell r="E381">
            <v>10</v>
          </cell>
        </row>
        <row r="382">
          <cell r="A382" t="str">
            <v>B071WPRS8L</v>
          </cell>
          <cell r="B382">
            <v>0</v>
          </cell>
          <cell r="C382">
            <v>7</v>
          </cell>
          <cell r="D382">
            <v>7</v>
          </cell>
          <cell r="E382">
            <v>8</v>
          </cell>
        </row>
        <row r="383">
          <cell r="A383" t="str">
            <v>B071X91S9F</v>
          </cell>
          <cell r="B383">
            <v>41</v>
          </cell>
          <cell r="C383">
            <v>23</v>
          </cell>
          <cell r="D383">
            <v>23</v>
          </cell>
          <cell r="E383">
            <v>17</v>
          </cell>
        </row>
        <row r="384">
          <cell r="A384" t="str">
            <v>B071X91XB2</v>
          </cell>
          <cell r="B384">
            <v>2</v>
          </cell>
          <cell r="C384">
            <v>2</v>
          </cell>
          <cell r="D384">
            <v>2</v>
          </cell>
          <cell r="E384">
            <v>1</v>
          </cell>
        </row>
        <row r="385">
          <cell r="A385" t="str">
            <v>B071ZS3WSM</v>
          </cell>
          <cell r="B385">
            <v>3</v>
          </cell>
          <cell r="C385">
            <v>0</v>
          </cell>
          <cell r="D385">
            <v>0</v>
          </cell>
          <cell r="E385">
            <v>3</v>
          </cell>
        </row>
        <row r="386">
          <cell r="A386" t="str">
            <v>B07214KML1</v>
          </cell>
          <cell r="B386">
            <v>4</v>
          </cell>
          <cell r="C386">
            <v>5</v>
          </cell>
          <cell r="D386">
            <v>5</v>
          </cell>
          <cell r="E386">
            <v>4</v>
          </cell>
        </row>
        <row r="387">
          <cell r="A387" t="str">
            <v>B0722NGPT8</v>
          </cell>
          <cell r="B387">
            <v>3</v>
          </cell>
          <cell r="C387">
            <v>2</v>
          </cell>
          <cell r="D387">
            <v>2</v>
          </cell>
          <cell r="E387">
            <v>1</v>
          </cell>
        </row>
        <row r="388">
          <cell r="A388" t="str">
            <v>B07233M5T8</v>
          </cell>
          <cell r="B388">
            <v>9</v>
          </cell>
          <cell r="C388">
            <v>71</v>
          </cell>
          <cell r="D388">
            <v>71</v>
          </cell>
          <cell r="E388">
            <v>133</v>
          </cell>
        </row>
        <row r="389">
          <cell r="A389" t="str">
            <v>B072342844</v>
          </cell>
          <cell r="B389">
            <v>5</v>
          </cell>
          <cell r="C389">
            <v>0</v>
          </cell>
          <cell r="D389">
            <v>0</v>
          </cell>
          <cell r="E389">
            <v>1</v>
          </cell>
        </row>
        <row r="390">
          <cell r="A390" t="str">
            <v>B0727W8HKN</v>
          </cell>
          <cell r="B390">
            <v>9</v>
          </cell>
          <cell r="C390">
            <v>5</v>
          </cell>
          <cell r="D390">
            <v>5</v>
          </cell>
          <cell r="E390">
            <v>4</v>
          </cell>
        </row>
        <row r="391">
          <cell r="A391" t="str">
            <v>B07286PW93</v>
          </cell>
          <cell r="B391">
            <v>5</v>
          </cell>
          <cell r="C391">
            <v>2</v>
          </cell>
          <cell r="D391">
            <v>2</v>
          </cell>
          <cell r="E391">
            <v>2</v>
          </cell>
        </row>
        <row r="392">
          <cell r="A392" t="str">
            <v>B072F2P9BN</v>
          </cell>
          <cell r="B392">
            <v>3</v>
          </cell>
          <cell r="C392">
            <v>3</v>
          </cell>
          <cell r="D392">
            <v>3</v>
          </cell>
          <cell r="E392">
            <v>1</v>
          </cell>
        </row>
        <row r="393">
          <cell r="A393" t="str">
            <v>B072HN8VX9</v>
          </cell>
          <cell r="B393">
            <v>9</v>
          </cell>
          <cell r="C393">
            <v>5</v>
          </cell>
          <cell r="D393">
            <v>5</v>
          </cell>
          <cell r="E393">
            <v>2</v>
          </cell>
        </row>
        <row r="394">
          <cell r="A394" t="str">
            <v>B072HWD6ZB</v>
          </cell>
          <cell r="B394">
            <v>2</v>
          </cell>
          <cell r="C394">
            <v>5</v>
          </cell>
          <cell r="D394">
            <v>5</v>
          </cell>
          <cell r="E394">
            <v>6</v>
          </cell>
        </row>
        <row r="395">
          <cell r="A395" t="str">
            <v>B072JT82B4</v>
          </cell>
          <cell r="B395">
            <v>89</v>
          </cell>
          <cell r="C395">
            <v>105</v>
          </cell>
          <cell r="D395">
            <v>105</v>
          </cell>
          <cell r="E395">
            <v>108</v>
          </cell>
        </row>
        <row r="396">
          <cell r="A396" t="str">
            <v>B072JXZ2R9</v>
          </cell>
          <cell r="B396">
            <v>1</v>
          </cell>
          <cell r="C396">
            <v>4</v>
          </cell>
          <cell r="D396">
            <v>4</v>
          </cell>
          <cell r="E396">
            <v>1</v>
          </cell>
        </row>
        <row r="397">
          <cell r="A397" t="str">
            <v>B072L84WMS</v>
          </cell>
          <cell r="B397">
            <v>5</v>
          </cell>
          <cell r="C397">
            <v>4</v>
          </cell>
          <cell r="D397">
            <v>4</v>
          </cell>
          <cell r="E397">
            <v>3</v>
          </cell>
        </row>
        <row r="398">
          <cell r="A398" t="str">
            <v>B072MF4D46</v>
          </cell>
          <cell r="B398">
            <v>2</v>
          </cell>
          <cell r="C398">
            <v>22</v>
          </cell>
          <cell r="D398">
            <v>22</v>
          </cell>
          <cell r="E398">
            <v>15</v>
          </cell>
        </row>
        <row r="399">
          <cell r="A399" t="str">
            <v>B072R1HHMD</v>
          </cell>
          <cell r="B399">
            <v>0</v>
          </cell>
          <cell r="C399">
            <v>2</v>
          </cell>
          <cell r="D399">
            <v>2</v>
          </cell>
          <cell r="E399">
            <v>1</v>
          </cell>
        </row>
        <row r="400">
          <cell r="A400" t="str">
            <v>B072R3C18F</v>
          </cell>
          <cell r="B400">
            <v>1</v>
          </cell>
          <cell r="C400">
            <v>2</v>
          </cell>
          <cell r="D400">
            <v>2</v>
          </cell>
          <cell r="E400">
            <v>1</v>
          </cell>
        </row>
        <row r="401">
          <cell r="A401" t="str">
            <v>B072R5CGYB</v>
          </cell>
          <cell r="B401">
            <v>3</v>
          </cell>
          <cell r="C401">
            <v>10</v>
          </cell>
          <cell r="D401">
            <v>10</v>
          </cell>
          <cell r="E401">
            <v>4</v>
          </cell>
        </row>
        <row r="402">
          <cell r="A402" t="str">
            <v>B072WQ927L</v>
          </cell>
          <cell r="B402">
            <v>3</v>
          </cell>
          <cell r="C402">
            <v>0</v>
          </cell>
          <cell r="D402">
            <v>0</v>
          </cell>
          <cell r="E402">
            <v>1</v>
          </cell>
        </row>
        <row r="403">
          <cell r="A403" t="str">
            <v>B072ZXDD9Z</v>
          </cell>
          <cell r="B403">
            <v>3</v>
          </cell>
          <cell r="C403">
            <v>2</v>
          </cell>
          <cell r="D403">
            <v>2</v>
          </cell>
          <cell r="E403">
            <v>1</v>
          </cell>
        </row>
        <row r="404">
          <cell r="A404" t="str">
            <v>B07314MWWM</v>
          </cell>
          <cell r="B404">
            <v>1</v>
          </cell>
          <cell r="C404">
            <v>4</v>
          </cell>
          <cell r="D404">
            <v>4</v>
          </cell>
          <cell r="E404">
            <v>6</v>
          </cell>
        </row>
        <row r="405">
          <cell r="A405" t="str">
            <v>B073CWHCR4</v>
          </cell>
          <cell r="B405">
            <v>0</v>
          </cell>
          <cell r="C405">
            <v>2</v>
          </cell>
          <cell r="D405">
            <v>2</v>
          </cell>
          <cell r="E405">
            <v>1</v>
          </cell>
        </row>
        <row r="406">
          <cell r="A406" t="str">
            <v>B073CXKTN6</v>
          </cell>
          <cell r="B406">
            <v>1</v>
          </cell>
          <cell r="C406">
            <v>1</v>
          </cell>
          <cell r="D406">
            <v>1</v>
          </cell>
          <cell r="E406">
            <v>1</v>
          </cell>
        </row>
        <row r="407">
          <cell r="A407" t="str">
            <v>B073CXW7RR</v>
          </cell>
          <cell r="B407">
            <v>1</v>
          </cell>
          <cell r="C407">
            <v>2</v>
          </cell>
          <cell r="D407">
            <v>2</v>
          </cell>
          <cell r="E407">
            <v>1</v>
          </cell>
        </row>
        <row r="408">
          <cell r="A408" t="str">
            <v>B073CYK7WC</v>
          </cell>
          <cell r="B408">
            <v>4</v>
          </cell>
          <cell r="C408">
            <v>0</v>
          </cell>
          <cell r="D408">
            <v>0</v>
          </cell>
          <cell r="E408">
            <v>1</v>
          </cell>
        </row>
        <row r="409">
          <cell r="A409" t="str">
            <v>B073GRRY4V</v>
          </cell>
          <cell r="B409">
            <v>0</v>
          </cell>
          <cell r="C409">
            <v>6</v>
          </cell>
          <cell r="D409">
            <v>6</v>
          </cell>
          <cell r="E409">
            <v>2</v>
          </cell>
        </row>
        <row r="410">
          <cell r="A410" t="str">
            <v>B073S4R4CR</v>
          </cell>
          <cell r="B410">
            <v>0</v>
          </cell>
          <cell r="C410">
            <v>0</v>
          </cell>
          <cell r="D410">
            <v>0</v>
          </cell>
          <cell r="E410">
            <v>2</v>
          </cell>
        </row>
        <row r="411">
          <cell r="A411" t="str">
            <v>B073S4ZN9Q</v>
          </cell>
          <cell r="B411">
            <v>0</v>
          </cell>
          <cell r="C411">
            <v>4</v>
          </cell>
          <cell r="D411">
            <v>4</v>
          </cell>
          <cell r="E411">
            <v>8</v>
          </cell>
        </row>
        <row r="412">
          <cell r="A412" t="str">
            <v>B073S5CYWG</v>
          </cell>
          <cell r="B412">
            <v>18</v>
          </cell>
          <cell r="C412">
            <v>4</v>
          </cell>
          <cell r="D412">
            <v>4</v>
          </cell>
          <cell r="E412">
            <v>5</v>
          </cell>
        </row>
        <row r="413">
          <cell r="A413" t="str">
            <v>B073VFB5XC</v>
          </cell>
          <cell r="B413">
            <v>2</v>
          </cell>
          <cell r="C413">
            <v>2</v>
          </cell>
          <cell r="D413">
            <v>2</v>
          </cell>
          <cell r="E413">
            <v>1</v>
          </cell>
        </row>
        <row r="414">
          <cell r="A414" t="str">
            <v>B073XHGJDM</v>
          </cell>
          <cell r="B414">
            <v>33</v>
          </cell>
          <cell r="C414">
            <v>37</v>
          </cell>
          <cell r="D414">
            <v>37</v>
          </cell>
          <cell r="E414">
            <v>24</v>
          </cell>
        </row>
        <row r="415">
          <cell r="A415" t="str">
            <v>B073XHY2TN</v>
          </cell>
          <cell r="B415">
            <v>196</v>
          </cell>
          <cell r="C415">
            <v>234</v>
          </cell>
          <cell r="D415">
            <v>234</v>
          </cell>
          <cell r="E415">
            <v>151</v>
          </cell>
        </row>
        <row r="416">
          <cell r="A416" t="str">
            <v>B073XJM9N5</v>
          </cell>
          <cell r="B416">
            <v>22</v>
          </cell>
          <cell r="C416">
            <v>28</v>
          </cell>
          <cell r="D416">
            <v>28</v>
          </cell>
          <cell r="E416">
            <v>17</v>
          </cell>
        </row>
        <row r="417">
          <cell r="A417" t="str">
            <v>B0742BFRFZ</v>
          </cell>
          <cell r="B417">
            <v>0</v>
          </cell>
          <cell r="C417">
            <v>2</v>
          </cell>
          <cell r="D417">
            <v>2</v>
          </cell>
          <cell r="E417">
            <v>2</v>
          </cell>
        </row>
        <row r="418">
          <cell r="A418" t="str">
            <v>B0742BM7BK</v>
          </cell>
          <cell r="B418">
            <v>4</v>
          </cell>
          <cell r="C418">
            <v>10</v>
          </cell>
          <cell r="D418">
            <v>10</v>
          </cell>
          <cell r="E418">
            <v>4</v>
          </cell>
        </row>
        <row r="419">
          <cell r="A419" t="str">
            <v>B0742D7GXV</v>
          </cell>
          <cell r="B419">
            <v>3</v>
          </cell>
          <cell r="C419">
            <v>1</v>
          </cell>
          <cell r="D419">
            <v>1</v>
          </cell>
          <cell r="E419">
            <v>2</v>
          </cell>
        </row>
        <row r="420">
          <cell r="A420" t="str">
            <v>B0742J1LL6</v>
          </cell>
          <cell r="B420">
            <v>2</v>
          </cell>
          <cell r="C420">
            <v>3</v>
          </cell>
          <cell r="D420">
            <v>3</v>
          </cell>
          <cell r="E420">
            <v>3</v>
          </cell>
        </row>
        <row r="421">
          <cell r="A421" t="str">
            <v>B07433FQ65</v>
          </cell>
          <cell r="B421">
            <v>2</v>
          </cell>
          <cell r="C421">
            <v>3</v>
          </cell>
          <cell r="D421">
            <v>3</v>
          </cell>
          <cell r="E421">
            <v>2</v>
          </cell>
        </row>
        <row r="422">
          <cell r="A422" t="str">
            <v>B0743CBQYG</v>
          </cell>
          <cell r="B422">
            <v>3</v>
          </cell>
          <cell r="C422">
            <v>0</v>
          </cell>
          <cell r="D422">
            <v>0</v>
          </cell>
          <cell r="E422">
            <v>1</v>
          </cell>
        </row>
        <row r="423">
          <cell r="A423" t="str">
            <v>B0743D5KZ6</v>
          </cell>
          <cell r="B423">
            <v>1</v>
          </cell>
          <cell r="C423">
            <v>1</v>
          </cell>
          <cell r="D423">
            <v>1</v>
          </cell>
          <cell r="E423">
            <v>3</v>
          </cell>
        </row>
        <row r="424">
          <cell r="A424" t="str">
            <v>B0747G9VSM</v>
          </cell>
          <cell r="B424">
            <v>0</v>
          </cell>
          <cell r="C424">
            <v>0</v>
          </cell>
          <cell r="D424">
            <v>0</v>
          </cell>
          <cell r="E424">
            <v>2</v>
          </cell>
        </row>
        <row r="425">
          <cell r="A425" t="str">
            <v>B0747NXVHC</v>
          </cell>
          <cell r="B425">
            <v>0</v>
          </cell>
          <cell r="C425">
            <v>0</v>
          </cell>
          <cell r="D425">
            <v>0</v>
          </cell>
          <cell r="E425">
            <v>1</v>
          </cell>
        </row>
        <row r="426">
          <cell r="A426" t="str">
            <v>B0748FGBZZ</v>
          </cell>
          <cell r="B426">
            <v>1</v>
          </cell>
          <cell r="C426">
            <v>0</v>
          </cell>
          <cell r="D426">
            <v>0</v>
          </cell>
          <cell r="E426">
            <v>2</v>
          </cell>
        </row>
        <row r="427">
          <cell r="A427" t="str">
            <v>B0748FQTDN</v>
          </cell>
          <cell r="B427">
            <v>1</v>
          </cell>
          <cell r="C427">
            <v>1</v>
          </cell>
          <cell r="D427">
            <v>1</v>
          </cell>
          <cell r="E427">
            <v>2</v>
          </cell>
        </row>
        <row r="428">
          <cell r="A428" t="str">
            <v>B0748G9CH7</v>
          </cell>
          <cell r="B428">
            <v>4</v>
          </cell>
          <cell r="C428">
            <v>2</v>
          </cell>
          <cell r="D428">
            <v>2</v>
          </cell>
          <cell r="E428">
            <v>3</v>
          </cell>
        </row>
        <row r="429">
          <cell r="A429" t="str">
            <v>B07496B6ZV</v>
          </cell>
          <cell r="B429">
            <v>1</v>
          </cell>
          <cell r="C429">
            <v>0</v>
          </cell>
          <cell r="D429">
            <v>0</v>
          </cell>
          <cell r="E429">
            <v>2</v>
          </cell>
        </row>
        <row r="430">
          <cell r="A430" t="str">
            <v>B0749B82Z4</v>
          </cell>
          <cell r="B430">
            <v>0</v>
          </cell>
          <cell r="C430">
            <v>0</v>
          </cell>
          <cell r="D430">
            <v>0</v>
          </cell>
          <cell r="E430">
            <v>1</v>
          </cell>
        </row>
        <row r="431">
          <cell r="A431" t="str">
            <v>B0749JQKHD</v>
          </cell>
          <cell r="B431">
            <v>2</v>
          </cell>
          <cell r="C431">
            <v>0</v>
          </cell>
          <cell r="D431">
            <v>0</v>
          </cell>
          <cell r="E431">
            <v>2</v>
          </cell>
        </row>
        <row r="432">
          <cell r="A432" t="str">
            <v>B074MYVH7V</v>
          </cell>
          <cell r="B432">
            <v>0</v>
          </cell>
          <cell r="C432">
            <v>1</v>
          </cell>
          <cell r="D432">
            <v>1</v>
          </cell>
          <cell r="E432">
            <v>9</v>
          </cell>
        </row>
        <row r="433">
          <cell r="A433" t="str">
            <v>B074N28J1W</v>
          </cell>
          <cell r="B433">
            <v>0</v>
          </cell>
          <cell r="C433">
            <v>32</v>
          </cell>
          <cell r="D433">
            <v>32</v>
          </cell>
          <cell r="E433">
            <v>6</v>
          </cell>
        </row>
        <row r="434">
          <cell r="A434" t="str">
            <v>B074PR63YW</v>
          </cell>
          <cell r="B434">
            <v>2</v>
          </cell>
          <cell r="C434">
            <v>0</v>
          </cell>
          <cell r="D434">
            <v>0</v>
          </cell>
          <cell r="E434">
            <v>1</v>
          </cell>
        </row>
        <row r="435">
          <cell r="A435" t="str">
            <v>B074PRDCG7</v>
          </cell>
          <cell r="B435">
            <v>3</v>
          </cell>
          <cell r="C435">
            <v>0</v>
          </cell>
          <cell r="D435">
            <v>0</v>
          </cell>
          <cell r="E435">
            <v>1</v>
          </cell>
        </row>
        <row r="436">
          <cell r="A436" t="str">
            <v>B074PRQCYP</v>
          </cell>
          <cell r="B436">
            <v>4</v>
          </cell>
          <cell r="C436">
            <v>1</v>
          </cell>
          <cell r="D436">
            <v>1</v>
          </cell>
          <cell r="E436">
            <v>1</v>
          </cell>
        </row>
        <row r="437">
          <cell r="A437" t="str">
            <v>B074PRZ2YJ</v>
          </cell>
          <cell r="B437">
            <v>2</v>
          </cell>
          <cell r="C437">
            <v>1</v>
          </cell>
          <cell r="D437">
            <v>1</v>
          </cell>
          <cell r="E437">
            <v>1</v>
          </cell>
        </row>
        <row r="438">
          <cell r="A438" t="str">
            <v>B074PS9L37</v>
          </cell>
          <cell r="B438">
            <v>2</v>
          </cell>
          <cell r="C438">
            <v>0</v>
          </cell>
          <cell r="D438">
            <v>0</v>
          </cell>
          <cell r="E438">
            <v>1</v>
          </cell>
        </row>
        <row r="439">
          <cell r="A439" t="str">
            <v>B074QGMP5Z</v>
          </cell>
          <cell r="B439">
            <v>5</v>
          </cell>
          <cell r="C439">
            <v>0</v>
          </cell>
          <cell r="D439">
            <v>0</v>
          </cell>
          <cell r="E439">
            <v>1</v>
          </cell>
        </row>
        <row r="440">
          <cell r="A440" t="str">
            <v>B0753BXSXM</v>
          </cell>
          <cell r="B440">
            <v>4</v>
          </cell>
          <cell r="C440">
            <v>0</v>
          </cell>
          <cell r="D440">
            <v>0</v>
          </cell>
          <cell r="E440">
            <v>2</v>
          </cell>
        </row>
        <row r="441">
          <cell r="A441" t="str">
            <v>B0753FD8N6</v>
          </cell>
          <cell r="B441">
            <v>3</v>
          </cell>
          <cell r="C441">
            <v>2</v>
          </cell>
          <cell r="D441">
            <v>2</v>
          </cell>
          <cell r="E441">
            <v>2</v>
          </cell>
        </row>
        <row r="442">
          <cell r="A442" t="str">
            <v>B07547DDHD</v>
          </cell>
          <cell r="B442">
            <v>2</v>
          </cell>
          <cell r="C442">
            <v>1</v>
          </cell>
          <cell r="D442">
            <v>1</v>
          </cell>
          <cell r="E442">
            <v>1</v>
          </cell>
        </row>
        <row r="443">
          <cell r="A443" t="str">
            <v>B07547DJVV</v>
          </cell>
          <cell r="B443">
            <v>2</v>
          </cell>
          <cell r="C443">
            <v>0</v>
          </cell>
          <cell r="D443">
            <v>0</v>
          </cell>
          <cell r="E443">
            <v>1</v>
          </cell>
        </row>
        <row r="444">
          <cell r="A444" t="str">
            <v>B07547G9T1</v>
          </cell>
          <cell r="B444">
            <v>2</v>
          </cell>
          <cell r="C444">
            <v>1</v>
          </cell>
          <cell r="D444">
            <v>1</v>
          </cell>
          <cell r="E444">
            <v>1</v>
          </cell>
        </row>
        <row r="445">
          <cell r="A445" t="str">
            <v>B07547GGF1</v>
          </cell>
          <cell r="B445">
            <v>2</v>
          </cell>
          <cell r="C445">
            <v>0</v>
          </cell>
          <cell r="D445">
            <v>0</v>
          </cell>
          <cell r="E445">
            <v>1</v>
          </cell>
        </row>
        <row r="446">
          <cell r="A446" t="str">
            <v>B075487SJS</v>
          </cell>
          <cell r="B446">
            <v>2</v>
          </cell>
          <cell r="C446">
            <v>1</v>
          </cell>
          <cell r="D446">
            <v>1</v>
          </cell>
          <cell r="E446">
            <v>3</v>
          </cell>
        </row>
        <row r="447">
          <cell r="A447" t="str">
            <v>B07548R8JT</v>
          </cell>
          <cell r="B447">
            <v>2</v>
          </cell>
          <cell r="C447">
            <v>0</v>
          </cell>
          <cell r="D447">
            <v>0</v>
          </cell>
          <cell r="E447">
            <v>1</v>
          </cell>
        </row>
        <row r="448">
          <cell r="A448" t="str">
            <v>B075893214</v>
          </cell>
          <cell r="B448">
            <v>4</v>
          </cell>
          <cell r="C448">
            <v>1</v>
          </cell>
          <cell r="D448">
            <v>1</v>
          </cell>
          <cell r="E448">
            <v>2</v>
          </cell>
        </row>
        <row r="449">
          <cell r="A449" t="str">
            <v>B075895X9S</v>
          </cell>
          <cell r="B449">
            <v>7</v>
          </cell>
          <cell r="C449">
            <v>3</v>
          </cell>
          <cell r="D449">
            <v>3</v>
          </cell>
          <cell r="E449">
            <v>2</v>
          </cell>
        </row>
        <row r="450">
          <cell r="A450" t="str">
            <v>B0758CM83M</v>
          </cell>
          <cell r="B450">
            <v>2</v>
          </cell>
          <cell r="C450">
            <v>5</v>
          </cell>
          <cell r="D450">
            <v>5</v>
          </cell>
          <cell r="E450">
            <v>3</v>
          </cell>
        </row>
        <row r="451">
          <cell r="A451" t="str">
            <v>B0758DGB3V</v>
          </cell>
          <cell r="B451">
            <v>6</v>
          </cell>
          <cell r="C451">
            <v>13</v>
          </cell>
          <cell r="D451">
            <v>13</v>
          </cell>
          <cell r="E451">
            <v>10</v>
          </cell>
        </row>
        <row r="452">
          <cell r="A452" t="str">
            <v>B0759HSQBZ</v>
          </cell>
          <cell r="B452">
            <v>1</v>
          </cell>
          <cell r="C452">
            <v>0</v>
          </cell>
          <cell r="D452">
            <v>0</v>
          </cell>
          <cell r="E452">
            <v>2</v>
          </cell>
        </row>
        <row r="453">
          <cell r="A453" t="str">
            <v>B0759N5P24</v>
          </cell>
          <cell r="B453">
            <v>1</v>
          </cell>
          <cell r="C453">
            <v>0</v>
          </cell>
          <cell r="D453">
            <v>0</v>
          </cell>
          <cell r="E453">
            <v>1</v>
          </cell>
        </row>
        <row r="454">
          <cell r="A454" t="str">
            <v>B0759PF566</v>
          </cell>
          <cell r="B454">
            <v>2</v>
          </cell>
          <cell r="C454">
            <v>3</v>
          </cell>
          <cell r="D454">
            <v>3</v>
          </cell>
          <cell r="E454">
            <v>5</v>
          </cell>
        </row>
        <row r="455">
          <cell r="A455" t="str">
            <v>B0759PF567</v>
          </cell>
          <cell r="B455">
            <v>2</v>
          </cell>
          <cell r="C455">
            <v>1</v>
          </cell>
          <cell r="D455">
            <v>1</v>
          </cell>
          <cell r="E455">
            <v>1</v>
          </cell>
        </row>
        <row r="456">
          <cell r="A456" t="str">
            <v>B0759SMCZL</v>
          </cell>
          <cell r="B456">
            <v>1</v>
          </cell>
          <cell r="C456">
            <v>0</v>
          </cell>
          <cell r="D456">
            <v>0</v>
          </cell>
          <cell r="E456">
            <v>2</v>
          </cell>
        </row>
        <row r="457">
          <cell r="A457" t="str">
            <v>B075DQ1SJZ</v>
          </cell>
          <cell r="B457">
            <v>1</v>
          </cell>
          <cell r="C457">
            <v>1</v>
          </cell>
          <cell r="D457">
            <v>1</v>
          </cell>
          <cell r="E457">
            <v>1</v>
          </cell>
        </row>
        <row r="458">
          <cell r="A458" t="str">
            <v>B075DSPS1B</v>
          </cell>
          <cell r="B458">
            <v>4</v>
          </cell>
          <cell r="C458">
            <v>5</v>
          </cell>
          <cell r="D458">
            <v>5</v>
          </cell>
          <cell r="E458">
            <v>3</v>
          </cell>
        </row>
        <row r="459">
          <cell r="A459" t="str">
            <v>B075DY2GNT</v>
          </cell>
          <cell r="B459">
            <v>1</v>
          </cell>
          <cell r="C459">
            <v>2</v>
          </cell>
          <cell r="D459">
            <v>2</v>
          </cell>
          <cell r="E459">
            <v>1</v>
          </cell>
        </row>
        <row r="460">
          <cell r="A460" t="str">
            <v>B075DYGP3N</v>
          </cell>
          <cell r="B460">
            <v>3</v>
          </cell>
          <cell r="C460">
            <v>2</v>
          </cell>
          <cell r="D460">
            <v>2</v>
          </cell>
          <cell r="E460">
            <v>2</v>
          </cell>
        </row>
        <row r="461">
          <cell r="A461" t="str">
            <v>B075DYJSB8</v>
          </cell>
          <cell r="B461">
            <v>2</v>
          </cell>
          <cell r="C461">
            <v>2</v>
          </cell>
          <cell r="D461">
            <v>2</v>
          </cell>
          <cell r="E461">
            <v>1</v>
          </cell>
        </row>
        <row r="462">
          <cell r="A462" t="str">
            <v>B075F1391S</v>
          </cell>
          <cell r="B462">
            <v>2</v>
          </cell>
          <cell r="C462">
            <v>1</v>
          </cell>
          <cell r="D462">
            <v>1</v>
          </cell>
          <cell r="E462">
            <v>1</v>
          </cell>
        </row>
        <row r="463">
          <cell r="A463" t="str">
            <v>B075F1G31B</v>
          </cell>
          <cell r="B463">
            <v>0</v>
          </cell>
          <cell r="C463">
            <v>1</v>
          </cell>
          <cell r="D463">
            <v>1</v>
          </cell>
          <cell r="E463">
            <v>1</v>
          </cell>
        </row>
        <row r="464">
          <cell r="A464" t="str">
            <v>B075F2BYYZ</v>
          </cell>
          <cell r="B464">
            <v>0</v>
          </cell>
          <cell r="C464">
            <v>0</v>
          </cell>
          <cell r="D464">
            <v>0</v>
          </cell>
          <cell r="E464">
            <v>1</v>
          </cell>
        </row>
        <row r="465">
          <cell r="A465" t="str">
            <v>B075F3X74H</v>
          </cell>
          <cell r="B465">
            <v>0</v>
          </cell>
          <cell r="C465">
            <v>3</v>
          </cell>
          <cell r="D465">
            <v>3</v>
          </cell>
          <cell r="E465">
            <v>2</v>
          </cell>
        </row>
        <row r="466">
          <cell r="A466" t="str">
            <v>B075FPB5TN</v>
          </cell>
          <cell r="B466">
            <v>1</v>
          </cell>
          <cell r="C466">
            <v>0</v>
          </cell>
          <cell r="D466">
            <v>0</v>
          </cell>
          <cell r="E466">
            <v>1</v>
          </cell>
        </row>
        <row r="467">
          <cell r="A467" t="str">
            <v>B075FPKCBK</v>
          </cell>
          <cell r="B467">
            <v>2</v>
          </cell>
          <cell r="C467">
            <v>0</v>
          </cell>
          <cell r="D467">
            <v>0</v>
          </cell>
          <cell r="E467">
            <v>4</v>
          </cell>
        </row>
        <row r="468">
          <cell r="A468" t="str">
            <v>B075FRN818</v>
          </cell>
          <cell r="B468">
            <v>1</v>
          </cell>
          <cell r="C468">
            <v>0</v>
          </cell>
          <cell r="D468">
            <v>0</v>
          </cell>
          <cell r="E468">
            <v>1</v>
          </cell>
        </row>
        <row r="469">
          <cell r="A469" t="str">
            <v>B075FRVWPL</v>
          </cell>
          <cell r="B469">
            <v>3</v>
          </cell>
          <cell r="C469">
            <v>1</v>
          </cell>
          <cell r="D469">
            <v>1</v>
          </cell>
          <cell r="E469">
            <v>2</v>
          </cell>
        </row>
        <row r="470">
          <cell r="A470" t="str">
            <v>B075FRZ96H</v>
          </cell>
          <cell r="B470">
            <v>3</v>
          </cell>
          <cell r="C470">
            <v>0</v>
          </cell>
          <cell r="D470">
            <v>0</v>
          </cell>
          <cell r="E470">
            <v>2</v>
          </cell>
        </row>
        <row r="471">
          <cell r="A471" t="str">
            <v>B075FSBGCN</v>
          </cell>
          <cell r="B471">
            <v>0</v>
          </cell>
          <cell r="C471">
            <v>1</v>
          </cell>
          <cell r="D471">
            <v>1</v>
          </cell>
          <cell r="E471">
            <v>2</v>
          </cell>
        </row>
        <row r="472">
          <cell r="A472" t="str">
            <v>B075FSK3ZF</v>
          </cell>
          <cell r="B472">
            <v>0</v>
          </cell>
          <cell r="C472">
            <v>0</v>
          </cell>
          <cell r="D472">
            <v>0</v>
          </cell>
          <cell r="E472">
            <v>1</v>
          </cell>
        </row>
        <row r="473">
          <cell r="A473" t="str">
            <v>B075MB62X5</v>
          </cell>
          <cell r="B473">
            <v>0</v>
          </cell>
          <cell r="C473">
            <v>1</v>
          </cell>
          <cell r="D473">
            <v>1</v>
          </cell>
          <cell r="E473">
            <v>2</v>
          </cell>
        </row>
        <row r="474">
          <cell r="A474" t="str">
            <v>B075MBJY9Z</v>
          </cell>
          <cell r="B474">
            <v>2</v>
          </cell>
          <cell r="C474">
            <v>0</v>
          </cell>
          <cell r="D474">
            <v>0</v>
          </cell>
          <cell r="E474">
            <v>2</v>
          </cell>
        </row>
        <row r="475">
          <cell r="A475" t="str">
            <v>B075MBPZ2S</v>
          </cell>
          <cell r="B475">
            <v>13</v>
          </cell>
          <cell r="C475">
            <v>19</v>
          </cell>
          <cell r="D475">
            <v>19</v>
          </cell>
          <cell r="E475">
            <v>7</v>
          </cell>
        </row>
        <row r="476">
          <cell r="A476" t="str">
            <v>B075QF33TV</v>
          </cell>
          <cell r="B476">
            <v>3</v>
          </cell>
          <cell r="C476">
            <v>0</v>
          </cell>
          <cell r="D476">
            <v>0</v>
          </cell>
          <cell r="E476">
            <v>1</v>
          </cell>
        </row>
        <row r="477">
          <cell r="A477" t="str">
            <v>B075QF627M</v>
          </cell>
          <cell r="B477">
            <v>1</v>
          </cell>
          <cell r="C477">
            <v>2</v>
          </cell>
          <cell r="D477">
            <v>2</v>
          </cell>
          <cell r="E477">
            <v>1</v>
          </cell>
        </row>
        <row r="478">
          <cell r="A478" t="str">
            <v>B075QF68SY</v>
          </cell>
          <cell r="B478">
            <v>2</v>
          </cell>
          <cell r="C478">
            <v>1</v>
          </cell>
          <cell r="D478">
            <v>1</v>
          </cell>
          <cell r="E478">
            <v>3</v>
          </cell>
        </row>
        <row r="479">
          <cell r="A479" t="str">
            <v>B075QFJ2MX</v>
          </cell>
          <cell r="B479">
            <v>1</v>
          </cell>
          <cell r="C479">
            <v>2</v>
          </cell>
          <cell r="D479">
            <v>2</v>
          </cell>
          <cell r="E479">
            <v>1</v>
          </cell>
        </row>
        <row r="480">
          <cell r="A480" t="str">
            <v>B075S4N213</v>
          </cell>
          <cell r="B480">
            <v>1</v>
          </cell>
          <cell r="C480">
            <v>1</v>
          </cell>
          <cell r="D480">
            <v>1</v>
          </cell>
          <cell r="E480">
            <v>1</v>
          </cell>
        </row>
        <row r="481">
          <cell r="A481" t="str">
            <v>B075SFXNMF</v>
          </cell>
          <cell r="B481">
            <v>2</v>
          </cell>
          <cell r="C481">
            <v>0</v>
          </cell>
          <cell r="D481">
            <v>0</v>
          </cell>
          <cell r="E481">
            <v>1</v>
          </cell>
        </row>
        <row r="482">
          <cell r="A482" t="str">
            <v>B075ZPXY11</v>
          </cell>
          <cell r="B482">
            <v>3</v>
          </cell>
          <cell r="C482">
            <v>2</v>
          </cell>
          <cell r="D482">
            <v>2</v>
          </cell>
          <cell r="E482">
            <v>1</v>
          </cell>
        </row>
        <row r="483">
          <cell r="A483" t="str">
            <v>B075ZQ96Y9</v>
          </cell>
          <cell r="B483">
            <v>3</v>
          </cell>
          <cell r="C483">
            <v>0</v>
          </cell>
          <cell r="D483">
            <v>0</v>
          </cell>
          <cell r="E483">
            <v>2</v>
          </cell>
        </row>
        <row r="484">
          <cell r="A484" t="str">
            <v>B075ZQBS8N</v>
          </cell>
          <cell r="B484">
            <v>3</v>
          </cell>
          <cell r="C484">
            <v>1</v>
          </cell>
          <cell r="D484">
            <v>1</v>
          </cell>
          <cell r="E484">
            <v>1</v>
          </cell>
        </row>
        <row r="485">
          <cell r="A485" t="str">
            <v>B075ZQJC1R</v>
          </cell>
          <cell r="B485">
            <v>1</v>
          </cell>
          <cell r="C485">
            <v>2</v>
          </cell>
          <cell r="D485">
            <v>2</v>
          </cell>
          <cell r="E485">
            <v>1</v>
          </cell>
        </row>
        <row r="486">
          <cell r="A486" t="str">
            <v>B075ZQJDVC</v>
          </cell>
          <cell r="B486">
            <v>2</v>
          </cell>
          <cell r="C486">
            <v>1</v>
          </cell>
          <cell r="D486">
            <v>1</v>
          </cell>
          <cell r="E486">
            <v>1</v>
          </cell>
        </row>
        <row r="487">
          <cell r="A487" t="str">
            <v>B075ZQRB44</v>
          </cell>
          <cell r="B487">
            <v>2</v>
          </cell>
          <cell r="C487">
            <v>0</v>
          </cell>
          <cell r="D487">
            <v>0</v>
          </cell>
          <cell r="E487">
            <v>2</v>
          </cell>
        </row>
        <row r="488">
          <cell r="A488" t="str">
            <v>B075ZQSQ1X</v>
          </cell>
          <cell r="B488">
            <v>1</v>
          </cell>
          <cell r="C488">
            <v>1</v>
          </cell>
          <cell r="D488">
            <v>1</v>
          </cell>
          <cell r="E488">
            <v>2</v>
          </cell>
        </row>
        <row r="489">
          <cell r="A489" t="str">
            <v>B075ZR29P4</v>
          </cell>
          <cell r="B489">
            <v>1</v>
          </cell>
          <cell r="C489">
            <v>1</v>
          </cell>
          <cell r="D489">
            <v>1</v>
          </cell>
          <cell r="E489">
            <v>1</v>
          </cell>
        </row>
        <row r="490">
          <cell r="A490" t="str">
            <v>B075ZR659T</v>
          </cell>
          <cell r="B490">
            <v>2</v>
          </cell>
          <cell r="C490">
            <v>2</v>
          </cell>
          <cell r="D490">
            <v>2</v>
          </cell>
          <cell r="E490">
            <v>1</v>
          </cell>
        </row>
        <row r="491">
          <cell r="A491" t="str">
            <v>B075ZRBHC3</v>
          </cell>
          <cell r="B491">
            <v>1</v>
          </cell>
          <cell r="C491">
            <v>0</v>
          </cell>
          <cell r="D491">
            <v>0</v>
          </cell>
          <cell r="E491">
            <v>1</v>
          </cell>
        </row>
        <row r="492">
          <cell r="A492" t="str">
            <v>B075ZRHZK5</v>
          </cell>
          <cell r="B492">
            <v>1</v>
          </cell>
          <cell r="C492">
            <v>0</v>
          </cell>
          <cell r="D492">
            <v>0</v>
          </cell>
          <cell r="E492">
            <v>2</v>
          </cell>
        </row>
        <row r="493">
          <cell r="A493" t="str">
            <v>B075ZRMSHF</v>
          </cell>
          <cell r="B493">
            <v>1</v>
          </cell>
          <cell r="C493">
            <v>0</v>
          </cell>
          <cell r="D493">
            <v>0</v>
          </cell>
          <cell r="E493">
            <v>2</v>
          </cell>
        </row>
        <row r="494">
          <cell r="A494" t="str">
            <v>B075ZRSKHP</v>
          </cell>
          <cell r="B494">
            <v>1</v>
          </cell>
          <cell r="C494">
            <v>0</v>
          </cell>
          <cell r="D494">
            <v>0</v>
          </cell>
          <cell r="E494">
            <v>1</v>
          </cell>
        </row>
        <row r="495">
          <cell r="A495" t="str">
            <v>B07776GL3W</v>
          </cell>
          <cell r="B495">
            <v>9</v>
          </cell>
          <cell r="C495">
            <v>4</v>
          </cell>
          <cell r="D495">
            <v>4</v>
          </cell>
          <cell r="E495">
            <v>5</v>
          </cell>
        </row>
        <row r="496">
          <cell r="A496" t="str">
            <v>B0777BRRF9</v>
          </cell>
          <cell r="B496">
            <v>2</v>
          </cell>
          <cell r="C496">
            <v>1</v>
          </cell>
          <cell r="D496">
            <v>1</v>
          </cell>
          <cell r="E496">
            <v>1</v>
          </cell>
        </row>
        <row r="497">
          <cell r="A497" t="str">
            <v>B0777C1FYN</v>
          </cell>
          <cell r="B497">
            <v>2</v>
          </cell>
          <cell r="C497">
            <v>1</v>
          </cell>
          <cell r="D497">
            <v>1</v>
          </cell>
          <cell r="E497">
            <v>1</v>
          </cell>
        </row>
        <row r="498">
          <cell r="A498" t="str">
            <v>B0777F1BV6</v>
          </cell>
          <cell r="B498">
            <v>2</v>
          </cell>
          <cell r="C498">
            <v>0</v>
          </cell>
          <cell r="D498">
            <v>0</v>
          </cell>
          <cell r="E498">
            <v>1</v>
          </cell>
        </row>
        <row r="499">
          <cell r="A499" t="str">
            <v>B0777F9T9H</v>
          </cell>
          <cell r="B499">
            <v>2</v>
          </cell>
          <cell r="C499">
            <v>0</v>
          </cell>
          <cell r="D499">
            <v>0</v>
          </cell>
          <cell r="E499">
            <v>1</v>
          </cell>
        </row>
        <row r="500">
          <cell r="A500" t="str">
            <v>B0777FFKBW</v>
          </cell>
          <cell r="B500">
            <v>2</v>
          </cell>
          <cell r="C500">
            <v>0</v>
          </cell>
          <cell r="D500">
            <v>0</v>
          </cell>
          <cell r="E500">
            <v>1</v>
          </cell>
        </row>
        <row r="501">
          <cell r="A501" t="str">
            <v>B0777H7826</v>
          </cell>
          <cell r="B501">
            <v>2</v>
          </cell>
          <cell r="C501">
            <v>1</v>
          </cell>
          <cell r="D501">
            <v>1</v>
          </cell>
          <cell r="E501">
            <v>1</v>
          </cell>
        </row>
        <row r="502">
          <cell r="A502" t="str">
            <v>B0777H7DHH</v>
          </cell>
          <cell r="B502">
            <v>0</v>
          </cell>
          <cell r="C502">
            <v>0</v>
          </cell>
          <cell r="D502">
            <v>0</v>
          </cell>
          <cell r="E502">
            <v>2</v>
          </cell>
        </row>
        <row r="503">
          <cell r="A503" t="str">
            <v>B0777JP85J</v>
          </cell>
          <cell r="B503">
            <v>1</v>
          </cell>
          <cell r="C503">
            <v>2</v>
          </cell>
          <cell r="D503">
            <v>2</v>
          </cell>
          <cell r="E503">
            <v>1</v>
          </cell>
        </row>
        <row r="504">
          <cell r="A504" t="str">
            <v>B0777JTZQW</v>
          </cell>
          <cell r="B504">
            <v>2</v>
          </cell>
          <cell r="C504">
            <v>2</v>
          </cell>
          <cell r="D504">
            <v>2</v>
          </cell>
          <cell r="E504">
            <v>1</v>
          </cell>
        </row>
        <row r="505">
          <cell r="A505" t="str">
            <v>B0777KHKFN</v>
          </cell>
          <cell r="B505">
            <v>2</v>
          </cell>
          <cell r="C505">
            <v>0</v>
          </cell>
          <cell r="D505">
            <v>0</v>
          </cell>
          <cell r="E505">
            <v>1</v>
          </cell>
        </row>
        <row r="506">
          <cell r="A506" t="str">
            <v>B0777KJL3F</v>
          </cell>
          <cell r="B506">
            <v>1</v>
          </cell>
          <cell r="C506">
            <v>0</v>
          </cell>
          <cell r="D506">
            <v>0</v>
          </cell>
          <cell r="E506">
            <v>1</v>
          </cell>
        </row>
        <row r="507">
          <cell r="A507" t="str">
            <v>B0777L43KM</v>
          </cell>
          <cell r="B507">
            <v>4</v>
          </cell>
          <cell r="C507">
            <v>2</v>
          </cell>
          <cell r="D507">
            <v>2</v>
          </cell>
          <cell r="E507">
            <v>1</v>
          </cell>
        </row>
        <row r="508">
          <cell r="A508" t="str">
            <v>B0777L43KP</v>
          </cell>
          <cell r="B508">
            <v>3</v>
          </cell>
          <cell r="C508">
            <v>1</v>
          </cell>
          <cell r="D508">
            <v>1</v>
          </cell>
          <cell r="E508">
            <v>1</v>
          </cell>
        </row>
        <row r="509">
          <cell r="A509" t="str">
            <v>B0777M2SSK</v>
          </cell>
          <cell r="B509">
            <v>4</v>
          </cell>
          <cell r="C509">
            <v>0</v>
          </cell>
          <cell r="D509">
            <v>0</v>
          </cell>
          <cell r="E509">
            <v>1</v>
          </cell>
        </row>
        <row r="510">
          <cell r="A510" t="str">
            <v>B0777MZQLP</v>
          </cell>
          <cell r="B510">
            <v>5</v>
          </cell>
          <cell r="C510">
            <v>1</v>
          </cell>
          <cell r="D510">
            <v>1</v>
          </cell>
          <cell r="E510">
            <v>1</v>
          </cell>
        </row>
        <row r="511">
          <cell r="A511" t="str">
            <v>B077FYHG3V</v>
          </cell>
          <cell r="B511">
            <v>4</v>
          </cell>
          <cell r="C511">
            <v>1</v>
          </cell>
          <cell r="D511">
            <v>1</v>
          </cell>
          <cell r="E511">
            <v>5</v>
          </cell>
        </row>
        <row r="512">
          <cell r="A512" t="str">
            <v>B077G1736K</v>
          </cell>
          <cell r="B512">
            <v>33</v>
          </cell>
          <cell r="C512">
            <v>32</v>
          </cell>
          <cell r="D512">
            <v>32</v>
          </cell>
          <cell r="E512">
            <v>21</v>
          </cell>
        </row>
        <row r="513">
          <cell r="A513" t="str">
            <v>B077G58GFN</v>
          </cell>
          <cell r="B513">
            <v>25</v>
          </cell>
          <cell r="C513">
            <v>12</v>
          </cell>
          <cell r="D513">
            <v>12</v>
          </cell>
          <cell r="E513">
            <v>8</v>
          </cell>
        </row>
        <row r="514">
          <cell r="A514" t="str">
            <v>B077GRD45J</v>
          </cell>
          <cell r="B514">
            <v>3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B077GRMXK8</v>
          </cell>
          <cell r="B515">
            <v>4</v>
          </cell>
          <cell r="C515">
            <v>1</v>
          </cell>
          <cell r="D515">
            <v>1</v>
          </cell>
          <cell r="E515">
            <v>2</v>
          </cell>
        </row>
        <row r="516">
          <cell r="A516" t="str">
            <v>B077GRN54F</v>
          </cell>
          <cell r="B516">
            <v>2</v>
          </cell>
          <cell r="C516">
            <v>1</v>
          </cell>
          <cell r="D516">
            <v>1</v>
          </cell>
          <cell r="E516">
            <v>1</v>
          </cell>
        </row>
        <row r="517">
          <cell r="A517" t="str">
            <v>B077GS3C1X</v>
          </cell>
          <cell r="B517">
            <v>3</v>
          </cell>
          <cell r="C517">
            <v>2</v>
          </cell>
          <cell r="D517">
            <v>2</v>
          </cell>
          <cell r="E517">
            <v>1</v>
          </cell>
        </row>
        <row r="518">
          <cell r="A518" t="str">
            <v>B077RWG5LY</v>
          </cell>
          <cell r="B518">
            <v>473</v>
          </cell>
          <cell r="C518">
            <v>459</v>
          </cell>
          <cell r="D518">
            <v>459</v>
          </cell>
          <cell r="E518">
            <v>381</v>
          </cell>
        </row>
        <row r="519">
          <cell r="A519" t="str">
            <v>B077Z67ZW1</v>
          </cell>
          <cell r="B519">
            <v>5</v>
          </cell>
          <cell r="C519">
            <v>3</v>
          </cell>
          <cell r="D519">
            <v>3</v>
          </cell>
          <cell r="E519">
            <v>1</v>
          </cell>
        </row>
        <row r="520">
          <cell r="A520" t="str">
            <v>B0789F983Z</v>
          </cell>
          <cell r="B520">
            <v>2</v>
          </cell>
          <cell r="C520">
            <v>0</v>
          </cell>
          <cell r="D520">
            <v>0</v>
          </cell>
          <cell r="E520">
            <v>1</v>
          </cell>
        </row>
        <row r="521">
          <cell r="A521" t="str">
            <v>B0789T35DG</v>
          </cell>
          <cell r="B521">
            <v>0</v>
          </cell>
          <cell r="C521">
            <v>0</v>
          </cell>
          <cell r="D521">
            <v>0</v>
          </cell>
          <cell r="E521">
            <v>1</v>
          </cell>
        </row>
        <row r="522">
          <cell r="A522" t="str">
            <v>B078GC16KP</v>
          </cell>
          <cell r="B522">
            <v>4</v>
          </cell>
          <cell r="C522">
            <v>0</v>
          </cell>
          <cell r="D522">
            <v>0</v>
          </cell>
          <cell r="E522">
            <v>5</v>
          </cell>
        </row>
        <row r="523">
          <cell r="A523" t="str">
            <v>B078PJN3DS</v>
          </cell>
          <cell r="B523">
            <v>39</v>
          </cell>
          <cell r="C523">
            <v>10</v>
          </cell>
          <cell r="D523">
            <v>10</v>
          </cell>
          <cell r="E523">
            <v>19</v>
          </cell>
        </row>
        <row r="524">
          <cell r="A524" t="str">
            <v>B078RX1V4Y</v>
          </cell>
          <cell r="B524">
            <v>0</v>
          </cell>
          <cell r="C524">
            <v>0</v>
          </cell>
          <cell r="D524">
            <v>0</v>
          </cell>
          <cell r="E524">
            <v>3</v>
          </cell>
        </row>
        <row r="525">
          <cell r="A525" t="str">
            <v>B078SSNHX8</v>
          </cell>
          <cell r="B525">
            <v>12</v>
          </cell>
          <cell r="C525">
            <v>10</v>
          </cell>
          <cell r="D525">
            <v>10</v>
          </cell>
          <cell r="E525">
            <v>10</v>
          </cell>
        </row>
        <row r="526">
          <cell r="A526" t="str">
            <v>B078T9Q414</v>
          </cell>
          <cell r="B526">
            <v>0</v>
          </cell>
          <cell r="C526">
            <v>3</v>
          </cell>
          <cell r="D526">
            <v>3</v>
          </cell>
          <cell r="E526">
            <v>8</v>
          </cell>
        </row>
        <row r="527">
          <cell r="A527" t="str">
            <v>B078TF25PS</v>
          </cell>
          <cell r="B527">
            <v>89</v>
          </cell>
          <cell r="C527">
            <v>46</v>
          </cell>
          <cell r="D527">
            <v>46</v>
          </cell>
          <cell r="E527">
            <v>27</v>
          </cell>
        </row>
        <row r="528">
          <cell r="A528" t="str">
            <v>B078W54M9Q</v>
          </cell>
          <cell r="B528">
            <v>13</v>
          </cell>
          <cell r="C528">
            <v>17</v>
          </cell>
          <cell r="D528">
            <v>17</v>
          </cell>
          <cell r="E528">
            <v>20</v>
          </cell>
        </row>
        <row r="529">
          <cell r="A529" t="str">
            <v>B078WRS76W</v>
          </cell>
          <cell r="B529">
            <v>15</v>
          </cell>
          <cell r="C529">
            <v>7</v>
          </cell>
          <cell r="D529">
            <v>7</v>
          </cell>
          <cell r="E529">
            <v>4</v>
          </cell>
        </row>
        <row r="530">
          <cell r="A530" t="str">
            <v>B07927PLZ2</v>
          </cell>
          <cell r="B530">
            <v>2</v>
          </cell>
          <cell r="C530">
            <v>2</v>
          </cell>
          <cell r="D530">
            <v>2</v>
          </cell>
          <cell r="E530">
            <v>1</v>
          </cell>
        </row>
        <row r="531">
          <cell r="A531" t="str">
            <v>B07927XCLN</v>
          </cell>
          <cell r="B531">
            <v>4</v>
          </cell>
          <cell r="C531">
            <v>3</v>
          </cell>
          <cell r="D531">
            <v>3</v>
          </cell>
          <cell r="E531">
            <v>1</v>
          </cell>
        </row>
        <row r="532">
          <cell r="A532" t="str">
            <v>B0792G1GL4</v>
          </cell>
          <cell r="B532">
            <v>6</v>
          </cell>
          <cell r="C532">
            <v>2</v>
          </cell>
          <cell r="D532">
            <v>2</v>
          </cell>
          <cell r="E532">
            <v>3</v>
          </cell>
        </row>
        <row r="533">
          <cell r="A533" t="str">
            <v>B07B8FCMXM</v>
          </cell>
          <cell r="B533">
            <v>4</v>
          </cell>
          <cell r="C533">
            <v>1</v>
          </cell>
          <cell r="D533">
            <v>1</v>
          </cell>
          <cell r="E533">
            <v>1</v>
          </cell>
        </row>
        <row r="534">
          <cell r="A534" t="str">
            <v>B07B8HRR64</v>
          </cell>
          <cell r="B534">
            <v>4</v>
          </cell>
          <cell r="C534">
            <v>1</v>
          </cell>
          <cell r="D534">
            <v>1</v>
          </cell>
          <cell r="E534">
            <v>1</v>
          </cell>
        </row>
        <row r="535">
          <cell r="A535" t="str">
            <v>B07B8MVFY7</v>
          </cell>
          <cell r="B535">
            <v>4</v>
          </cell>
          <cell r="C535">
            <v>1</v>
          </cell>
          <cell r="D535">
            <v>1</v>
          </cell>
          <cell r="E535">
            <v>1</v>
          </cell>
        </row>
        <row r="536">
          <cell r="A536" t="str">
            <v>B07B91YBK2</v>
          </cell>
          <cell r="B536">
            <v>1</v>
          </cell>
          <cell r="C536">
            <v>1</v>
          </cell>
          <cell r="D536">
            <v>1</v>
          </cell>
          <cell r="E536">
            <v>2</v>
          </cell>
        </row>
        <row r="537">
          <cell r="A537" t="str">
            <v>B07BKX6K8W</v>
          </cell>
          <cell r="B537">
            <v>43</v>
          </cell>
          <cell r="C537">
            <v>49</v>
          </cell>
          <cell r="D537">
            <v>49</v>
          </cell>
          <cell r="E537">
            <v>87</v>
          </cell>
        </row>
        <row r="538">
          <cell r="A538" t="str">
            <v>B07BPX61PN</v>
          </cell>
          <cell r="B538">
            <v>425</v>
          </cell>
          <cell r="C538">
            <v>366</v>
          </cell>
          <cell r="D538">
            <v>366</v>
          </cell>
          <cell r="E538">
            <v>266</v>
          </cell>
        </row>
        <row r="539">
          <cell r="A539" t="str">
            <v>B07BS9SMF9</v>
          </cell>
          <cell r="B539">
            <v>0</v>
          </cell>
          <cell r="C539">
            <v>0</v>
          </cell>
          <cell r="D539">
            <v>0</v>
          </cell>
          <cell r="E539">
            <v>15</v>
          </cell>
        </row>
        <row r="540">
          <cell r="A540" t="str">
            <v>B07C2T54T2</v>
          </cell>
          <cell r="B540">
            <v>149</v>
          </cell>
          <cell r="C540">
            <v>102</v>
          </cell>
          <cell r="D540">
            <v>102</v>
          </cell>
          <cell r="E540">
            <v>111</v>
          </cell>
        </row>
        <row r="541">
          <cell r="A541" t="str">
            <v>B07C2XLZBH</v>
          </cell>
          <cell r="B541">
            <v>14</v>
          </cell>
          <cell r="C541">
            <v>4</v>
          </cell>
          <cell r="D541">
            <v>4</v>
          </cell>
          <cell r="E541">
            <v>11</v>
          </cell>
        </row>
        <row r="542">
          <cell r="A542" t="str">
            <v>B07CH7K683</v>
          </cell>
          <cell r="B542">
            <v>31</v>
          </cell>
          <cell r="C542">
            <v>117</v>
          </cell>
          <cell r="D542">
            <v>117</v>
          </cell>
          <cell r="E542">
            <v>2</v>
          </cell>
        </row>
        <row r="543">
          <cell r="A543" t="str">
            <v>B07D32N4L4</v>
          </cell>
          <cell r="B543">
            <v>32</v>
          </cell>
          <cell r="C543">
            <v>27</v>
          </cell>
          <cell r="D543">
            <v>27</v>
          </cell>
          <cell r="E543">
            <v>2</v>
          </cell>
        </row>
        <row r="544">
          <cell r="A544" t="str">
            <v>B07D33PXF9</v>
          </cell>
          <cell r="B544">
            <v>41</v>
          </cell>
          <cell r="C544">
            <v>39</v>
          </cell>
          <cell r="D544">
            <v>39</v>
          </cell>
          <cell r="E544">
            <v>3</v>
          </cell>
        </row>
        <row r="545">
          <cell r="A545" t="str">
            <v>B07D35DJ26</v>
          </cell>
          <cell r="B545">
            <v>20</v>
          </cell>
          <cell r="C545">
            <v>10</v>
          </cell>
          <cell r="D545">
            <v>10</v>
          </cell>
          <cell r="E545">
            <v>2</v>
          </cell>
        </row>
        <row r="546">
          <cell r="A546" t="str">
            <v>B071FZWXQ8</v>
          </cell>
          <cell r="B546">
            <v>5</v>
          </cell>
          <cell r="C546">
            <v>5</v>
          </cell>
          <cell r="D546">
            <v>5</v>
          </cell>
          <cell r="E546">
            <v>0</v>
          </cell>
        </row>
        <row r="547">
          <cell r="A547" t="str">
            <v>B07D322V4M</v>
          </cell>
          <cell r="B547">
            <v>35</v>
          </cell>
          <cell r="C547">
            <v>9</v>
          </cell>
          <cell r="D547">
            <v>9</v>
          </cell>
          <cell r="E547">
            <v>0</v>
          </cell>
        </row>
        <row r="548">
          <cell r="A548" t="str">
            <v>B01GCGA3J8</v>
          </cell>
          <cell r="B548">
            <v>16</v>
          </cell>
          <cell r="C548">
            <v>10</v>
          </cell>
          <cell r="D548">
            <v>10</v>
          </cell>
          <cell r="E548">
            <v>0</v>
          </cell>
        </row>
        <row r="549">
          <cell r="A549" t="str">
            <v>B073XHCKV4</v>
          </cell>
          <cell r="B549">
            <v>0</v>
          </cell>
          <cell r="C549">
            <v>6</v>
          </cell>
          <cell r="D549">
            <v>6</v>
          </cell>
          <cell r="E549">
            <v>0</v>
          </cell>
        </row>
        <row r="550">
          <cell r="A550" t="str">
            <v>B07D2YC55G</v>
          </cell>
          <cell r="B550">
            <v>83</v>
          </cell>
          <cell r="C550">
            <v>41</v>
          </cell>
          <cell r="D550">
            <v>41</v>
          </cell>
          <cell r="E550">
            <v>0</v>
          </cell>
        </row>
        <row r="551">
          <cell r="A551" t="str">
            <v>B01GJPCOC6</v>
          </cell>
          <cell r="B551">
            <v>15</v>
          </cell>
          <cell r="C551">
            <v>5</v>
          </cell>
          <cell r="D551">
            <v>5</v>
          </cell>
          <cell r="E551">
            <v>0</v>
          </cell>
        </row>
        <row r="552">
          <cell r="A552" t="str">
            <v>B01HTJ8VB4</v>
          </cell>
          <cell r="B552">
            <v>2</v>
          </cell>
          <cell r="C552">
            <v>1</v>
          </cell>
          <cell r="D552">
            <v>1</v>
          </cell>
          <cell r="E552">
            <v>0</v>
          </cell>
        </row>
        <row r="553">
          <cell r="A553" t="str">
            <v>B01J7RL2DA</v>
          </cell>
          <cell r="B553">
            <v>4</v>
          </cell>
          <cell r="C553">
            <v>3</v>
          </cell>
          <cell r="D553">
            <v>3</v>
          </cell>
          <cell r="E553">
            <v>0</v>
          </cell>
        </row>
        <row r="554">
          <cell r="A554" t="str">
            <v>B01JZ1GY40</v>
          </cell>
          <cell r="B554">
            <v>0</v>
          </cell>
          <cell r="C554">
            <v>1</v>
          </cell>
          <cell r="D554">
            <v>1</v>
          </cell>
          <cell r="E554">
            <v>0</v>
          </cell>
        </row>
        <row r="555">
          <cell r="A555" t="str">
            <v>B01M24AUH7</v>
          </cell>
          <cell r="B555">
            <v>3</v>
          </cell>
          <cell r="C555">
            <v>5</v>
          </cell>
          <cell r="D555">
            <v>5</v>
          </cell>
          <cell r="E555">
            <v>0</v>
          </cell>
        </row>
        <row r="556">
          <cell r="A556" t="str">
            <v>B01N8XQPF6</v>
          </cell>
          <cell r="B556">
            <v>5</v>
          </cell>
          <cell r="C556">
            <v>1</v>
          </cell>
          <cell r="D556">
            <v>1</v>
          </cell>
          <cell r="E556">
            <v>0</v>
          </cell>
        </row>
        <row r="557">
          <cell r="A557" t="str">
            <v>B06ZZJ4BFJ</v>
          </cell>
          <cell r="B557">
            <v>0</v>
          </cell>
          <cell r="C557">
            <v>4</v>
          </cell>
          <cell r="D557">
            <v>4</v>
          </cell>
          <cell r="E557">
            <v>0</v>
          </cell>
        </row>
        <row r="558">
          <cell r="A558" t="str">
            <v>B072WQDBJF</v>
          </cell>
          <cell r="B558">
            <v>0</v>
          </cell>
          <cell r="C558">
            <v>2</v>
          </cell>
          <cell r="D558">
            <v>2</v>
          </cell>
          <cell r="E558">
            <v>0</v>
          </cell>
        </row>
        <row r="559">
          <cell r="A559" t="str">
            <v>B073GMZ65D</v>
          </cell>
          <cell r="B559">
            <v>2</v>
          </cell>
          <cell r="C559">
            <v>6</v>
          </cell>
          <cell r="D559">
            <v>6</v>
          </cell>
          <cell r="E559">
            <v>0</v>
          </cell>
        </row>
        <row r="560">
          <cell r="A560" t="str">
            <v>B073XJM9NF</v>
          </cell>
          <cell r="B560">
            <v>11</v>
          </cell>
          <cell r="C560">
            <v>3</v>
          </cell>
          <cell r="D560">
            <v>3</v>
          </cell>
          <cell r="E560">
            <v>0</v>
          </cell>
        </row>
        <row r="561">
          <cell r="A561" t="str">
            <v>B0744HLBYM</v>
          </cell>
          <cell r="B561">
            <v>0</v>
          </cell>
          <cell r="C561">
            <v>6</v>
          </cell>
          <cell r="D561">
            <v>6</v>
          </cell>
          <cell r="E561">
            <v>0</v>
          </cell>
        </row>
        <row r="562">
          <cell r="A562" t="str">
            <v>B0744HT59V</v>
          </cell>
          <cell r="B562">
            <v>0</v>
          </cell>
          <cell r="C562">
            <v>4</v>
          </cell>
          <cell r="D562">
            <v>4</v>
          </cell>
          <cell r="E562">
            <v>0</v>
          </cell>
        </row>
        <row r="563">
          <cell r="A563" t="str">
            <v>B0792THM1S</v>
          </cell>
          <cell r="B563">
            <v>15</v>
          </cell>
          <cell r="C563">
            <v>10</v>
          </cell>
          <cell r="D563">
            <v>10</v>
          </cell>
          <cell r="E563">
            <v>0</v>
          </cell>
        </row>
        <row r="564">
          <cell r="A564" t="str">
            <v>B07BVLR8XC</v>
          </cell>
          <cell r="B564">
            <v>0</v>
          </cell>
          <cell r="C564">
            <v>6</v>
          </cell>
          <cell r="D564">
            <v>6</v>
          </cell>
          <cell r="E564">
            <v>0</v>
          </cell>
        </row>
        <row r="565">
          <cell r="A565" t="str">
            <v>B07BVLRGBT</v>
          </cell>
          <cell r="B565">
            <v>0</v>
          </cell>
          <cell r="C565">
            <v>6</v>
          </cell>
          <cell r="D565">
            <v>6</v>
          </cell>
          <cell r="E565">
            <v>0</v>
          </cell>
        </row>
        <row r="566">
          <cell r="A566" t="str">
            <v>B07C33Y4BX</v>
          </cell>
          <cell r="B566">
            <v>0</v>
          </cell>
          <cell r="C566">
            <v>1</v>
          </cell>
          <cell r="D566">
            <v>1</v>
          </cell>
          <cell r="E566">
            <v>0</v>
          </cell>
        </row>
        <row r="567">
          <cell r="A567" t="str">
            <v>B01H6DXA46</v>
          </cell>
          <cell r="B567">
            <v>1</v>
          </cell>
          <cell r="C567">
            <v>1</v>
          </cell>
          <cell r="D567">
            <v>1</v>
          </cell>
          <cell r="E567">
            <v>0</v>
          </cell>
        </row>
        <row r="568">
          <cell r="A568" t="str">
            <v>B01H6DXA64</v>
          </cell>
          <cell r="B568">
            <v>0</v>
          </cell>
          <cell r="C568">
            <v>1</v>
          </cell>
          <cell r="D568">
            <v>1</v>
          </cell>
          <cell r="E568">
            <v>0</v>
          </cell>
        </row>
        <row r="569">
          <cell r="A569" t="str">
            <v>B01H6DXB8Q</v>
          </cell>
          <cell r="B569">
            <v>2</v>
          </cell>
          <cell r="C569">
            <v>1</v>
          </cell>
          <cell r="D569">
            <v>1</v>
          </cell>
          <cell r="E569">
            <v>0</v>
          </cell>
        </row>
        <row r="570">
          <cell r="A570" t="str">
            <v>B01H6DXCB2</v>
          </cell>
          <cell r="B570">
            <v>3</v>
          </cell>
          <cell r="C570">
            <v>1</v>
          </cell>
          <cell r="D570">
            <v>1</v>
          </cell>
          <cell r="E570">
            <v>0</v>
          </cell>
        </row>
        <row r="571">
          <cell r="A571" t="str">
            <v>B01H6DXCGM</v>
          </cell>
          <cell r="B571">
            <v>4</v>
          </cell>
          <cell r="C571">
            <v>2</v>
          </cell>
          <cell r="D571">
            <v>2</v>
          </cell>
          <cell r="E571">
            <v>0</v>
          </cell>
        </row>
        <row r="572">
          <cell r="A572" t="str">
            <v>B01H6E6ZPG</v>
          </cell>
          <cell r="B572">
            <v>3</v>
          </cell>
          <cell r="C572">
            <v>1</v>
          </cell>
          <cell r="D572">
            <v>1</v>
          </cell>
          <cell r="E572">
            <v>0</v>
          </cell>
        </row>
        <row r="573">
          <cell r="A573" t="str">
            <v>B01HTJ8SVM</v>
          </cell>
          <cell r="B573">
            <v>5</v>
          </cell>
          <cell r="C573">
            <v>2</v>
          </cell>
          <cell r="D573">
            <v>2</v>
          </cell>
          <cell r="E573">
            <v>0</v>
          </cell>
        </row>
        <row r="574">
          <cell r="A574" t="str">
            <v>B01JZ1FSJ2</v>
          </cell>
          <cell r="B574">
            <v>1</v>
          </cell>
          <cell r="C574">
            <v>4</v>
          </cell>
          <cell r="D574">
            <v>4</v>
          </cell>
          <cell r="E574">
            <v>0</v>
          </cell>
        </row>
        <row r="575">
          <cell r="A575" t="str">
            <v>B01JZ1G5L2</v>
          </cell>
          <cell r="B575">
            <v>1</v>
          </cell>
          <cell r="C575">
            <v>1</v>
          </cell>
          <cell r="D575">
            <v>1</v>
          </cell>
          <cell r="E575">
            <v>0</v>
          </cell>
        </row>
        <row r="576">
          <cell r="A576" t="str">
            <v>B01JZ1H11U</v>
          </cell>
          <cell r="B576">
            <v>1</v>
          </cell>
          <cell r="C576">
            <v>1</v>
          </cell>
          <cell r="D576">
            <v>1</v>
          </cell>
          <cell r="E576">
            <v>0</v>
          </cell>
        </row>
        <row r="577">
          <cell r="A577" t="str">
            <v>B01LXHBWVD</v>
          </cell>
          <cell r="B577">
            <v>4</v>
          </cell>
          <cell r="C577">
            <v>2</v>
          </cell>
          <cell r="D577">
            <v>2</v>
          </cell>
          <cell r="E577">
            <v>0</v>
          </cell>
        </row>
        <row r="578">
          <cell r="A578" t="str">
            <v>B01LZ8BCKM</v>
          </cell>
          <cell r="B578">
            <v>1</v>
          </cell>
          <cell r="C578">
            <v>2</v>
          </cell>
          <cell r="D578">
            <v>2</v>
          </cell>
          <cell r="E578">
            <v>0</v>
          </cell>
        </row>
        <row r="579">
          <cell r="A579" t="str">
            <v>B01LZDLADE</v>
          </cell>
          <cell r="B579">
            <v>1</v>
          </cell>
          <cell r="C579">
            <v>1</v>
          </cell>
          <cell r="D579">
            <v>1</v>
          </cell>
          <cell r="E579">
            <v>0</v>
          </cell>
        </row>
        <row r="580">
          <cell r="A580" t="str">
            <v>B01LZREQ3F</v>
          </cell>
          <cell r="B580">
            <v>2</v>
          </cell>
          <cell r="C580">
            <v>2</v>
          </cell>
          <cell r="D580">
            <v>2</v>
          </cell>
          <cell r="E580">
            <v>0</v>
          </cell>
        </row>
        <row r="581">
          <cell r="A581" t="str">
            <v>B01M22BQTJ</v>
          </cell>
          <cell r="B581">
            <v>3</v>
          </cell>
          <cell r="C581">
            <v>2</v>
          </cell>
          <cell r="D581">
            <v>2</v>
          </cell>
          <cell r="E581">
            <v>0</v>
          </cell>
        </row>
        <row r="582">
          <cell r="A582" t="str">
            <v>B01M29W1XF</v>
          </cell>
          <cell r="B582">
            <v>2</v>
          </cell>
          <cell r="C582">
            <v>1</v>
          </cell>
          <cell r="D582">
            <v>1</v>
          </cell>
          <cell r="E582">
            <v>0</v>
          </cell>
        </row>
        <row r="583">
          <cell r="A583" t="str">
            <v>B01M2UY9B7</v>
          </cell>
          <cell r="B583">
            <v>1</v>
          </cell>
          <cell r="C583">
            <v>1</v>
          </cell>
          <cell r="D583">
            <v>1</v>
          </cell>
          <cell r="E583">
            <v>0</v>
          </cell>
        </row>
        <row r="584">
          <cell r="A584" t="str">
            <v>B01M3XKHTA</v>
          </cell>
          <cell r="B584">
            <v>0</v>
          </cell>
          <cell r="C584">
            <v>2</v>
          </cell>
          <cell r="D584">
            <v>2</v>
          </cell>
          <cell r="E584">
            <v>0</v>
          </cell>
        </row>
        <row r="585">
          <cell r="A585" t="str">
            <v>B01M6WIQ5S</v>
          </cell>
          <cell r="B585">
            <v>4</v>
          </cell>
          <cell r="C585">
            <v>1</v>
          </cell>
          <cell r="D585">
            <v>1</v>
          </cell>
          <cell r="E585">
            <v>0</v>
          </cell>
        </row>
        <row r="586">
          <cell r="A586" t="str">
            <v>B01MAUCETC</v>
          </cell>
          <cell r="B586">
            <v>2</v>
          </cell>
          <cell r="C586">
            <v>1</v>
          </cell>
          <cell r="D586">
            <v>1</v>
          </cell>
          <cell r="E586">
            <v>0</v>
          </cell>
        </row>
        <row r="587">
          <cell r="A587" t="str">
            <v>B01MCRDA4D</v>
          </cell>
          <cell r="B587">
            <v>2</v>
          </cell>
          <cell r="C587">
            <v>1</v>
          </cell>
          <cell r="D587">
            <v>1</v>
          </cell>
          <cell r="E587">
            <v>0</v>
          </cell>
        </row>
        <row r="588">
          <cell r="A588" t="str">
            <v>B01MCYXYTX</v>
          </cell>
          <cell r="B588">
            <v>2</v>
          </cell>
          <cell r="C588">
            <v>3</v>
          </cell>
          <cell r="D588">
            <v>3</v>
          </cell>
          <cell r="E588">
            <v>0</v>
          </cell>
        </row>
        <row r="589">
          <cell r="A589" t="str">
            <v>B01MF4FR0N</v>
          </cell>
          <cell r="B589">
            <v>1</v>
          </cell>
          <cell r="C589">
            <v>2</v>
          </cell>
          <cell r="D589">
            <v>2</v>
          </cell>
          <cell r="E589">
            <v>0</v>
          </cell>
        </row>
        <row r="590">
          <cell r="A590" t="str">
            <v>B01MQPCTYE</v>
          </cell>
          <cell r="B590">
            <v>1</v>
          </cell>
          <cell r="C590">
            <v>2</v>
          </cell>
          <cell r="D590">
            <v>2</v>
          </cell>
          <cell r="E590">
            <v>0</v>
          </cell>
        </row>
        <row r="591">
          <cell r="A591" t="str">
            <v>B01MR2SNCF</v>
          </cell>
          <cell r="B591">
            <v>7</v>
          </cell>
          <cell r="C591">
            <v>3</v>
          </cell>
          <cell r="D591">
            <v>3</v>
          </cell>
          <cell r="E591">
            <v>0</v>
          </cell>
        </row>
        <row r="592">
          <cell r="A592" t="str">
            <v>B01MSJPEBR</v>
          </cell>
          <cell r="B592">
            <v>4</v>
          </cell>
          <cell r="C592">
            <v>2</v>
          </cell>
          <cell r="D592">
            <v>2</v>
          </cell>
          <cell r="E592">
            <v>0</v>
          </cell>
        </row>
        <row r="593">
          <cell r="A593" t="str">
            <v>B01MT8EESO</v>
          </cell>
          <cell r="B593">
            <v>1</v>
          </cell>
          <cell r="C593">
            <v>1</v>
          </cell>
          <cell r="D593">
            <v>1</v>
          </cell>
          <cell r="E593">
            <v>0</v>
          </cell>
        </row>
        <row r="594">
          <cell r="A594" t="str">
            <v>B01MY7KVJY</v>
          </cell>
          <cell r="B594">
            <v>3</v>
          </cell>
          <cell r="C594">
            <v>2</v>
          </cell>
          <cell r="D594">
            <v>2</v>
          </cell>
          <cell r="E594">
            <v>0</v>
          </cell>
        </row>
        <row r="595">
          <cell r="A595" t="str">
            <v>B01N107R7Z</v>
          </cell>
          <cell r="B595">
            <v>3</v>
          </cell>
          <cell r="C595">
            <v>1</v>
          </cell>
          <cell r="D595">
            <v>1</v>
          </cell>
          <cell r="E595">
            <v>0</v>
          </cell>
        </row>
        <row r="596">
          <cell r="A596" t="str">
            <v>B01N2BADBU</v>
          </cell>
          <cell r="B596">
            <v>5</v>
          </cell>
          <cell r="C596">
            <v>2</v>
          </cell>
          <cell r="D596">
            <v>2</v>
          </cell>
          <cell r="E596">
            <v>0</v>
          </cell>
        </row>
        <row r="597">
          <cell r="A597" t="str">
            <v>B01N3PMV0O</v>
          </cell>
          <cell r="B597">
            <v>5</v>
          </cell>
          <cell r="C597">
            <v>2</v>
          </cell>
          <cell r="D597">
            <v>2</v>
          </cell>
          <cell r="E597">
            <v>0</v>
          </cell>
        </row>
        <row r="598">
          <cell r="A598" t="str">
            <v>B01N3Q73FG</v>
          </cell>
          <cell r="B598">
            <v>4</v>
          </cell>
          <cell r="C598">
            <v>1</v>
          </cell>
          <cell r="D598">
            <v>1</v>
          </cell>
          <cell r="E598">
            <v>0</v>
          </cell>
        </row>
        <row r="599">
          <cell r="A599" t="str">
            <v>B01N3S4VXV</v>
          </cell>
          <cell r="B599">
            <v>4</v>
          </cell>
          <cell r="C599">
            <v>2</v>
          </cell>
          <cell r="D599">
            <v>2</v>
          </cell>
          <cell r="E599">
            <v>0</v>
          </cell>
        </row>
        <row r="600">
          <cell r="A600" t="str">
            <v>B01N3UBDH3</v>
          </cell>
          <cell r="B600">
            <v>1</v>
          </cell>
          <cell r="C600">
            <v>2</v>
          </cell>
          <cell r="D600">
            <v>2</v>
          </cell>
          <cell r="E600">
            <v>0</v>
          </cell>
        </row>
        <row r="601">
          <cell r="A601" t="str">
            <v>B06W57JDKH</v>
          </cell>
          <cell r="B601">
            <v>2</v>
          </cell>
          <cell r="C601">
            <v>1</v>
          </cell>
          <cell r="D601">
            <v>1</v>
          </cell>
          <cell r="E601">
            <v>0</v>
          </cell>
        </row>
        <row r="602">
          <cell r="A602" t="str">
            <v>B06WD5WS19</v>
          </cell>
          <cell r="B602">
            <v>2</v>
          </cell>
          <cell r="C602">
            <v>1</v>
          </cell>
          <cell r="D602">
            <v>1</v>
          </cell>
          <cell r="E602">
            <v>0</v>
          </cell>
        </row>
        <row r="603">
          <cell r="A603" t="str">
            <v>B06XSFJG3Z</v>
          </cell>
          <cell r="B603">
            <v>2</v>
          </cell>
          <cell r="C603">
            <v>1</v>
          </cell>
          <cell r="D603">
            <v>1</v>
          </cell>
          <cell r="E603">
            <v>0</v>
          </cell>
        </row>
        <row r="604">
          <cell r="A604" t="str">
            <v>B06XSNCK1P</v>
          </cell>
          <cell r="B604">
            <v>1</v>
          </cell>
          <cell r="C604">
            <v>1</v>
          </cell>
          <cell r="D604">
            <v>1</v>
          </cell>
          <cell r="E604">
            <v>0</v>
          </cell>
        </row>
        <row r="605">
          <cell r="A605" t="str">
            <v>B06XSNGL26</v>
          </cell>
          <cell r="B605">
            <v>2</v>
          </cell>
          <cell r="C605">
            <v>1</v>
          </cell>
          <cell r="D605">
            <v>1</v>
          </cell>
          <cell r="E605">
            <v>0</v>
          </cell>
        </row>
        <row r="606">
          <cell r="A606" t="str">
            <v>B06XSNJZ8L</v>
          </cell>
          <cell r="B606">
            <v>4</v>
          </cell>
          <cell r="C606">
            <v>1</v>
          </cell>
          <cell r="D606">
            <v>1</v>
          </cell>
          <cell r="E606">
            <v>0</v>
          </cell>
        </row>
        <row r="607">
          <cell r="A607" t="str">
            <v>B06XSSMMLJ</v>
          </cell>
          <cell r="B607">
            <v>3</v>
          </cell>
          <cell r="C607">
            <v>2</v>
          </cell>
          <cell r="D607">
            <v>2</v>
          </cell>
          <cell r="E607">
            <v>0</v>
          </cell>
        </row>
        <row r="608">
          <cell r="A608" t="str">
            <v>B06XSWRDZY</v>
          </cell>
          <cell r="B608">
            <v>3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B06XSZDHF6</v>
          </cell>
          <cell r="B609">
            <v>3</v>
          </cell>
          <cell r="C609">
            <v>1</v>
          </cell>
          <cell r="D609">
            <v>1</v>
          </cell>
          <cell r="E609">
            <v>0</v>
          </cell>
        </row>
        <row r="610">
          <cell r="A610" t="str">
            <v>B06XY63NPZ</v>
          </cell>
          <cell r="B610">
            <v>3</v>
          </cell>
          <cell r="C610">
            <v>3</v>
          </cell>
          <cell r="D610">
            <v>3</v>
          </cell>
          <cell r="E610">
            <v>0</v>
          </cell>
        </row>
        <row r="611">
          <cell r="A611" t="str">
            <v>B06XYB2BTQ</v>
          </cell>
          <cell r="B611">
            <v>4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B06Y6CWDF6</v>
          </cell>
          <cell r="B612">
            <v>5</v>
          </cell>
          <cell r="C612">
            <v>1</v>
          </cell>
          <cell r="D612">
            <v>1</v>
          </cell>
          <cell r="E612">
            <v>0</v>
          </cell>
        </row>
        <row r="613">
          <cell r="A613" t="str">
            <v>B07117Q43M</v>
          </cell>
          <cell r="B613">
            <v>2</v>
          </cell>
          <cell r="C613">
            <v>1</v>
          </cell>
          <cell r="D613">
            <v>1</v>
          </cell>
          <cell r="E613">
            <v>0</v>
          </cell>
        </row>
        <row r="614">
          <cell r="A614" t="str">
            <v>B071CTW4K6</v>
          </cell>
          <cell r="B614">
            <v>6</v>
          </cell>
          <cell r="C614">
            <v>2</v>
          </cell>
          <cell r="D614">
            <v>2</v>
          </cell>
          <cell r="E614">
            <v>0</v>
          </cell>
        </row>
        <row r="615">
          <cell r="A615" t="str">
            <v>B071DDXBNN</v>
          </cell>
          <cell r="B615">
            <v>3</v>
          </cell>
          <cell r="C615">
            <v>3</v>
          </cell>
          <cell r="D615">
            <v>3</v>
          </cell>
          <cell r="E615">
            <v>0</v>
          </cell>
        </row>
        <row r="616">
          <cell r="A616" t="str">
            <v>B071DFVNKL</v>
          </cell>
          <cell r="B616">
            <v>5</v>
          </cell>
          <cell r="C616">
            <v>1</v>
          </cell>
          <cell r="D616">
            <v>1</v>
          </cell>
          <cell r="E616">
            <v>0</v>
          </cell>
        </row>
        <row r="617">
          <cell r="A617" t="str">
            <v>B071LG1GCV</v>
          </cell>
          <cell r="B617">
            <v>4</v>
          </cell>
          <cell r="C617">
            <v>1</v>
          </cell>
          <cell r="D617">
            <v>1</v>
          </cell>
          <cell r="E617">
            <v>0</v>
          </cell>
        </row>
        <row r="618">
          <cell r="A618" t="str">
            <v>B071VSGVFX</v>
          </cell>
          <cell r="B618">
            <v>3</v>
          </cell>
          <cell r="C618">
            <v>1</v>
          </cell>
          <cell r="D618">
            <v>1</v>
          </cell>
          <cell r="E618">
            <v>0</v>
          </cell>
        </row>
        <row r="619">
          <cell r="A619" t="str">
            <v>B071X92HLK</v>
          </cell>
          <cell r="B619">
            <v>0</v>
          </cell>
          <cell r="C619">
            <v>1</v>
          </cell>
          <cell r="D619">
            <v>1</v>
          </cell>
          <cell r="E619">
            <v>0</v>
          </cell>
        </row>
        <row r="620">
          <cell r="A620" t="str">
            <v>B071YD3ZML</v>
          </cell>
          <cell r="B620">
            <v>1</v>
          </cell>
          <cell r="C620">
            <v>1</v>
          </cell>
          <cell r="D620">
            <v>1</v>
          </cell>
          <cell r="E620">
            <v>0</v>
          </cell>
        </row>
        <row r="621">
          <cell r="A621" t="str">
            <v>B071ZYZ988</v>
          </cell>
          <cell r="B621">
            <v>3</v>
          </cell>
          <cell r="C621">
            <v>5</v>
          </cell>
          <cell r="D621">
            <v>5</v>
          </cell>
          <cell r="E621">
            <v>0</v>
          </cell>
        </row>
        <row r="622">
          <cell r="A622" t="str">
            <v>B07214CVZK</v>
          </cell>
          <cell r="B622">
            <v>1</v>
          </cell>
          <cell r="C622">
            <v>3</v>
          </cell>
          <cell r="D622">
            <v>3</v>
          </cell>
          <cell r="E622">
            <v>0</v>
          </cell>
        </row>
        <row r="623">
          <cell r="A623" t="str">
            <v>B0721Q1J3G</v>
          </cell>
          <cell r="B623">
            <v>0</v>
          </cell>
          <cell r="C623">
            <v>3</v>
          </cell>
          <cell r="D623">
            <v>3</v>
          </cell>
          <cell r="E623">
            <v>0</v>
          </cell>
        </row>
        <row r="624">
          <cell r="A624" t="str">
            <v>B07228XRT9</v>
          </cell>
          <cell r="B624">
            <v>2</v>
          </cell>
          <cell r="C624">
            <v>1</v>
          </cell>
          <cell r="D624">
            <v>1</v>
          </cell>
          <cell r="E624">
            <v>0</v>
          </cell>
        </row>
        <row r="625">
          <cell r="A625" t="str">
            <v>B0722PSKP8</v>
          </cell>
          <cell r="B625">
            <v>0</v>
          </cell>
          <cell r="C625">
            <v>3</v>
          </cell>
          <cell r="D625">
            <v>3</v>
          </cell>
          <cell r="E625">
            <v>0</v>
          </cell>
        </row>
        <row r="626">
          <cell r="A626" t="str">
            <v>B0723428Q9</v>
          </cell>
          <cell r="B626">
            <v>4</v>
          </cell>
          <cell r="C626">
            <v>1</v>
          </cell>
          <cell r="D626">
            <v>1</v>
          </cell>
          <cell r="E626">
            <v>0</v>
          </cell>
        </row>
        <row r="627">
          <cell r="A627" t="str">
            <v>B0727W7P79</v>
          </cell>
          <cell r="B627">
            <v>4</v>
          </cell>
          <cell r="C627">
            <v>1</v>
          </cell>
          <cell r="D627">
            <v>1</v>
          </cell>
          <cell r="E627">
            <v>0</v>
          </cell>
        </row>
        <row r="628">
          <cell r="A628" t="str">
            <v>B072BWC6S6</v>
          </cell>
          <cell r="B628">
            <v>4</v>
          </cell>
          <cell r="C628">
            <v>1</v>
          </cell>
          <cell r="D628">
            <v>1</v>
          </cell>
          <cell r="E628">
            <v>0</v>
          </cell>
        </row>
        <row r="629">
          <cell r="A629" t="str">
            <v>B072JY35C1</v>
          </cell>
          <cell r="B629">
            <v>1</v>
          </cell>
          <cell r="C629">
            <v>1</v>
          </cell>
          <cell r="D629">
            <v>1</v>
          </cell>
          <cell r="E629">
            <v>0</v>
          </cell>
        </row>
        <row r="630">
          <cell r="A630" t="str">
            <v>B072N57JLZ</v>
          </cell>
          <cell r="B630">
            <v>1</v>
          </cell>
          <cell r="C630">
            <v>1</v>
          </cell>
          <cell r="D630">
            <v>1</v>
          </cell>
          <cell r="E630">
            <v>0</v>
          </cell>
        </row>
        <row r="631">
          <cell r="A631" t="str">
            <v>B072QKZRMX</v>
          </cell>
          <cell r="B631">
            <v>3</v>
          </cell>
          <cell r="C631">
            <v>1</v>
          </cell>
          <cell r="D631">
            <v>1</v>
          </cell>
          <cell r="E631">
            <v>0</v>
          </cell>
        </row>
        <row r="632">
          <cell r="A632" t="str">
            <v>B072R2LJVG</v>
          </cell>
          <cell r="B632">
            <v>1</v>
          </cell>
          <cell r="C632">
            <v>1</v>
          </cell>
          <cell r="D632">
            <v>1</v>
          </cell>
          <cell r="E632">
            <v>0</v>
          </cell>
        </row>
        <row r="633">
          <cell r="A633" t="str">
            <v>B072R58C18</v>
          </cell>
          <cell r="B633">
            <v>2</v>
          </cell>
          <cell r="C633">
            <v>1</v>
          </cell>
          <cell r="D633">
            <v>1</v>
          </cell>
          <cell r="E633">
            <v>0</v>
          </cell>
        </row>
        <row r="634">
          <cell r="A634" t="str">
            <v>B072WRGSKK</v>
          </cell>
          <cell r="B634">
            <v>0</v>
          </cell>
          <cell r="C634">
            <v>3</v>
          </cell>
          <cell r="D634">
            <v>3</v>
          </cell>
          <cell r="E634">
            <v>0</v>
          </cell>
        </row>
        <row r="635">
          <cell r="A635" t="str">
            <v>B072XCPKG1</v>
          </cell>
          <cell r="B635">
            <v>1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B072XGTQGD</v>
          </cell>
          <cell r="B636">
            <v>5</v>
          </cell>
          <cell r="C636">
            <v>1</v>
          </cell>
          <cell r="D636">
            <v>1</v>
          </cell>
          <cell r="E636">
            <v>0</v>
          </cell>
        </row>
        <row r="637">
          <cell r="A637" t="str">
            <v>B072XGWC9X</v>
          </cell>
          <cell r="B637">
            <v>5</v>
          </cell>
          <cell r="C637">
            <v>2</v>
          </cell>
          <cell r="D637">
            <v>2</v>
          </cell>
          <cell r="E637">
            <v>0</v>
          </cell>
        </row>
        <row r="638">
          <cell r="A638" t="str">
            <v>B072XJNSSR</v>
          </cell>
          <cell r="B638">
            <v>4</v>
          </cell>
          <cell r="C638">
            <v>2</v>
          </cell>
          <cell r="D638">
            <v>2</v>
          </cell>
          <cell r="E638">
            <v>0</v>
          </cell>
        </row>
        <row r="639">
          <cell r="A639" t="str">
            <v>B073CX5K4P</v>
          </cell>
          <cell r="B639">
            <v>2</v>
          </cell>
          <cell r="C639">
            <v>1</v>
          </cell>
          <cell r="D639">
            <v>1</v>
          </cell>
          <cell r="E639">
            <v>0</v>
          </cell>
        </row>
        <row r="640">
          <cell r="A640" t="str">
            <v>B0743C6848</v>
          </cell>
          <cell r="B640">
            <v>1</v>
          </cell>
          <cell r="C640">
            <v>1</v>
          </cell>
          <cell r="D640">
            <v>1</v>
          </cell>
          <cell r="E640">
            <v>0</v>
          </cell>
        </row>
        <row r="641">
          <cell r="A641" t="str">
            <v>B0747GNTLQ</v>
          </cell>
          <cell r="B641">
            <v>0</v>
          </cell>
          <cell r="C641">
            <v>2</v>
          </cell>
          <cell r="D641">
            <v>2</v>
          </cell>
          <cell r="E641">
            <v>0</v>
          </cell>
        </row>
        <row r="642">
          <cell r="A642" t="str">
            <v>B0748FMXDW</v>
          </cell>
          <cell r="B642">
            <v>2</v>
          </cell>
          <cell r="C642">
            <v>1</v>
          </cell>
          <cell r="D642">
            <v>1</v>
          </cell>
          <cell r="E642">
            <v>0</v>
          </cell>
        </row>
        <row r="643">
          <cell r="A643" t="str">
            <v>B0749DS1D6</v>
          </cell>
          <cell r="B643">
            <v>1</v>
          </cell>
          <cell r="C643">
            <v>1</v>
          </cell>
          <cell r="D643">
            <v>1</v>
          </cell>
          <cell r="E643">
            <v>0</v>
          </cell>
        </row>
        <row r="644">
          <cell r="A644" t="str">
            <v>B074QH1CSP</v>
          </cell>
          <cell r="B644">
            <v>1</v>
          </cell>
          <cell r="C644">
            <v>2</v>
          </cell>
          <cell r="D644">
            <v>2</v>
          </cell>
          <cell r="E644">
            <v>0</v>
          </cell>
        </row>
        <row r="645">
          <cell r="A645" t="str">
            <v>B074QHQT8R</v>
          </cell>
          <cell r="B645">
            <v>0</v>
          </cell>
          <cell r="C645">
            <v>2</v>
          </cell>
          <cell r="D645">
            <v>2</v>
          </cell>
          <cell r="E645">
            <v>0</v>
          </cell>
        </row>
        <row r="646">
          <cell r="A646" t="str">
            <v>B0753CJL7F</v>
          </cell>
          <cell r="B646">
            <v>4</v>
          </cell>
          <cell r="C646">
            <v>2</v>
          </cell>
          <cell r="D646">
            <v>2</v>
          </cell>
          <cell r="E646">
            <v>0</v>
          </cell>
        </row>
        <row r="647">
          <cell r="A647" t="str">
            <v>B075474WTH</v>
          </cell>
          <cell r="B647">
            <v>3</v>
          </cell>
          <cell r="C647">
            <v>1</v>
          </cell>
          <cell r="D647">
            <v>1</v>
          </cell>
          <cell r="E647">
            <v>0</v>
          </cell>
        </row>
        <row r="648">
          <cell r="A648" t="str">
            <v>B0759GNDPX</v>
          </cell>
          <cell r="B648">
            <v>1</v>
          </cell>
          <cell r="C648">
            <v>2</v>
          </cell>
          <cell r="D648">
            <v>2</v>
          </cell>
          <cell r="E648">
            <v>0</v>
          </cell>
        </row>
        <row r="649">
          <cell r="A649" t="str">
            <v>B0759GSQT4</v>
          </cell>
          <cell r="B649">
            <v>4</v>
          </cell>
          <cell r="C649">
            <v>2</v>
          </cell>
          <cell r="D649">
            <v>2</v>
          </cell>
          <cell r="E649">
            <v>0</v>
          </cell>
        </row>
        <row r="650">
          <cell r="A650" t="str">
            <v>B075DRB3ZD</v>
          </cell>
          <cell r="B650">
            <v>0</v>
          </cell>
          <cell r="C650">
            <v>1</v>
          </cell>
          <cell r="D650">
            <v>1</v>
          </cell>
          <cell r="E650">
            <v>0</v>
          </cell>
        </row>
        <row r="651">
          <cell r="A651" t="str">
            <v>B075DVVKVY</v>
          </cell>
          <cell r="B651">
            <v>1</v>
          </cell>
          <cell r="C651">
            <v>2</v>
          </cell>
          <cell r="D651">
            <v>2</v>
          </cell>
          <cell r="E651">
            <v>0</v>
          </cell>
        </row>
        <row r="652">
          <cell r="A652" t="str">
            <v>B075F354DH</v>
          </cell>
          <cell r="B652">
            <v>1</v>
          </cell>
          <cell r="C652">
            <v>3</v>
          </cell>
          <cell r="D652">
            <v>3</v>
          </cell>
          <cell r="E652">
            <v>0</v>
          </cell>
        </row>
        <row r="653">
          <cell r="A653" t="str">
            <v>B075FT71MF</v>
          </cell>
          <cell r="B653">
            <v>1</v>
          </cell>
          <cell r="C653">
            <v>1</v>
          </cell>
          <cell r="D653">
            <v>1</v>
          </cell>
          <cell r="E653">
            <v>0</v>
          </cell>
        </row>
        <row r="654">
          <cell r="A654" t="str">
            <v>B075QFJGTB</v>
          </cell>
          <cell r="B654">
            <v>2</v>
          </cell>
          <cell r="C654">
            <v>1</v>
          </cell>
          <cell r="D654">
            <v>1</v>
          </cell>
          <cell r="E654">
            <v>0</v>
          </cell>
        </row>
        <row r="655">
          <cell r="A655" t="str">
            <v>B075QFRYJF</v>
          </cell>
          <cell r="B655">
            <v>0</v>
          </cell>
          <cell r="C655">
            <v>1</v>
          </cell>
          <cell r="D655">
            <v>1</v>
          </cell>
          <cell r="E655">
            <v>0</v>
          </cell>
        </row>
        <row r="656">
          <cell r="A656" t="str">
            <v>B075QFSJCK</v>
          </cell>
          <cell r="B656">
            <v>0</v>
          </cell>
          <cell r="C656">
            <v>1</v>
          </cell>
          <cell r="D656">
            <v>1</v>
          </cell>
          <cell r="E656">
            <v>0</v>
          </cell>
        </row>
        <row r="657">
          <cell r="A657" t="str">
            <v>B075QFT2HP</v>
          </cell>
          <cell r="B657">
            <v>0</v>
          </cell>
          <cell r="C657">
            <v>1</v>
          </cell>
          <cell r="D657">
            <v>1</v>
          </cell>
          <cell r="E657">
            <v>0</v>
          </cell>
        </row>
        <row r="658">
          <cell r="A658" t="str">
            <v>B075QFVY82</v>
          </cell>
          <cell r="B658">
            <v>0</v>
          </cell>
          <cell r="C658">
            <v>1</v>
          </cell>
          <cell r="D658">
            <v>1</v>
          </cell>
          <cell r="E658">
            <v>0</v>
          </cell>
        </row>
        <row r="659">
          <cell r="A659" t="str">
            <v>B075QG2WMH</v>
          </cell>
          <cell r="B659">
            <v>2</v>
          </cell>
          <cell r="C659">
            <v>1</v>
          </cell>
          <cell r="D659">
            <v>1</v>
          </cell>
          <cell r="E659">
            <v>0</v>
          </cell>
        </row>
        <row r="660">
          <cell r="A660" t="str">
            <v>B075QG34Q6</v>
          </cell>
          <cell r="B660">
            <v>1</v>
          </cell>
          <cell r="C660">
            <v>2</v>
          </cell>
          <cell r="D660">
            <v>2</v>
          </cell>
          <cell r="E660">
            <v>0</v>
          </cell>
        </row>
        <row r="661">
          <cell r="A661" t="str">
            <v>B075QG43N6</v>
          </cell>
          <cell r="B661">
            <v>1</v>
          </cell>
          <cell r="C661">
            <v>3</v>
          </cell>
          <cell r="D661">
            <v>3</v>
          </cell>
          <cell r="E661">
            <v>0</v>
          </cell>
        </row>
        <row r="662">
          <cell r="A662" t="str">
            <v>B075QG74LG</v>
          </cell>
          <cell r="B662">
            <v>3</v>
          </cell>
          <cell r="C662">
            <v>2</v>
          </cell>
          <cell r="D662">
            <v>2</v>
          </cell>
          <cell r="E662">
            <v>0</v>
          </cell>
        </row>
        <row r="663">
          <cell r="A663" t="str">
            <v>B075QG9LYC</v>
          </cell>
          <cell r="B663">
            <v>2</v>
          </cell>
          <cell r="C663">
            <v>0</v>
          </cell>
          <cell r="D663">
            <v>0</v>
          </cell>
          <cell r="E663">
            <v>0</v>
          </cell>
        </row>
        <row r="664">
          <cell r="A664" t="str">
            <v>B075QGJ6CW</v>
          </cell>
          <cell r="B664">
            <v>1</v>
          </cell>
          <cell r="C664">
            <v>1</v>
          </cell>
          <cell r="D664">
            <v>1</v>
          </cell>
          <cell r="E664">
            <v>0</v>
          </cell>
        </row>
        <row r="665">
          <cell r="A665" t="str">
            <v>B075SCX9V6</v>
          </cell>
          <cell r="B665">
            <v>2</v>
          </cell>
          <cell r="C665">
            <v>2</v>
          </cell>
          <cell r="D665">
            <v>2</v>
          </cell>
          <cell r="E665">
            <v>0</v>
          </cell>
        </row>
        <row r="666">
          <cell r="A666" t="str">
            <v>B075ZQDPWY</v>
          </cell>
          <cell r="B666">
            <v>3</v>
          </cell>
          <cell r="C666">
            <v>1</v>
          </cell>
          <cell r="D666">
            <v>1</v>
          </cell>
          <cell r="E666">
            <v>0</v>
          </cell>
        </row>
        <row r="667">
          <cell r="A667" t="str">
            <v>B075ZQJC1P</v>
          </cell>
          <cell r="B667">
            <v>2</v>
          </cell>
          <cell r="C667">
            <v>1</v>
          </cell>
          <cell r="D667">
            <v>1</v>
          </cell>
          <cell r="E667">
            <v>0</v>
          </cell>
        </row>
        <row r="668">
          <cell r="A668" t="str">
            <v>B075ZR64XY</v>
          </cell>
          <cell r="B668">
            <v>1</v>
          </cell>
          <cell r="C668">
            <v>1</v>
          </cell>
          <cell r="D668">
            <v>1</v>
          </cell>
          <cell r="E668">
            <v>0</v>
          </cell>
        </row>
        <row r="669">
          <cell r="A669" t="str">
            <v>B077782WBB</v>
          </cell>
          <cell r="B669">
            <v>2</v>
          </cell>
          <cell r="C669">
            <v>1</v>
          </cell>
          <cell r="D669">
            <v>1</v>
          </cell>
          <cell r="E669">
            <v>0</v>
          </cell>
        </row>
        <row r="670">
          <cell r="A670" t="str">
            <v>B07778JRS9</v>
          </cell>
          <cell r="B670">
            <v>3</v>
          </cell>
          <cell r="C670">
            <v>3</v>
          </cell>
          <cell r="D670">
            <v>3</v>
          </cell>
          <cell r="E670">
            <v>0</v>
          </cell>
        </row>
        <row r="671">
          <cell r="A671" t="str">
            <v>B0777DP49T</v>
          </cell>
          <cell r="B671">
            <v>3</v>
          </cell>
          <cell r="C671">
            <v>2</v>
          </cell>
          <cell r="D671">
            <v>2</v>
          </cell>
          <cell r="E671">
            <v>0</v>
          </cell>
        </row>
        <row r="672">
          <cell r="A672" t="str">
            <v>B0777F354Z</v>
          </cell>
          <cell r="B672">
            <v>4</v>
          </cell>
          <cell r="C672">
            <v>1</v>
          </cell>
          <cell r="D672">
            <v>1</v>
          </cell>
          <cell r="E672">
            <v>0</v>
          </cell>
        </row>
        <row r="673">
          <cell r="A673" t="str">
            <v>B0777F7ZK9</v>
          </cell>
          <cell r="B673">
            <v>4</v>
          </cell>
          <cell r="C673">
            <v>1</v>
          </cell>
          <cell r="D673">
            <v>1</v>
          </cell>
          <cell r="E673">
            <v>0</v>
          </cell>
        </row>
        <row r="674">
          <cell r="A674" t="str">
            <v>B0777GWBGY</v>
          </cell>
          <cell r="B674">
            <v>0</v>
          </cell>
          <cell r="C674">
            <v>1</v>
          </cell>
          <cell r="D674">
            <v>1</v>
          </cell>
          <cell r="E674">
            <v>0</v>
          </cell>
        </row>
        <row r="675">
          <cell r="A675" t="str">
            <v>B0777GWWNL</v>
          </cell>
          <cell r="B675">
            <v>1</v>
          </cell>
          <cell r="C675">
            <v>1</v>
          </cell>
          <cell r="D675">
            <v>1</v>
          </cell>
          <cell r="E675">
            <v>0</v>
          </cell>
        </row>
        <row r="676">
          <cell r="A676" t="str">
            <v>B0777JDLP8</v>
          </cell>
          <cell r="B676">
            <v>0</v>
          </cell>
          <cell r="C676">
            <v>2</v>
          </cell>
          <cell r="D676">
            <v>2</v>
          </cell>
          <cell r="E676">
            <v>0</v>
          </cell>
        </row>
        <row r="677">
          <cell r="A677" t="str">
            <v>B0777JDW3Z</v>
          </cell>
          <cell r="B677">
            <v>0</v>
          </cell>
          <cell r="C677">
            <v>2</v>
          </cell>
          <cell r="D677">
            <v>2</v>
          </cell>
          <cell r="E677">
            <v>0</v>
          </cell>
        </row>
        <row r="678">
          <cell r="A678" t="str">
            <v>B0777JL61C</v>
          </cell>
          <cell r="B678">
            <v>0</v>
          </cell>
          <cell r="C678">
            <v>1</v>
          </cell>
          <cell r="D678">
            <v>1</v>
          </cell>
          <cell r="E678">
            <v>0</v>
          </cell>
        </row>
        <row r="679">
          <cell r="A679" t="str">
            <v>B0777KRF6G</v>
          </cell>
          <cell r="B679">
            <v>2</v>
          </cell>
          <cell r="C679">
            <v>1</v>
          </cell>
          <cell r="D679">
            <v>1</v>
          </cell>
          <cell r="E679">
            <v>0</v>
          </cell>
        </row>
        <row r="680">
          <cell r="A680" t="str">
            <v>B0777KY2MV</v>
          </cell>
          <cell r="B680">
            <v>4</v>
          </cell>
          <cell r="C680">
            <v>1</v>
          </cell>
          <cell r="D680">
            <v>1</v>
          </cell>
          <cell r="E680">
            <v>0</v>
          </cell>
        </row>
        <row r="681">
          <cell r="A681" t="str">
            <v>B0777L24S5</v>
          </cell>
          <cell r="B681">
            <v>3</v>
          </cell>
          <cell r="C681">
            <v>2</v>
          </cell>
          <cell r="D681">
            <v>2</v>
          </cell>
          <cell r="E681">
            <v>0</v>
          </cell>
        </row>
        <row r="682">
          <cell r="A682" t="str">
            <v>B0777LB6ZK</v>
          </cell>
          <cell r="B682">
            <v>3</v>
          </cell>
          <cell r="C682">
            <v>3</v>
          </cell>
          <cell r="D682">
            <v>3</v>
          </cell>
          <cell r="E682">
            <v>0</v>
          </cell>
        </row>
        <row r="683">
          <cell r="A683" t="str">
            <v>B077GRQ13K</v>
          </cell>
          <cell r="B683">
            <v>2</v>
          </cell>
          <cell r="C683">
            <v>1</v>
          </cell>
          <cell r="D683">
            <v>1</v>
          </cell>
          <cell r="E683">
            <v>0</v>
          </cell>
        </row>
        <row r="684">
          <cell r="A684" t="str">
            <v>B0789FVCFX</v>
          </cell>
          <cell r="B684">
            <v>1</v>
          </cell>
          <cell r="C684">
            <v>1</v>
          </cell>
          <cell r="D684">
            <v>1</v>
          </cell>
          <cell r="E684">
            <v>0</v>
          </cell>
        </row>
        <row r="685">
          <cell r="A685" t="str">
            <v>B0789G37HF</v>
          </cell>
          <cell r="B685">
            <v>1</v>
          </cell>
          <cell r="C685">
            <v>1</v>
          </cell>
          <cell r="D685">
            <v>1</v>
          </cell>
          <cell r="E685">
            <v>0</v>
          </cell>
        </row>
        <row r="686">
          <cell r="A686" t="str">
            <v>B0789HNYYF</v>
          </cell>
          <cell r="B686">
            <v>4</v>
          </cell>
          <cell r="C686">
            <v>1</v>
          </cell>
          <cell r="D686">
            <v>1</v>
          </cell>
          <cell r="E686">
            <v>0</v>
          </cell>
        </row>
        <row r="687">
          <cell r="A687" t="str">
            <v>B078MK5YDJ</v>
          </cell>
          <cell r="B687">
            <v>1</v>
          </cell>
          <cell r="C687">
            <v>17</v>
          </cell>
          <cell r="D687">
            <v>17</v>
          </cell>
          <cell r="E687">
            <v>0</v>
          </cell>
        </row>
        <row r="688">
          <cell r="A688" t="str">
            <v>B078S7DMW1</v>
          </cell>
          <cell r="B688">
            <v>4</v>
          </cell>
          <cell r="C688">
            <v>1</v>
          </cell>
          <cell r="D688">
            <v>1</v>
          </cell>
          <cell r="E688">
            <v>0</v>
          </cell>
        </row>
        <row r="689">
          <cell r="A689" t="str">
            <v>B07C2ZZPZ6</v>
          </cell>
          <cell r="B689">
            <v>12</v>
          </cell>
          <cell r="C689">
            <v>5</v>
          </cell>
          <cell r="D689">
            <v>5</v>
          </cell>
          <cell r="E689">
            <v>0</v>
          </cell>
        </row>
        <row r="690">
          <cell r="A690" t="str">
            <v>B07DNWTWYZ</v>
          </cell>
          <cell r="B690">
            <v>32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B0792SSMZK</v>
          </cell>
          <cell r="B691">
            <v>38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B07DNXGR2H</v>
          </cell>
          <cell r="B692">
            <v>16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B07DNXW5SB</v>
          </cell>
          <cell r="B693">
            <v>37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B0792TD85L</v>
          </cell>
          <cell r="B694">
            <v>15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B073XH5FBN</v>
          </cell>
          <cell r="B695">
            <v>12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B07DNX562P</v>
          </cell>
          <cell r="B696">
            <v>24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B01GJPBP4E</v>
          </cell>
          <cell r="B697">
            <v>9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B01M24M2ND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B0716XWMWZ</v>
          </cell>
          <cell r="B699">
            <v>4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B071G5K8VC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B074N2S5HM</v>
          </cell>
          <cell r="B701">
            <v>28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B01GFMMFGS</v>
          </cell>
          <cell r="B702">
            <v>1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B01H6DX9LA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B01H6DXBBS</v>
          </cell>
          <cell r="B704">
            <v>2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B01H6DXCVW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</row>
        <row r="706">
          <cell r="A706" t="str">
            <v>B01H6DXDIO</v>
          </cell>
          <cell r="B706">
            <v>2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B01JZ1FYEQ</v>
          </cell>
          <cell r="B707">
            <v>1</v>
          </cell>
          <cell r="C707">
            <v>0</v>
          </cell>
          <cell r="D707">
            <v>0</v>
          </cell>
          <cell r="E707">
            <v>0</v>
          </cell>
        </row>
        <row r="708">
          <cell r="A708" t="str">
            <v>B01LASSISG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</row>
        <row r="709">
          <cell r="A709" t="str">
            <v>B01LWI564H</v>
          </cell>
          <cell r="B709">
            <v>4</v>
          </cell>
          <cell r="C709">
            <v>0</v>
          </cell>
          <cell r="D709">
            <v>0</v>
          </cell>
          <cell r="E709">
            <v>0</v>
          </cell>
        </row>
        <row r="710">
          <cell r="A710" t="str">
            <v>B01LWRZHVZ</v>
          </cell>
          <cell r="B710">
            <v>2</v>
          </cell>
          <cell r="C710">
            <v>0</v>
          </cell>
          <cell r="D710">
            <v>0</v>
          </cell>
          <cell r="E710">
            <v>0</v>
          </cell>
        </row>
        <row r="711">
          <cell r="A711" t="str">
            <v>B01LXHBU2Q</v>
          </cell>
          <cell r="B711">
            <v>2</v>
          </cell>
          <cell r="C711">
            <v>0</v>
          </cell>
          <cell r="D711">
            <v>0</v>
          </cell>
          <cell r="E711">
            <v>0</v>
          </cell>
        </row>
        <row r="712">
          <cell r="A712" t="str">
            <v>B01M3V96EA</v>
          </cell>
          <cell r="B712">
            <v>4</v>
          </cell>
          <cell r="C712">
            <v>0</v>
          </cell>
          <cell r="D712">
            <v>0</v>
          </cell>
          <cell r="E712">
            <v>0</v>
          </cell>
        </row>
        <row r="713">
          <cell r="A713" t="str">
            <v>B01M5IXS33</v>
          </cell>
          <cell r="B713">
            <v>2</v>
          </cell>
          <cell r="C713">
            <v>0</v>
          </cell>
          <cell r="D713">
            <v>0</v>
          </cell>
          <cell r="E713">
            <v>0</v>
          </cell>
        </row>
        <row r="714">
          <cell r="A714" t="str">
            <v>B01M9G5R04</v>
          </cell>
          <cell r="B714">
            <v>3</v>
          </cell>
          <cell r="C714">
            <v>0</v>
          </cell>
          <cell r="D714">
            <v>0</v>
          </cell>
          <cell r="E714">
            <v>0</v>
          </cell>
        </row>
        <row r="715">
          <cell r="A715" t="str">
            <v>B01MEG45FE</v>
          </cell>
          <cell r="B715">
            <v>1</v>
          </cell>
          <cell r="C715">
            <v>0</v>
          </cell>
          <cell r="D715">
            <v>0</v>
          </cell>
          <cell r="E715">
            <v>0</v>
          </cell>
        </row>
        <row r="716">
          <cell r="A716" t="str">
            <v>B01MS4OP3B</v>
          </cell>
          <cell r="B716">
            <v>2</v>
          </cell>
          <cell r="C716">
            <v>0</v>
          </cell>
          <cell r="D716">
            <v>0</v>
          </cell>
          <cell r="E716">
            <v>0</v>
          </cell>
        </row>
        <row r="717">
          <cell r="A717" t="str">
            <v>B01MY7KV6H</v>
          </cell>
          <cell r="B717">
            <v>3</v>
          </cell>
          <cell r="C717">
            <v>0</v>
          </cell>
          <cell r="D717">
            <v>0</v>
          </cell>
          <cell r="E717">
            <v>0</v>
          </cell>
        </row>
        <row r="718">
          <cell r="A718" t="str">
            <v>B01MZ72B1Y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B01MZ93SA6</v>
          </cell>
          <cell r="B719">
            <v>2</v>
          </cell>
          <cell r="C719">
            <v>0</v>
          </cell>
          <cell r="D719">
            <v>0</v>
          </cell>
          <cell r="E719">
            <v>0</v>
          </cell>
        </row>
        <row r="720">
          <cell r="A720" t="str">
            <v>B06X9S3MYB</v>
          </cell>
          <cell r="B720">
            <v>2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B06XSSG9RZ</v>
          </cell>
          <cell r="B721">
            <v>3</v>
          </cell>
          <cell r="C721">
            <v>0</v>
          </cell>
          <cell r="D721">
            <v>0</v>
          </cell>
          <cell r="E721">
            <v>0</v>
          </cell>
        </row>
        <row r="722">
          <cell r="A722" t="str">
            <v>B06XSWPWK4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</row>
        <row r="723">
          <cell r="A723" t="str">
            <v>B06XSZDDYQ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</row>
        <row r="724">
          <cell r="A724" t="str">
            <v>B06XYHXMWL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B06XYL2F6S</v>
          </cell>
          <cell r="B725">
            <v>3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B06ZY75RWB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</row>
        <row r="727">
          <cell r="A727" t="str">
            <v>B071GYJZHG</v>
          </cell>
          <cell r="B727">
            <v>3</v>
          </cell>
          <cell r="C727">
            <v>0</v>
          </cell>
          <cell r="D727">
            <v>0</v>
          </cell>
          <cell r="E727">
            <v>0</v>
          </cell>
        </row>
        <row r="728">
          <cell r="A728" t="str">
            <v>B071VS5T89</v>
          </cell>
          <cell r="B728">
            <v>3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B071X8Z4K4</v>
          </cell>
          <cell r="B729">
            <v>1</v>
          </cell>
          <cell r="C729">
            <v>0</v>
          </cell>
          <cell r="D729">
            <v>0</v>
          </cell>
          <cell r="E729">
            <v>0</v>
          </cell>
        </row>
        <row r="730">
          <cell r="A730" t="str">
            <v>B071X8ZZVZ</v>
          </cell>
          <cell r="B730">
            <v>3</v>
          </cell>
          <cell r="C730">
            <v>0</v>
          </cell>
          <cell r="D730">
            <v>0</v>
          </cell>
          <cell r="E730">
            <v>0</v>
          </cell>
        </row>
        <row r="731">
          <cell r="A731" t="str">
            <v>B071XHPGKM</v>
          </cell>
          <cell r="B731">
            <v>2</v>
          </cell>
          <cell r="C731">
            <v>0</v>
          </cell>
          <cell r="D731">
            <v>0</v>
          </cell>
          <cell r="E731">
            <v>0</v>
          </cell>
        </row>
        <row r="732">
          <cell r="A732" t="str">
            <v>B07229CYMB</v>
          </cell>
          <cell r="B732">
            <v>2</v>
          </cell>
          <cell r="C732">
            <v>0</v>
          </cell>
          <cell r="D732">
            <v>0</v>
          </cell>
          <cell r="E732">
            <v>0</v>
          </cell>
        </row>
        <row r="733">
          <cell r="A733" t="str">
            <v>B072M4H5V5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</row>
        <row r="734">
          <cell r="A734" t="str">
            <v>B072XBZ442</v>
          </cell>
          <cell r="B734">
            <v>3</v>
          </cell>
          <cell r="C734">
            <v>0</v>
          </cell>
          <cell r="D734">
            <v>0</v>
          </cell>
          <cell r="E734">
            <v>0</v>
          </cell>
        </row>
        <row r="735">
          <cell r="A735" t="str">
            <v>B07311BK1Z</v>
          </cell>
          <cell r="B735">
            <v>3</v>
          </cell>
          <cell r="C735">
            <v>0</v>
          </cell>
          <cell r="D735">
            <v>0</v>
          </cell>
          <cell r="E735">
            <v>0</v>
          </cell>
        </row>
        <row r="736">
          <cell r="A736" t="str">
            <v>B07311V9HP</v>
          </cell>
          <cell r="B736">
            <v>2</v>
          </cell>
          <cell r="C736">
            <v>0</v>
          </cell>
          <cell r="D736">
            <v>0</v>
          </cell>
          <cell r="E736">
            <v>0</v>
          </cell>
        </row>
        <row r="737">
          <cell r="A737" t="str">
            <v>B07317KJJ6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</row>
        <row r="738">
          <cell r="A738" t="str">
            <v>B073GQGSQ7</v>
          </cell>
          <cell r="B738">
            <v>3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B0749GG9C5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B074PS35PF</v>
          </cell>
          <cell r="B740">
            <v>3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B0759HJLBJ</v>
          </cell>
          <cell r="B741">
            <v>1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B075DTZMV1</v>
          </cell>
          <cell r="B742">
            <v>1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B075DX6NTH</v>
          </cell>
          <cell r="B743">
            <v>3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B075DZZT79</v>
          </cell>
          <cell r="B744">
            <v>1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B075FRZ79M</v>
          </cell>
          <cell r="B745">
            <v>2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B075QFKN44</v>
          </cell>
          <cell r="B746">
            <v>1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B075QFX5T8</v>
          </cell>
          <cell r="B747">
            <v>3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B075QG2WMF</v>
          </cell>
          <cell r="B748">
            <v>2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B075S6T35L</v>
          </cell>
          <cell r="B749">
            <v>2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B075ZQJC1K</v>
          </cell>
          <cell r="B750">
            <v>4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B075ZQJC1V</v>
          </cell>
          <cell r="B751">
            <v>2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B075ZZXCGZ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B0777CQWCV</v>
          </cell>
          <cell r="B753">
            <v>2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B0777DPRZ8</v>
          </cell>
          <cell r="B754">
            <v>2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B0777DQV5G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B0777F31HR</v>
          </cell>
          <cell r="B756">
            <v>3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B0777FB3HW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B0777FB3HX</v>
          </cell>
          <cell r="B758">
            <v>2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B0777FCWN1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B0777FG5F3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B0777GVVG3</v>
          </cell>
          <cell r="B761">
            <v>2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B0777H6HZP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B0777JXDMP</v>
          </cell>
          <cell r="B763">
            <v>1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B0777K2GXR</v>
          </cell>
          <cell r="B764">
            <v>3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B0789GWZ7R</v>
          </cell>
          <cell r="B765">
            <v>2</v>
          </cell>
          <cell r="C765">
            <v>0</v>
          </cell>
          <cell r="D765">
            <v>0</v>
          </cell>
          <cell r="E76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1033.59</v>
          </cell>
        </row>
        <row r="3">
          <cell r="G3">
            <v>1122.3</v>
          </cell>
        </row>
        <row r="3">
          <cell r="J3">
            <v>1237.2</v>
          </cell>
        </row>
        <row r="3">
          <cell r="M3">
            <v>1343.83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38</v>
          </cell>
          <cell r="F4">
            <v>2</v>
          </cell>
          <cell r="G4">
            <v>0.25</v>
          </cell>
          <cell r="H4">
            <v>0</v>
          </cell>
          <cell r="I4">
            <v>0</v>
          </cell>
          <cell r="J4">
            <v>0</v>
          </cell>
          <cell r="K4">
            <v>133</v>
          </cell>
          <cell r="L4">
            <v>2</v>
          </cell>
          <cell r="M4">
            <v>0.27</v>
          </cell>
        </row>
        <row r="5">
          <cell r="A5" t="str">
            <v>LYQ-HM1205-KH-S</v>
          </cell>
          <cell r="B5">
            <v>398</v>
          </cell>
          <cell r="C5">
            <v>1</v>
          </cell>
          <cell r="D5">
            <v>0.04</v>
          </cell>
          <cell r="E5">
            <v>462</v>
          </cell>
          <cell r="F5">
            <v>0</v>
          </cell>
          <cell r="G5">
            <v>0</v>
          </cell>
          <cell r="H5">
            <v>374</v>
          </cell>
          <cell r="I5">
            <v>4</v>
          </cell>
          <cell r="J5">
            <v>0.61</v>
          </cell>
          <cell r="K5">
            <v>550</v>
          </cell>
          <cell r="L5">
            <v>3</v>
          </cell>
          <cell r="M5">
            <v>0.41</v>
          </cell>
        </row>
        <row r="6">
          <cell r="A6" t="str">
            <v>YZ-HM1727-Pi-L</v>
          </cell>
          <cell r="B6">
            <v>28051</v>
          </cell>
          <cell r="C6">
            <v>199</v>
          </cell>
          <cell r="D6">
            <v>75.07</v>
          </cell>
          <cell r="E6">
            <v>25171</v>
          </cell>
          <cell r="F6">
            <v>231</v>
          </cell>
          <cell r="G6">
            <v>85.93</v>
          </cell>
          <cell r="H6">
            <v>43080</v>
          </cell>
          <cell r="I6">
            <v>319</v>
          </cell>
          <cell r="J6">
            <v>112.89</v>
          </cell>
          <cell r="K6">
            <v>47602</v>
          </cell>
          <cell r="L6">
            <v>313</v>
          </cell>
          <cell r="M6">
            <v>108.57</v>
          </cell>
        </row>
        <row r="7">
          <cell r="A7" t="str">
            <v>YZ-HM1727-Pi-M</v>
          </cell>
          <cell r="B7">
            <v>81718</v>
          </cell>
          <cell r="C7">
            <v>701</v>
          </cell>
          <cell r="D7">
            <v>236.72</v>
          </cell>
          <cell r="E7">
            <v>63783</v>
          </cell>
          <cell r="F7">
            <v>543</v>
          </cell>
          <cell r="G7">
            <v>194.34</v>
          </cell>
          <cell r="H7">
            <v>55351</v>
          </cell>
          <cell r="I7">
            <v>451</v>
          </cell>
          <cell r="J7">
            <v>172.65</v>
          </cell>
          <cell r="K7">
            <v>72547</v>
          </cell>
          <cell r="L7">
            <v>459</v>
          </cell>
          <cell r="M7">
            <v>165.12</v>
          </cell>
        </row>
        <row r="8">
          <cell r="A8" t="str">
            <v>YZ-HM1727-Pi-S</v>
          </cell>
          <cell r="B8">
            <v>33764</v>
          </cell>
          <cell r="C8">
            <v>442</v>
          </cell>
          <cell r="D8">
            <v>178.71</v>
          </cell>
          <cell r="E8">
            <v>38808</v>
          </cell>
          <cell r="F8">
            <v>385</v>
          </cell>
          <cell r="G8">
            <v>157.42</v>
          </cell>
          <cell r="H8">
            <v>40404</v>
          </cell>
          <cell r="I8">
            <v>210</v>
          </cell>
          <cell r="J8">
            <v>86.34</v>
          </cell>
          <cell r="K8">
            <v>44599</v>
          </cell>
          <cell r="L8">
            <v>232</v>
          </cell>
          <cell r="M8">
            <v>92.32</v>
          </cell>
        </row>
        <row r="9">
          <cell r="A9" t="str">
            <v>YZ-HM1727-Pi-XL</v>
          </cell>
          <cell r="B9">
            <v>12914</v>
          </cell>
          <cell r="C9">
            <v>76</v>
          </cell>
          <cell r="D9">
            <v>25.39</v>
          </cell>
          <cell r="E9">
            <v>6689</v>
          </cell>
          <cell r="F9">
            <v>59</v>
          </cell>
          <cell r="G9">
            <v>18.2</v>
          </cell>
          <cell r="H9">
            <v>13000</v>
          </cell>
          <cell r="I9">
            <v>75</v>
          </cell>
          <cell r="J9">
            <v>24.56</v>
          </cell>
          <cell r="K9">
            <v>11597</v>
          </cell>
          <cell r="L9">
            <v>62</v>
          </cell>
          <cell r="M9">
            <v>20.51</v>
          </cell>
        </row>
        <row r="10">
          <cell r="A10" t="str">
            <v>YZ-ZQBL03-K0-L</v>
          </cell>
          <cell r="B10">
            <v>18222</v>
          </cell>
          <cell r="C10">
            <v>161</v>
          </cell>
          <cell r="D10">
            <v>35.17</v>
          </cell>
          <cell r="E10">
            <v>43380</v>
          </cell>
          <cell r="F10">
            <v>264</v>
          </cell>
          <cell r="G10">
            <v>56.02</v>
          </cell>
          <cell r="H10">
            <v>112649</v>
          </cell>
          <cell r="I10">
            <v>573</v>
          </cell>
          <cell r="J10">
            <v>122.59</v>
          </cell>
          <cell r="K10">
            <v>127229</v>
          </cell>
          <cell r="L10">
            <v>587</v>
          </cell>
          <cell r="M10">
            <v>127.25</v>
          </cell>
        </row>
        <row r="11">
          <cell r="A11" t="str">
            <v>YZ-ZQBL03-K0-M</v>
          </cell>
          <cell r="B11">
            <v>3928</v>
          </cell>
          <cell r="C11">
            <v>92</v>
          </cell>
          <cell r="D11">
            <v>23.45</v>
          </cell>
          <cell r="E11">
            <v>13686</v>
          </cell>
          <cell r="F11">
            <v>68</v>
          </cell>
          <cell r="G11">
            <v>15.47</v>
          </cell>
          <cell r="H11">
            <v>32452</v>
          </cell>
          <cell r="I11">
            <v>158</v>
          </cell>
          <cell r="J11">
            <v>39.73</v>
          </cell>
          <cell r="K11">
            <v>39837</v>
          </cell>
          <cell r="L11">
            <v>151</v>
          </cell>
          <cell r="M11">
            <v>34.96</v>
          </cell>
        </row>
        <row r="12">
          <cell r="A12" t="str">
            <v>YZ-ZQ15827B02XL</v>
          </cell>
          <cell r="B12">
            <v>64</v>
          </cell>
          <cell r="C12">
            <v>0</v>
          </cell>
          <cell r="D12">
            <v>0</v>
          </cell>
          <cell r="E12">
            <v>99</v>
          </cell>
          <cell r="F12">
            <v>3</v>
          </cell>
          <cell r="G12">
            <v>0.3</v>
          </cell>
          <cell r="H12">
            <v>80</v>
          </cell>
          <cell r="I12">
            <v>2</v>
          </cell>
          <cell r="J12">
            <v>0.2</v>
          </cell>
          <cell r="K12">
            <v>132</v>
          </cell>
          <cell r="L12">
            <v>5</v>
          </cell>
          <cell r="M12">
            <v>0.46</v>
          </cell>
        </row>
        <row r="13">
          <cell r="A13" t="str">
            <v>YZ-ZQ15827R2L</v>
          </cell>
          <cell r="B13">
            <v>9</v>
          </cell>
          <cell r="C13">
            <v>0</v>
          </cell>
          <cell r="D13">
            <v>0</v>
          </cell>
          <cell r="E13">
            <v>16</v>
          </cell>
          <cell r="F13">
            <v>0</v>
          </cell>
          <cell r="G13">
            <v>0</v>
          </cell>
          <cell r="H13">
            <v>49</v>
          </cell>
          <cell r="I13">
            <v>0</v>
          </cell>
          <cell r="J13">
            <v>0</v>
          </cell>
          <cell r="K13">
            <v>86</v>
          </cell>
          <cell r="L13">
            <v>1</v>
          </cell>
          <cell r="M13">
            <v>0.04</v>
          </cell>
        </row>
        <row r="14">
          <cell r="A14" t="str">
            <v>YZ-HM17845-YH-L</v>
          </cell>
          <cell r="B14">
            <v>1</v>
          </cell>
          <cell r="C14">
            <v>0</v>
          </cell>
          <cell r="D14">
            <v>0</v>
          </cell>
          <cell r="E14">
            <v>216</v>
          </cell>
          <cell r="F14">
            <v>5</v>
          </cell>
          <cell r="G14">
            <v>1.19</v>
          </cell>
          <cell r="H14">
            <v>3003</v>
          </cell>
          <cell r="I14">
            <v>15</v>
          </cell>
          <cell r="J14">
            <v>3.28</v>
          </cell>
          <cell r="K14">
            <v>1850</v>
          </cell>
          <cell r="L14">
            <v>4</v>
          </cell>
          <cell r="M14">
            <v>0.79</v>
          </cell>
        </row>
        <row r="15">
          <cell r="A15" t="str">
            <v>YZ-HM17845-YH-M</v>
          </cell>
          <cell r="B15">
            <v>0</v>
          </cell>
          <cell r="C15">
            <v>0</v>
          </cell>
          <cell r="D15">
            <v>0</v>
          </cell>
          <cell r="E15">
            <v>387</v>
          </cell>
          <cell r="F15">
            <v>8</v>
          </cell>
          <cell r="G15">
            <v>1.77</v>
          </cell>
          <cell r="H15">
            <v>2510</v>
          </cell>
          <cell r="I15">
            <v>36</v>
          </cell>
          <cell r="J15">
            <v>8.71</v>
          </cell>
          <cell r="K15">
            <v>1587</v>
          </cell>
          <cell r="L15">
            <v>30</v>
          </cell>
          <cell r="M15">
            <v>7.2</v>
          </cell>
        </row>
        <row r="16">
          <cell r="A16" t="str">
            <v>YZ-ZQ112B0XL</v>
          </cell>
          <cell r="B16">
            <v>484</v>
          </cell>
          <cell r="C16">
            <v>5</v>
          </cell>
          <cell r="D16">
            <v>0.68</v>
          </cell>
          <cell r="E16">
            <v>2883</v>
          </cell>
          <cell r="F16">
            <v>43</v>
          </cell>
          <cell r="G16">
            <v>7.66</v>
          </cell>
          <cell r="H16">
            <v>9196</v>
          </cell>
          <cell r="I16">
            <v>56</v>
          </cell>
          <cell r="J16">
            <v>10.4</v>
          </cell>
          <cell r="K16">
            <v>9956</v>
          </cell>
          <cell r="L16">
            <v>43</v>
          </cell>
          <cell r="M16">
            <v>8.51</v>
          </cell>
        </row>
        <row r="17">
          <cell r="A17" t="str">
            <v>YZ-ZQ1521BF2XL</v>
          </cell>
          <cell r="B17">
            <v>6930</v>
          </cell>
          <cell r="C17">
            <v>45</v>
          </cell>
          <cell r="D17">
            <v>12.1</v>
          </cell>
          <cell r="E17">
            <v>3268</v>
          </cell>
          <cell r="F17">
            <v>19</v>
          </cell>
          <cell r="G17">
            <v>5.1</v>
          </cell>
          <cell r="H17">
            <v>2540</v>
          </cell>
          <cell r="I17">
            <v>12</v>
          </cell>
          <cell r="J17">
            <v>3.61</v>
          </cell>
          <cell r="K17">
            <v>1326</v>
          </cell>
          <cell r="L17">
            <v>6</v>
          </cell>
          <cell r="M17">
            <v>1.61</v>
          </cell>
        </row>
        <row r="18">
          <cell r="A18" t="str">
            <v>YZ-ZQ1521GF5XL</v>
          </cell>
          <cell r="B18">
            <v>41290</v>
          </cell>
          <cell r="C18">
            <v>143</v>
          </cell>
          <cell r="D18">
            <v>39.63</v>
          </cell>
          <cell r="E18">
            <v>18068</v>
          </cell>
          <cell r="F18">
            <v>85</v>
          </cell>
          <cell r="G18">
            <v>23.94</v>
          </cell>
          <cell r="H18">
            <v>9172</v>
          </cell>
          <cell r="I18">
            <v>20</v>
          </cell>
          <cell r="J18">
            <v>6.75</v>
          </cell>
          <cell r="K18">
            <v>87780</v>
          </cell>
          <cell r="L18">
            <v>111</v>
          </cell>
          <cell r="M18">
            <v>36.4</v>
          </cell>
        </row>
        <row r="19">
          <cell r="A19" t="str">
            <v>YZ-ZQ1521KFXL</v>
          </cell>
          <cell r="B19">
            <v>26445</v>
          </cell>
          <cell r="C19">
            <v>130</v>
          </cell>
          <cell r="D19">
            <v>35.37</v>
          </cell>
          <cell r="E19">
            <v>39141</v>
          </cell>
          <cell r="F19">
            <v>135</v>
          </cell>
          <cell r="G19">
            <v>39.98</v>
          </cell>
          <cell r="H19">
            <v>40920</v>
          </cell>
          <cell r="I19">
            <v>130</v>
          </cell>
          <cell r="J19">
            <v>44.5</v>
          </cell>
          <cell r="K19">
            <v>26812</v>
          </cell>
          <cell r="L19">
            <v>80</v>
          </cell>
          <cell r="M19">
            <v>28.45</v>
          </cell>
        </row>
        <row r="20">
          <cell r="A20" t="str">
            <v>YZ-HM111-B0-L</v>
          </cell>
          <cell r="B20">
            <v>5959</v>
          </cell>
          <cell r="C20">
            <v>21</v>
          </cell>
          <cell r="D20">
            <v>6.84</v>
          </cell>
          <cell r="E20">
            <v>4139</v>
          </cell>
          <cell r="F20">
            <v>41</v>
          </cell>
          <cell r="G20">
            <v>14.38</v>
          </cell>
          <cell r="H20">
            <v>4784</v>
          </cell>
          <cell r="I20">
            <v>38</v>
          </cell>
          <cell r="J20">
            <v>13.38</v>
          </cell>
          <cell r="K20">
            <v>3267</v>
          </cell>
          <cell r="L20">
            <v>25</v>
          </cell>
          <cell r="M20">
            <v>8.66</v>
          </cell>
        </row>
        <row r="21">
          <cell r="A21" t="str">
            <v>YZ-HM111-K0-L</v>
          </cell>
          <cell r="B21">
            <v>2817</v>
          </cell>
          <cell r="C21">
            <v>29</v>
          </cell>
          <cell r="D21">
            <v>4.47</v>
          </cell>
          <cell r="E21">
            <v>10143</v>
          </cell>
          <cell r="F21">
            <v>51</v>
          </cell>
          <cell r="G21">
            <v>11.32</v>
          </cell>
          <cell r="H21">
            <v>13458</v>
          </cell>
          <cell r="I21">
            <v>61</v>
          </cell>
          <cell r="J21">
            <v>15.12</v>
          </cell>
          <cell r="K21">
            <v>26199</v>
          </cell>
          <cell r="L21">
            <v>63</v>
          </cell>
          <cell r="M21">
            <v>15.57</v>
          </cell>
        </row>
        <row r="22">
          <cell r="A22" t="str">
            <v>YZ-HM111-K0-S</v>
          </cell>
          <cell r="B22">
            <v>7719</v>
          </cell>
          <cell r="C22">
            <v>61</v>
          </cell>
          <cell r="D22">
            <v>9.81</v>
          </cell>
          <cell r="E22">
            <v>7224</v>
          </cell>
          <cell r="F22">
            <v>48</v>
          </cell>
          <cell r="G22">
            <v>9.96</v>
          </cell>
          <cell r="H22">
            <v>6014</v>
          </cell>
          <cell r="I22">
            <v>49</v>
          </cell>
          <cell r="J22">
            <v>11.34</v>
          </cell>
          <cell r="K22">
            <v>7193</v>
          </cell>
          <cell r="L22">
            <v>33</v>
          </cell>
          <cell r="M22">
            <v>8.01</v>
          </cell>
        </row>
        <row r="23">
          <cell r="A23" t="str">
            <v>YZ-HM241-K0-L</v>
          </cell>
          <cell r="B23">
            <v>20</v>
          </cell>
          <cell r="C23">
            <v>0</v>
          </cell>
          <cell r="D23">
            <v>0</v>
          </cell>
          <cell r="E23">
            <v>2</v>
          </cell>
          <cell r="F23">
            <v>0</v>
          </cell>
          <cell r="G23">
            <v>0</v>
          </cell>
          <cell r="H23">
            <v>3</v>
          </cell>
          <cell r="I23">
            <v>0</v>
          </cell>
          <cell r="J23">
            <v>0</v>
          </cell>
          <cell r="K23">
            <v>1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2</v>
          </cell>
          <cell r="C24">
            <v>0</v>
          </cell>
          <cell r="D24">
            <v>0</v>
          </cell>
          <cell r="E24">
            <v>2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3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4516</v>
          </cell>
          <cell r="F26">
            <v>14</v>
          </cell>
          <cell r="G26">
            <v>3.61</v>
          </cell>
          <cell r="H26">
            <v>0</v>
          </cell>
          <cell r="I26">
            <v>0</v>
          </cell>
          <cell r="J26">
            <v>0</v>
          </cell>
          <cell r="K26">
            <v>5994</v>
          </cell>
          <cell r="L26">
            <v>24</v>
          </cell>
          <cell r="M26">
            <v>6.46</v>
          </cell>
        </row>
        <row r="27">
          <cell r="A27" t="str">
            <v>YZ-HM1728-ZL-M</v>
          </cell>
          <cell r="B27">
            <v>133001</v>
          </cell>
          <cell r="C27">
            <v>748</v>
          </cell>
          <cell r="D27">
            <v>192.37</v>
          </cell>
          <cell r="E27">
            <v>72458</v>
          </cell>
          <cell r="F27">
            <v>440</v>
          </cell>
          <cell r="G27">
            <v>118</v>
          </cell>
          <cell r="H27">
            <v>34882</v>
          </cell>
          <cell r="I27">
            <v>227</v>
          </cell>
          <cell r="J27">
            <v>53.67</v>
          </cell>
          <cell r="K27">
            <v>73355</v>
          </cell>
          <cell r="L27">
            <v>410</v>
          </cell>
          <cell r="M27">
            <v>99.72</v>
          </cell>
        </row>
        <row r="28">
          <cell r="A28" t="str">
            <v>YZ-HMBKN16024-G0-L</v>
          </cell>
          <cell r="B28">
            <v>14</v>
          </cell>
          <cell r="C28">
            <v>0</v>
          </cell>
          <cell r="D28">
            <v>0</v>
          </cell>
          <cell r="E28">
            <v>36</v>
          </cell>
          <cell r="F28">
            <v>0</v>
          </cell>
          <cell r="G28">
            <v>0</v>
          </cell>
          <cell r="H28">
            <v>1518</v>
          </cell>
          <cell r="I28">
            <v>17</v>
          </cell>
          <cell r="J28">
            <v>4.34</v>
          </cell>
          <cell r="K28">
            <v>3413</v>
          </cell>
          <cell r="L28">
            <v>18</v>
          </cell>
          <cell r="M28">
            <v>3.94</v>
          </cell>
        </row>
        <row r="29">
          <cell r="A29" t="str">
            <v>YZ-HMBKN16024-Y0-M</v>
          </cell>
          <cell r="B29">
            <v>54</v>
          </cell>
          <cell r="C29">
            <v>0</v>
          </cell>
          <cell r="D29">
            <v>0</v>
          </cell>
          <cell r="E29">
            <v>120</v>
          </cell>
          <cell r="F29">
            <v>2</v>
          </cell>
          <cell r="G29">
            <v>0.15</v>
          </cell>
          <cell r="H29">
            <v>106</v>
          </cell>
          <cell r="I29">
            <v>0</v>
          </cell>
          <cell r="J29">
            <v>0</v>
          </cell>
          <cell r="K29">
            <v>90</v>
          </cell>
          <cell r="L29">
            <v>0</v>
          </cell>
          <cell r="M29">
            <v>0</v>
          </cell>
        </row>
        <row r="30">
          <cell r="A30" t="str">
            <v>YZ-ZQQ9227-K0-3X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1123</v>
          </cell>
          <cell r="I30">
            <v>19</v>
          </cell>
          <cell r="J30">
            <v>4.62</v>
          </cell>
          <cell r="K30">
            <v>477</v>
          </cell>
          <cell r="L30">
            <v>4</v>
          </cell>
          <cell r="M30">
            <v>1.06</v>
          </cell>
        </row>
        <row r="31">
          <cell r="A31" t="str">
            <v>YZ-ZQQ9227-K0-S</v>
          </cell>
          <cell r="B31">
            <v>0</v>
          </cell>
          <cell r="C31">
            <v>0</v>
          </cell>
          <cell r="D31">
            <v>0</v>
          </cell>
          <cell r="E31">
            <v>29240</v>
          </cell>
          <cell r="F31">
            <v>112</v>
          </cell>
          <cell r="G31">
            <v>29.34</v>
          </cell>
          <cell r="H31">
            <v>148006</v>
          </cell>
          <cell r="I31">
            <v>511</v>
          </cell>
          <cell r="J31">
            <v>133.59</v>
          </cell>
          <cell r="K31">
            <v>49007</v>
          </cell>
          <cell r="L31">
            <v>178</v>
          </cell>
          <cell r="M31">
            <v>47.47</v>
          </cell>
        </row>
        <row r="32">
          <cell r="A32" t="str">
            <v>YZ-ZQBL03-K0-XL</v>
          </cell>
          <cell r="B32">
            <v>9126</v>
          </cell>
          <cell r="C32">
            <v>79</v>
          </cell>
          <cell r="D32">
            <v>18.24</v>
          </cell>
          <cell r="E32">
            <v>9027</v>
          </cell>
          <cell r="F32">
            <v>76</v>
          </cell>
          <cell r="G32">
            <v>18.23</v>
          </cell>
          <cell r="H32">
            <v>5345</v>
          </cell>
          <cell r="I32">
            <v>37</v>
          </cell>
          <cell r="J32">
            <v>9.26</v>
          </cell>
          <cell r="K32">
            <v>14228</v>
          </cell>
          <cell r="L32">
            <v>86</v>
          </cell>
          <cell r="M32">
            <v>21.11</v>
          </cell>
        </row>
        <row r="33">
          <cell r="A33" t="str">
            <v>YZ-HM111-K0-M</v>
          </cell>
          <cell r="B33">
            <v>5230</v>
          </cell>
          <cell r="C33">
            <v>37</v>
          </cell>
          <cell r="D33">
            <v>15.13</v>
          </cell>
          <cell r="E33">
            <v>38540</v>
          </cell>
          <cell r="F33">
            <v>198</v>
          </cell>
          <cell r="G33">
            <v>74.62</v>
          </cell>
          <cell r="H33">
            <v>35319</v>
          </cell>
          <cell r="I33">
            <v>122</v>
          </cell>
          <cell r="J33">
            <v>44.52</v>
          </cell>
          <cell r="K33">
            <v>27096</v>
          </cell>
          <cell r="L33">
            <v>141</v>
          </cell>
          <cell r="M33">
            <v>53.14</v>
          </cell>
        </row>
        <row r="34">
          <cell r="A34" t="str">
            <v>YZ-HM1728-ZL-XL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0</v>
          </cell>
        </row>
        <row r="35">
          <cell r="A35" t="str">
            <v>YZ-ZQFT1816-O0-2X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18992</v>
          </cell>
          <cell r="L35">
            <v>59</v>
          </cell>
          <cell r="M35">
            <v>24.19</v>
          </cell>
        </row>
        <row r="36">
          <cell r="A36" t="str">
            <v>LYQ-ZQ3550-E0-L</v>
          </cell>
          <cell r="B36">
            <v>35621</v>
          </cell>
          <cell r="C36">
            <v>191</v>
          </cell>
          <cell r="D36">
            <v>46.12</v>
          </cell>
          <cell r="E36">
            <v>19636</v>
          </cell>
          <cell r="F36">
            <v>143</v>
          </cell>
          <cell r="G36">
            <v>44.07</v>
          </cell>
          <cell r="H36">
            <v>11626</v>
          </cell>
          <cell r="I36">
            <v>58</v>
          </cell>
          <cell r="J36">
            <v>18.39</v>
          </cell>
          <cell r="K36">
            <v>45348</v>
          </cell>
          <cell r="L36">
            <v>288</v>
          </cell>
          <cell r="M36">
            <v>92.73</v>
          </cell>
        </row>
        <row r="37">
          <cell r="A37" t="str">
            <v>LYQ-1001-B0-M</v>
          </cell>
          <cell r="B37">
            <v>3</v>
          </cell>
          <cell r="C37">
            <v>0</v>
          </cell>
          <cell r="D37">
            <v>0</v>
          </cell>
          <cell r="E37">
            <v>6</v>
          </cell>
          <cell r="F37">
            <v>0</v>
          </cell>
          <cell r="G37">
            <v>0</v>
          </cell>
          <cell r="H37">
            <v>11</v>
          </cell>
          <cell r="I37">
            <v>0</v>
          </cell>
          <cell r="J37">
            <v>0</v>
          </cell>
          <cell r="K37">
            <v>5</v>
          </cell>
          <cell r="L37">
            <v>0</v>
          </cell>
          <cell r="M37">
            <v>0</v>
          </cell>
        </row>
        <row r="38">
          <cell r="A38" t="str">
            <v>LYQ-1001-K0-XL</v>
          </cell>
          <cell r="B38">
            <v>805</v>
          </cell>
          <cell r="C38">
            <v>4</v>
          </cell>
          <cell r="D38">
            <v>1.05</v>
          </cell>
          <cell r="E38">
            <v>1043</v>
          </cell>
          <cell r="F38">
            <v>4</v>
          </cell>
          <cell r="G38">
            <v>1.2</v>
          </cell>
          <cell r="H38">
            <v>996</v>
          </cell>
          <cell r="I38">
            <v>3</v>
          </cell>
          <cell r="J38">
            <v>1.14</v>
          </cell>
          <cell r="K38">
            <v>511</v>
          </cell>
          <cell r="L38">
            <v>0</v>
          </cell>
          <cell r="M38">
            <v>0</v>
          </cell>
        </row>
        <row r="39">
          <cell r="A39" t="str">
            <v>LYQ-1001-P0-M</v>
          </cell>
          <cell r="B39">
            <v>800</v>
          </cell>
          <cell r="C39">
            <v>3</v>
          </cell>
          <cell r="D39">
            <v>0.45</v>
          </cell>
          <cell r="E39">
            <v>263</v>
          </cell>
          <cell r="F39">
            <v>1</v>
          </cell>
          <cell r="G39">
            <v>0.19</v>
          </cell>
          <cell r="H39">
            <v>351</v>
          </cell>
          <cell r="I39">
            <v>0</v>
          </cell>
          <cell r="J39">
            <v>0</v>
          </cell>
          <cell r="K39">
            <v>222</v>
          </cell>
          <cell r="L39">
            <v>1</v>
          </cell>
          <cell r="M39">
            <v>0.33</v>
          </cell>
        </row>
        <row r="40">
          <cell r="A40" t="str">
            <v>YZ-SUZQ598-R0-XL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12481</v>
          </cell>
          <cell r="I40">
            <v>62</v>
          </cell>
          <cell r="J40">
            <v>17.85</v>
          </cell>
          <cell r="K40">
            <v>21448</v>
          </cell>
          <cell r="L40">
            <v>103</v>
          </cell>
          <cell r="M40">
            <v>31.1</v>
          </cell>
        </row>
        <row r="41">
          <cell r="A41" t="str">
            <v>YZ-SUZQ388-K0-L</v>
          </cell>
          <cell r="B41">
            <v>13506</v>
          </cell>
          <cell r="C41">
            <v>132</v>
          </cell>
          <cell r="D41">
            <v>32.41</v>
          </cell>
          <cell r="E41">
            <v>41221</v>
          </cell>
          <cell r="F41">
            <v>325</v>
          </cell>
          <cell r="G41">
            <v>83.91</v>
          </cell>
          <cell r="H41">
            <v>50768</v>
          </cell>
          <cell r="I41">
            <v>376</v>
          </cell>
          <cell r="J41">
            <v>97.82</v>
          </cell>
          <cell r="K41">
            <v>4933</v>
          </cell>
          <cell r="L41">
            <v>42</v>
          </cell>
          <cell r="M41">
            <v>11.63</v>
          </cell>
        </row>
        <row r="42">
          <cell r="A42" t="str">
            <v>YZ-SUZQBL03-K0-M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727</v>
          </cell>
          <cell r="I42">
            <v>6</v>
          </cell>
          <cell r="J42">
            <v>1.46</v>
          </cell>
          <cell r="K42">
            <v>77292</v>
          </cell>
          <cell r="L42">
            <v>320</v>
          </cell>
          <cell r="M42">
            <v>92.72</v>
          </cell>
        </row>
        <row r="43">
          <cell r="A43" t="str">
            <v>YZ-JY2526-R0-3XL</v>
          </cell>
          <cell r="B43">
            <v>0</v>
          </cell>
          <cell r="C43">
            <v>0</v>
          </cell>
          <cell r="D43">
            <v>0</v>
          </cell>
          <cell r="E43">
            <v>3741</v>
          </cell>
          <cell r="F43">
            <v>31</v>
          </cell>
          <cell r="G43">
            <v>10.32</v>
          </cell>
          <cell r="H43">
            <v>22753</v>
          </cell>
          <cell r="I43">
            <v>193</v>
          </cell>
          <cell r="J43">
            <v>61.19</v>
          </cell>
          <cell r="K43">
            <v>21420</v>
          </cell>
          <cell r="L43">
            <v>207</v>
          </cell>
          <cell r="M43">
            <v>71.58</v>
          </cell>
        </row>
        <row r="44">
          <cell r="A44" t="str">
            <v>YZ-SUZQ187-K0-3X</v>
          </cell>
          <cell r="B44">
            <v>8125</v>
          </cell>
          <cell r="C44">
            <v>68</v>
          </cell>
          <cell r="D44">
            <v>24.39</v>
          </cell>
          <cell r="E44">
            <v>58355</v>
          </cell>
          <cell r="F44">
            <v>185</v>
          </cell>
          <cell r="G44">
            <v>53.35</v>
          </cell>
          <cell r="H44">
            <v>181</v>
          </cell>
          <cell r="I44">
            <v>3</v>
          </cell>
          <cell r="J44">
            <v>0.91</v>
          </cell>
          <cell r="K44">
            <v>372</v>
          </cell>
          <cell r="L44">
            <v>9</v>
          </cell>
          <cell r="M44">
            <v>2.19</v>
          </cell>
        </row>
        <row r="45">
          <cell r="A45" t="str">
            <v>LYQ-ZQ3550-E0-S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19310</v>
          </cell>
          <cell r="L45">
            <v>120</v>
          </cell>
          <cell r="M45">
            <v>36.15</v>
          </cell>
        </row>
        <row r="46">
          <cell r="A46" t="str">
            <v>LYQ-ZQ3550-E0-M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302</v>
          </cell>
          <cell r="I46">
            <v>0</v>
          </cell>
          <cell r="J46">
            <v>0</v>
          </cell>
          <cell r="K46">
            <v>882</v>
          </cell>
          <cell r="L46">
            <v>12</v>
          </cell>
          <cell r="M46">
            <v>3.57</v>
          </cell>
        </row>
        <row r="47">
          <cell r="A47" t="str">
            <v>LYQ-ZQ3550-E0-2X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794</v>
          </cell>
          <cell r="I47">
            <v>4</v>
          </cell>
          <cell r="J47">
            <v>1.3</v>
          </cell>
          <cell r="K47">
            <v>1614</v>
          </cell>
          <cell r="L47">
            <v>20</v>
          </cell>
          <cell r="M47">
            <v>6.36</v>
          </cell>
        </row>
        <row r="48">
          <cell r="A48" t="str">
            <v>LYQ-ZQ3550-PI-4X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1248</v>
          </cell>
          <cell r="I48">
            <v>10</v>
          </cell>
          <cell r="J48">
            <v>3.1</v>
          </cell>
          <cell r="K48">
            <v>1063</v>
          </cell>
          <cell r="L48">
            <v>7</v>
          </cell>
          <cell r="M48">
            <v>2.23</v>
          </cell>
        </row>
        <row r="49">
          <cell r="A49" t="str">
            <v>LYQ-ZQ3550-PI-S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760</v>
          </cell>
          <cell r="I49">
            <v>1</v>
          </cell>
          <cell r="J49">
            <v>0.33</v>
          </cell>
          <cell r="K49">
            <v>251</v>
          </cell>
          <cell r="L49">
            <v>1</v>
          </cell>
          <cell r="M49">
            <v>0.27</v>
          </cell>
        </row>
        <row r="50">
          <cell r="A50" t="str">
            <v>LYQ-ZQ3550-PI-3X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1017</v>
          </cell>
          <cell r="I50">
            <v>2</v>
          </cell>
          <cell r="J50">
            <v>0.56</v>
          </cell>
          <cell r="K50">
            <v>1121</v>
          </cell>
          <cell r="L50">
            <v>4</v>
          </cell>
          <cell r="M50">
            <v>1.04</v>
          </cell>
        </row>
        <row r="51">
          <cell r="A51" t="str">
            <v>LYQ-ZQ3550-PI-2X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71</v>
          </cell>
          <cell r="I51">
            <v>0</v>
          </cell>
          <cell r="J51">
            <v>0</v>
          </cell>
          <cell r="K51">
            <v>98</v>
          </cell>
          <cell r="L51">
            <v>0</v>
          </cell>
          <cell r="M51">
            <v>0</v>
          </cell>
        </row>
        <row r="52">
          <cell r="A52" t="str">
            <v>LYQ-ZQ3550-PI-L</v>
          </cell>
          <cell r="B52">
            <v>0</v>
          </cell>
          <cell r="C52">
            <v>0</v>
          </cell>
          <cell r="D52">
            <v>0</v>
          </cell>
          <cell r="E52">
            <v>27332</v>
          </cell>
          <cell r="F52">
            <v>73</v>
          </cell>
          <cell r="G52">
            <v>19.37</v>
          </cell>
          <cell r="H52">
            <v>19939</v>
          </cell>
          <cell r="I52">
            <v>61</v>
          </cell>
          <cell r="J52">
            <v>17.28</v>
          </cell>
          <cell r="K52">
            <v>1825</v>
          </cell>
          <cell r="L52">
            <v>3</v>
          </cell>
          <cell r="M52">
            <v>0.85</v>
          </cell>
        </row>
        <row r="53">
          <cell r="A53" t="str">
            <v>LYQ-ZQ3550-PI-M</v>
          </cell>
          <cell r="B53">
            <v>0</v>
          </cell>
          <cell r="C53">
            <v>0</v>
          </cell>
          <cell r="D53">
            <v>0</v>
          </cell>
          <cell r="E53">
            <v>31397</v>
          </cell>
          <cell r="F53">
            <v>83</v>
          </cell>
          <cell r="G53">
            <v>22.71</v>
          </cell>
          <cell r="H53">
            <v>39563</v>
          </cell>
          <cell r="I53">
            <v>63</v>
          </cell>
          <cell r="J53">
            <v>17.03</v>
          </cell>
          <cell r="K53">
            <v>758</v>
          </cell>
          <cell r="L53">
            <v>2</v>
          </cell>
          <cell r="M53">
            <v>0.44</v>
          </cell>
        </row>
        <row r="54">
          <cell r="A54" t="str">
            <v>LYQ-ZQ3550-E0-5X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5358</v>
          </cell>
          <cell r="I54">
            <v>26</v>
          </cell>
          <cell r="J54">
            <v>7.51</v>
          </cell>
          <cell r="K54">
            <v>4781</v>
          </cell>
          <cell r="L54">
            <v>14</v>
          </cell>
          <cell r="M54">
            <v>4.38</v>
          </cell>
        </row>
        <row r="55">
          <cell r="A55" t="str">
            <v>LYQ-ZQ3550-E0-4X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5907</v>
          </cell>
          <cell r="I55">
            <v>11</v>
          </cell>
          <cell r="J55">
            <v>3.37</v>
          </cell>
          <cell r="K55">
            <v>4241</v>
          </cell>
          <cell r="L55">
            <v>6</v>
          </cell>
          <cell r="M55">
            <v>1.87</v>
          </cell>
        </row>
        <row r="56">
          <cell r="A56" t="str">
            <v>LYQ-ZQ3550-PI-5X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981</v>
          </cell>
          <cell r="I56">
            <v>3</v>
          </cell>
          <cell r="J56">
            <v>0.96</v>
          </cell>
          <cell r="K56">
            <v>853</v>
          </cell>
          <cell r="L56">
            <v>3</v>
          </cell>
          <cell r="M56">
            <v>0.85</v>
          </cell>
        </row>
        <row r="57">
          <cell r="A57" t="str">
            <v>LYQ-ZQ3550-E0-XL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53673</v>
          </cell>
          <cell r="I57">
            <v>149</v>
          </cell>
          <cell r="J57">
            <v>40.51</v>
          </cell>
          <cell r="K57">
            <v>48257</v>
          </cell>
          <cell r="L57">
            <v>189</v>
          </cell>
          <cell r="M57">
            <v>51.36</v>
          </cell>
        </row>
        <row r="58">
          <cell r="A58" t="str">
            <v>LYQ-ZQ3550-PI-XL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5034</v>
          </cell>
          <cell r="I58">
            <v>40</v>
          </cell>
          <cell r="J58">
            <v>11.94</v>
          </cell>
          <cell r="K58">
            <v>4603</v>
          </cell>
          <cell r="L58">
            <v>34</v>
          </cell>
          <cell r="M58">
            <v>9.98</v>
          </cell>
        </row>
        <row r="59">
          <cell r="A59" t="str">
            <v>YZ-ZQQ9227-K0-5X</v>
          </cell>
          <cell r="B59">
            <v>8282</v>
          </cell>
          <cell r="C59">
            <v>61</v>
          </cell>
          <cell r="D59">
            <v>17.87</v>
          </cell>
          <cell r="E59">
            <v>0</v>
          </cell>
          <cell r="F59">
            <v>0</v>
          </cell>
          <cell r="G59">
            <v>0</v>
          </cell>
          <cell r="H59">
            <v>5709</v>
          </cell>
          <cell r="I59">
            <v>25</v>
          </cell>
          <cell r="J59">
            <v>7.89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YZ-HM241-DS-2XL</v>
          </cell>
          <cell r="B60">
            <v>6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YZ-HM1728-ZL-L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YZ-ZQMICAIK0XL</v>
          </cell>
          <cell r="B62">
            <v>927</v>
          </cell>
          <cell r="C62">
            <v>10</v>
          </cell>
          <cell r="D62">
            <v>2.11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YZ-SUXZBL03-B0-L</v>
          </cell>
          <cell r="B7623" t="str">
            <v>YZ-SUXZBL03</v>
          </cell>
        </row>
        <row r="7624">
          <cell r="A7624" t="str">
            <v>YZ-SUXZBL03-K0-S</v>
          </cell>
          <cell r="B7624" t="str">
            <v>YZ-SUXZBL03</v>
          </cell>
        </row>
        <row r="7625">
          <cell r="A7625" t="str">
            <v>YZ-SUXZBL03-R2-S</v>
          </cell>
          <cell r="B7625" t="str">
            <v>YZ-SUXZBL03</v>
          </cell>
        </row>
        <row r="7626">
          <cell r="A7626" t="str">
            <v>YZ-SUZQ078-K0-S</v>
          </cell>
          <cell r="B7626" t="str">
            <v>YZ-SUZQ078</v>
          </cell>
        </row>
        <row r="7627">
          <cell r="A7627" t="str">
            <v>YZ-SUZQ161-E0-2XL</v>
          </cell>
          <cell r="B7627" t="str">
            <v>YZ-SUZQ161</v>
          </cell>
        </row>
        <row r="7628">
          <cell r="A7628" t="str">
            <v>YZ-SUZQ161-E0-3XL</v>
          </cell>
          <cell r="B7628" t="str">
            <v>YZ-SUZQ161</v>
          </cell>
        </row>
        <row r="7629">
          <cell r="A7629" t="str">
            <v>YZ-SUZQ161-E0-L</v>
          </cell>
          <cell r="B7629" t="str">
            <v>YZ-SUZQ161</v>
          </cell>
        </row>
        <row r="7630">
          <cell r="A7630" t="str">
            <v>YZ-SUZQ161-E0-XL</v>
          </cell>
          <cell r="B7630" t="str">
            <v>YZ-SUZQ161</v>
          </cell>
        </row>
        <row r="7631">
          <cell r="A7631" t="str">
            <v>YZ-SUZQ161-R0-2XL</v>
          </cell>
          <cell r="B7631" t="str">
            <v>YZ-SUZQ161</v>
          </cell>
        </row>
        <row r="7632">
          <cell r="A7632" t="str">
            <v>YZ-SUZQ161-R0-3XL</v>
          </cell>
          <cell r="B7632" t="str">
            <v>YZ-SUZQ161</v>
          </cell>
        </row>
        <row r="7633">
          <cell r="A7633" t="str">
            <v>YZ-SUZQ161-R0-L</v>
          </cell>
          <cell r="B7633" t="str">
            <v>YZ-SUZQ161</v>
          </cell>
        </row>
        <row r="7634">
          <cell r="A7634" t="str">
            <v>YZ-SUZQ161-R0-XL</v>
          </cell>
          <cell r="B7634" t="str">
            <v>YZ-SUZQ161</v>
          </cell>
        </row>
        <row r="7635">
          <cell r="A7635" t="str">
            <v>YZ-SUZQ161-Y0-2XL</v>
          </cell>
          <cell r="B7635" t="str">
            <v>YZ-SUZQ161</v>
          </cell>
        </row>
        <row r="7636">
          <cell r="A7636" t="str">
            <v>YZ-SUZQ161-Y0-3XL</v>
          </cell>
          <cell r="B7636" t="str">
            <v>YZ-SUZQ161</v>
          </cell>
        </row>
        <row r="7637">
          <cell r="A7637" t="str">
            <v>YZ-SUZQ161-Y0-L</v>
          </cell>
          <cell r="B7637" t="str">
            <v>YZ-SUZQ161</v>
          </cell>
        </row>
        <row r="7638">
          <cell r="A7638" t="str">
            <v>YZ-SUZQ161-Y0-XL</v>
          </cell>
          <cell r="B7638" t="str">
            <v>YZ-SUZQ161</v>
          </cell>
        </row>
        <row r="7639">
          <cell r="A7639" t="str">
            <v>YZ-SUZQ165-OR-XL</v>
          </cell>
          <cell r="B7639" t="str">
            <v>YZ-SUZQ165</v>
          </cell>
        </row>
        <row r="7640">
          <cell r="A7640" t="str">
            <v>YZ-SUZQ165-PI-M</v>
          </cell>
          <cell r="B7640" t="str">
            <v>YZ-SUZQ165</v>
          </cell>
        </row>
        <row r="7641">
          <cell r="A7641" t="str">
            <v>YZ-SUZQ172-B0-L</v>
          </cell>
          <cell r="B7641" t="str">
            <v>YZ-SUZQ172</v>
          </cell>
        </row>
        <row r="7642">
          <cell r="A7642" t="str">
            <v>YZ-SUZQ172-B0-M</v>
          </cell>
          <cell r="B7642" t="str">
            <v>YZ-SUZQ172</v>
          </cell>
        </row>
        <row r="7643">
          <cell r="A7643" t="str">
            <v>YZ-SUZQ172-B0-S</v>
          </cell>
          <cell r="B7643" t="str">
            <v>YZ-SUZQ172</v>
          </cell>
        </row>
        <row r="7644">
          <cell r="A7644" t="str">
            <v>YZ-SUZQ172-B0-XL</v>
          </cell>
          <cell r="B7644" t="str">
            <v>YZ-SUZQ172</v>
          </cell>
        </row>
        <row r="7645">
          <cell r="A7645" t="str">
            <v>YZ-SUZQ172-K0-L</v>
          </cell>
          <cell r="B7645" t="str">
            <v>YZ-SUZQ172</v>
          </cell>
        </row>
        <row r="7646">
          <cell r="A7646" t="str">
            <v>YZ-SUZQ172-K0-M</v>
          </cell>
          <cell r="B7646" t="str">
            <v>YZ-SUZQ172</v>
          </cell>
        </row>
        <row r="7647">
          <cell r="A7647" t="str">
            <v>YZ-SUZQ172-K0-S</v>
          </cell>
          <cell r="B7647" t="str">
            <v>YZ-SUZQ172</v>
          </cell>
        </row>
        <row r="7648">
          <cell r="A7648" t="str">
            <v>YZ-SUZQ172-K0-XL</v>
          </cell>
          <cell r="B7648" t="str">
            <v>YZ-SUZQ172</v>
          </cell>
        </row>
        <row r="7649">
          <cell r="A7649" t="str">
            <v>YZ-SUZQ172-R0-L</v>
          </cell>
          <cell r="B7649" t="str">
            <v>YZ-SUZQ172</v>
          </cell>
        </row>
        <row r="7650">
          <cell r="A7650" t="str">
            <v>YZ-SUZQ172-R0-M</v>
          </cell>
          <cell r="B7650" t="str">
            <v>YZ-SUZQ172</v>
          </cell>
        </row>
        <row r="7651">
          <cell r="A7651" t="str">
            <v>YZ-SUZQ172-R0-S</v>
          </cell>
          <cell r="B7651" t="str">
            <v>YZ-SUZQ172</v>
          </cell>
        </row>
        <row r="7652">
          <cell r="A7652" t="str">
            <v>YZ-SUZQ172-R0-XL</v>
          </cell>
          <cell r="B7652" t="str">
            <v>YZ-SUZQ172</v>
          </cell>
        </row>
        <row r="7653">
          <cell r="A7653" t="str">
            <v>YZ-SUZQ173-K0-2XL</v>
          </cell>
          <cell r="B7653" t="str">
            <v>YZ-SUZQ173</v>
          </cell>
        </row>
        <row r="7654">
          <cell r="A7654" t="str">
            <v>YZ-SUZQ173-K0-3XL</v>
          </cell>
          <cell r="B7654" t="str">
            <v>YZ-SUZQ173</v>
          </cell>
        </row>
        <row r="7655">
          <cell r="A7655" t="str">
            <v>YZ-SUZQ173-K0-L</v>
          </cell>
          <cell r="B7655" t="str">
            <v>YZ-SUZQ173</v>
          </cell>
        </row>
        <row r="7656">
          <cell r="A7656" t="str">
            <v>YZ-SUZQ173-K0-M</v>
          </cell>
          <cell r="B7656" t="str">
            <v>YZ-SUZQ173</v>
          </cell>
        </row>
        <row r="7657">
          <cell r="A7657" t="str">
            <v>YZ-SUZQ173-K0-S</v>
          </cell>
          <cell r="B7657" t="str">
            <v>YZ-SUZQ173</v>
          </cell>
        </row>
        <row r="7658">
          <cell r="A7658" t="str">
            <v>YZ-SUZQ173-K0-XL</v>
          </cell>
          <cell r="B7658" t="str">
            <v>YZ-SUZQ173</v>
          </cell>
        </row>
        <row r="7659">
          <cell r="A7659" t="str">
            <v>YZ-SUZQ173-NB-2XL</v>
          </cell>
          <cell r="B7659" t="str">
            <v>YZ-SUZQ173</v>
          </cell>
        </row>
        <row r="7660">
          <cell r="A7660" t="str">
            <v>YZ-SUZQ173-NB-3XL</v>
          </cell>
          <cell r="B7660" t="str">
            <v>YZ-SUZQ173</v>
          </cell>
        </row>
        <row r="7661">
          <cell r="A7661" t="str">
            <v>YZ-SUZQ173-NB-L</v>
          </cell>
          <cell r="B7661" t="str">
            <v>YZ-SUZQ173</v>
          </cell>
        </row>
        <row r="7662">
          <cell r="A7662" t="str">
            <v>YZ-SUZQ173-NB-M</v>
          </cell>
          <cell r="B7662" t="str">
            <v>YZ-SUZQ173</v>
          </cell>
        </row>
        <row r="7663">
          <cell r="A7663" t="str">
            <v>YZ-SUZQ173-NB-S</v>
          </cell>
          <cell r="B7663" t="str">
            <v>YZ-SUZQ173</v>
          </cell>
        </row>
        <row r="7664">
          <cell r="A7664" t="str">
            <v>YZ-SUZQ173-NB-XL</v>
          </cell>
          <cell r="B7664" t="str">
            <v>YZ-SUZQ173</v>
          </cell>
        </row>
        <row r="7665">
          <cell r="A7665" t="str">
            <v>YZ-SUZQ173-R0-2XL</v>
          </cell>
          <cell r="B7665" t="str">
            <v>YZ-SUZQ173</v>
          </cell>
        </row>
        <row r="7666">
          <cell r="A7666" t="str">
            <v>YZ-SUZQ173-R0-3XL</v>
          </cell>
          <cell r="B7666" t="str">
            <v>YZ-SUZQ173</v>
          </cell>
        </row>
        <row r="7667">
          <cell r="A7667" t="str">
            <v>YZ-SUZQ173-R0-L</v>
          </cell>
          <cell r="B7667" t="str">
            <v>YZ-SUZQ173</v>
          </cell>
        </row>
        <row r="7668">
          <cell r="A7668" t="str">
            <v>YZ-SUZQ173-R0-M</v>
          </cell>
          <cell r="B7668" t="str">
            <v>YZ-SUZQ173</v>
          </cell>
        </row>
        <row r="7669">
          <cell r="A7669" t="str">
            <v>YZ-SUZQ173-R0-S</v>
          </cell>
          <cell r="B7669" t="str">
            <v>YZ-SUZQ173</v>
          </cell>
        </row>
        <row r="7670">
          <cell r="A7670" t="str">
            <v>YZ-SUZQ173-R0-XL</v>
          </cell>
          <cell r="B7670" t="str">
            <v>YZ-SUZQ173</v>
          </cell>
        </row>
        <row r="7671">
          <cell r="A7671" t="str">
            <v>YZ-SUZQ173-SB-2XL</v>
          </cell>
          <cell r="B7671" t="str">
            <v>YZ-SUZQ173</v>
          </cell>
        </row>
        <row r="7672">
          <cell r="A7672" t="str">
            <v>YZ-SUZQ173-SB-3XL</v>
          </cell>
          <cell r="B7672" t="str">
            <v>YZ-SUZQ173</v>
          </cell>
        </row>
        <row r="7673">
          <cell r="A7673" t="str">
            <v>YZ-SUZQ173-SB-L</v>
          </cell>
          <cell r="B7673" t="str">
            <v>YZ-SUZQ173</v>
          </cell>
        </row>
        <row r="7674">
          <cell r="A7674" t="str">
            <v>YZ-SUZQ173-SB-M</v>
          </cell>
          <cell r="B7674" t="str">
            <v>YZ-SUZQ173</v>
          </cell>
        </row>
        <row r="7675">
          <cell r="A7675" t="str">
            <v>YZ-SUZQ173-SB-S</v>
          </cell>
          <cell r="B7675" t="str">
            <v>YZ-SUZQ173</v>
          </cell>
        </row>
        <row r="7676">
          <cell r="A7676" t="str">
            <v>YZ-SUZQ173-SB-XL</v>
          </cell>
          <cell r="B7676" t="str">
            <v>YZ-SUZQ173</v>
          </cell>
        </row>
        <row r="7677">
          <cell r="A7677" t="str">
            <v>YZ-SUZQ1815-PI-S</v>
          </cell>
          <cell r="B7677" t="str">
            <v>YZ-SUZQ1815</v>
          </cell>
        </row>
        <row r="7678">
          <cell r="A7678" t="str">
            <v>YZ-SUZQ187-K0-2X</v>
          </cell>
          <cell r="B7678" t="str">
            <v>YZ-SUZQ187</v>
          </cell>
        </row>
        <row r="7679">
          <cell r="A7679" t="str">
            <v>YZ-SUZQ187-K0-3X</v>
          </cell>
          <cell r="B7679" t="str">
            <v>YZ-SUZQ187</v>
          </cell>
        </row>
        <row r="7680">
          <cell r="A7680" t="str">
            <v>YZ-SUZQ187-K0-4X</v>
          </cell>
          <cell r="B7680" t="str">
            <v>YZ-SUZQ187</v>
          </cell>
        </row>
        <row r="7681">
          <cell r="A7681" t="str">
            <v>YZ-SUZQ187-K0-5X</v>
          </cell>
          <cell r="B7681" t="str">
            <v>YZ-SUZQ187</v>
          </cell>
        </row>
        <row r="7682">
          <cell r="A7682" t="str">
            <v>YZ-SUZQ187-K0-L</v>
          </cell>
          <cell r="B7682" t="str">
            <v>YZ-SUZQ187</v>
          </cell>
        </row>
        <row r="7683">
          <cell r="A7683" t="str">
            <v>YZ-SUZQ187-K0-M</v>
          </cell>
          <cell r="B7683" t="str">
            <v>YZ-SUZQ187</v>
          </cell>
        </row>
        <row r="7684">
          <cell r="A7684" t="str">
            <v>YZ-SUZQ187-K0-S</v>
          </cell>
          <cell r="B7684" t="str">
            <v>YZ-SUZQ187</v>
          </cell>
        </row>
        <row r="7685">
          <cell r="A7685" t="str">
            <v>YZ-SUZQ187-K0-XL</v>
          </cell>
          <cell r="B7685" t="str">
            <v>YZ-SUZQ187</v>
          </cell>
        </row>
        <row r="7686">
          <cell r="A7686" t="str">
            <v>YZ-SUZQ201-G7-M</v>
          </cell>
          <cell r="B7686" t="str">
            <v>YZ-SUZQ201</v>
          </cell>
        </row>
        <row r="7687">
          <cell r="A7687" t="str">
            <v>YZ-SUZQ201-W0-L</v>
          </cell>
          <cell r="B7687" t="str">
            <v>YZ-SUZQ201</v>
          </cell>
        </row>
        <row r="7688">
          <cell r="A7688" t="str">
            <v>YZ-SUZQ388-K0-L</v>
          </cell>
          <cell r="B7688" t="str">
            <v>YZ-SUZQ388</v>
          </cell>
        </row>
        <row r="7689">
          <cell r="A7689" t="str">
            <v>YZ-SUZQ388-K0-M</v>
          </cell>
          <cell r="B7689" t="str">
            <v>YZ-SUZQ388</v>
          </cell>
        </row>
        <row r="7690">
          <cell r="A7690" t="str">
            <v>YZ-SUZQ388-K0-S</v>
          </cell>
          <cell r="B7690" t="str">
            <v>YZ-SUZQ388</v>
          </cell>
        </row>
        <row r="7691">
          <cell r="A7691" t="str">
            <v>YZ-SUZQ388-K0-XL</v>
          </cell>
          <cell r="B7691" t="str">
            <v>YZ-SUZQ388</v>
          </cell>
        </row>
        <row r="7692">
          <cell r="A7692" t="str">
            <v>YZ-SUZQ388-K0-XS</v>
          </cell>
          <cell r="B7692" t="str">
            <v>YZ-SUZQ388</v>
          </cell>
        </row>
        <row r="7693">
          <cell r="A7693" t="str">
            <v>YZ-SUZQ388-W0-L</v>
          </cell>
          <cell r="B7693" t="str">
            <v>YZ-SUZQ388</v>
          </cell>
        </row>
        <row r="7694">
          <cell r="A7694" t="str">
            <v>YZ-SUZQ388-W0-M</v>
          </cell>
          <cell r="B7694" t="str">
            <v>YZ-SUZQ388</v>
          </cell>
        </row>
        <row r="7695">
          <cell r="A7695" t="str">
            <v>YZ-SUZQ388-W0-S</v>
          </cell>
          <cell r="B7695" t="str">
            <v>YZ-SUZQ388</v>
          </cell>
        </row>
        <row r="7696">
          <cell r="A7696" t="str">
            <v>YZ-SUZQ388-W0-XL</v>
          </cell>
          <cell r="B7696" t="str">
            <v>YZ-SUZQ388</v>
          </cell>
        </row>
        <row r="7697">
          <cell r="A7697" t="str">
            <v>YZ-SUZQ388-W0-XS</v>
          </cell>
          <cell r="B7697" t="str">
            <v>YZ-SUZQ388</v>
          </cell>
        </row>
        <row r="7698">
          <cell r="A7698" t="str">
            <v>YZ-SUZQ598-R0-2XL</v>
          </cell>
          <cell r="B7698" t="str">
            <v>YZ-SUZQ598</v>
          </cell>
        </row>
        <row r="7699">
          <cell r="A7699" t="str">
            <v>YZ-SUZQ598-R0-3XL</v>
          </cell>
          <cell r="B7699" t="str">
            <v>YZ-SUZQ598</v>
          </cell>
        </row>
        <row r="7700">
          <cell r="A7700" t="str">
            <v>YZ-SUZQ598-R0-4XL</v>
          </cell>
          <cell r="B7700" t="str">
            <v>YZ-SUZQ598</v>
          </cell>
        </row>
        <row r="7701">
          <cell r="A7701" t="str">
            <v>YZ-SUZQ598-R0-5XL</v>
          </cell>
          <cell r="B7701" t="str">
            <v>YZ-SUZQ598</v>
          </cell>
        </row>
        <row r="7702">
          <cell r="A7702" t="str">
            <v>YZ-SUZQ598-R0-L</v>
          </cell>
          <cell r="B7702" t="str">
            <v>YZ-SUZQ598</v>
          </cell>
        </row>
        <row r="7703">
          <cell r="A7703" t="str">
            <v>YZ-SUZQ598-R0-XL</v>
          </cell>
          <cell r="B7703" t="str">
            <v>YZ-SUZQ598</v>
          </cell>
        </row>
        <row r="7704">
          <cell r="A7704" t="str">
            <v>YZ-SUZQ733-K0-2XL</v>
          </cell>
          <cell r="B7704" t="str">
            <v>YZ-SUZQ733</v>
          </cell>
        </row>
        <row r="7705">
          <cell r="A7705" t="str">
            <v>YZ-SUZQ733-K0-3XL</v>
          </cell>
          <cell r="B7705" t="str">
            <v>YZ-SUZQ733</v>
          </cell>
        </row>
        <row r="7706">
          <cell r="A7706" t="str">
            <v>YZ-SUZQ733-K0-L</v>
          </cell>
          <cell r="B7706" t="str">
            <v>YZ-SUZQ733</v>
          </cell>
        </row>
        <row r="7707">
          <cell r="A7707" t="str">
            <v>YZ-SUZQ733-K0-M</v>
          </cell>
          <cell r="B7707" t="str">
            <v>YZ-SUZQ733</v>
          </cell>
        </row>
        <row r="7708">
          <cell r="A7708" t="str">
            <v>YZ-SUZQ733-K0-S</v>
          </cell>
          <cell r="B7708" t="str">
            <v>YZ-SUZQ733</v>
          </cell>
        </row>
        <row r="7709">
          <cell r="A7709" t="str">
            <v>YZ-SUZQ733-K0-XL</v>
          </cell>
          <cell r="B7709" t="str">
            <v>YZ-SUZQ733</v>
          </cell>
        </row>
        <row r="7710">
          <cell r="A7710" t="str">
            <v>YZ-SUZQ733-NB-2XL</v>
          </cell>
          <cell r="B7710" t="str">
            <v>YZ-SUZQ733</v>
          </cell>
        </row>
        <row r="7711">
          <cell r="A7711" t="str">
            <v>YZ-SUZQ733-NB-3XL</v>
          </cell>
          <cell r="B7711" t="str">
            <v>YZ-SUZQ733</v>
          </cell>
        </row>
        <row r="7712">
          <cell r="A7712" t="str">
            <v>YZ-SUZQ733-NB-L</v>
          </cell>
          <cell r="B7712" t="str">
            <v>YZ-SUZQ733</v>
          </cell>
        </row>
        <row r="7713">
          <cell r="A7713" t="str">
            <v>YZ-SUZQ733-NB-M</v>
          </cell>
          <cell r="B7713" t="str">
            <v>YZ-SUZQ733</v>
          </cell>
        </row>
        <row r="7714">
          <cell r="A7714" t="str">
            <v>YZ-SUZQ733-NB-S</v>
          </cell>
          <cell r="B7714" t="str">
            <v>YZ-SUZQ733</v>
          </cell>
        </row>
        <row r="7715">
          <cell r="A7715" t="str">
            <v>YZ-SUZQ733-NB-XL</v>
          </cell>
          <cell r="B7715" t="str">
            <v>YZ-SUZQ733</v>
          </cell>
        </row>
        <row r="7716">
          <cell r="A7716" t="str">
            <v>YZ-SUZQ733-R0-2XL</v>
          </cell>
          <cell r="B7716" t="str">
            <v>YZ-SUZQ733</v>
          </cell>
        </row>
        <row r="7717">
          <cell r="A7717" t="str">
            <v>YZ-SUZQ733-R0-3XL</v>
          </cell>
          <cell r="B7717" t="str">
            <v>YZ-SUZQ733</v>
          </cell>
        </row>
        <row r="7718">
          <cell r="A7718" t="str">
            <v>YZ-SUZQ733-R0-L</v>
          </cell>
          <cell r="B7718" t="str">
            <v>YZ-SUZQ733</v>
          </cell>
        </row>
        <row r="7719">
          <cell r="A7719" t="str">
            <v>YZ-SUZQ733-R0-M</v>
          </cell>
          <cell r="B7719" t="str">
            <v>YZ-SUZQ733</v>
          </cell>
        </row>
        <row r="7720">
          <cell r="A7720" t="str">
            <v>YZ-SUZQ733-R0-S</v>
          </cell>
          <cell r="B7720" t="str">
            <v>YZ-SUZQ733</v>
          </cell>
        </row>
        <row r="7721">
          <cell r="A7721" t="str">
            <v>YZ-SUZQ733-R0-XL</v>
          </cell>
          <cell r="B7721" t="str">
            <v>YZ-SUZQ733</v>
          </cell>
        </row>
        <row r="7722">
          <cell r="A7722" t="str">
            <v>YZ-SUZQ733-SB-2XL</v>
          </cell>
          <cell r="B7722" t="str">
            <v>YZ-SUZQ733</v>
          </cell>
        </row>
        <row r="7723">
          <cell r="A7723" t="str">
            <v>YZ-SUZQ733-SB-3XL</v>
          </cell>
          <cell r="B7723" t="str">
            <v>YZ-SUZQ733</v>
          </cell>
        </row>
        <row r="7724">
          <cell r="A7724" t="str">
            <v>YZ-SUZQ733-SB-L</v>
          </cell>
          <cell r="B7724" t="str">
            <v>YZ-SUZQ733</v>
          </cell>
        </row>
        <row r="7725">
          <cell r="A7725" t="str">
            <v>YZ-SUZQ733-SB-M</v>
          </cell>
          <cell r="B7725" t="str">
            <v>YZ-SUZQ733</v>
          </cell>
        </row>
        <row r="7726">
          <cell r="A7726" t="str">
            <v>YZ-SUZQ733-SB-S</v>
          </cell>
          <cell r="B7726" t="str">
            <v>YZ-SUZQ733</v>
          </cell>
        </row>
        <row r="7727">
          <cell r="A7727" t="str">
            <v>YZ-SUZQ733-SB-XL</v>
          </cell>
          <cell r="B7727" t="str">
            <v>YZ-SUZQ733</v>
          </cell>
        </row>
        <row r="7728">
          <cell r="A7728" t="str">
            <v>YZ-SUZQ9441-K0-2XL</v>
          </cell>
          <cell r="B7728" t="str">
            <v>YZ-SUZQ9441</v>
          </cell>
        </row>
        <row r="7729">
          <cell r="A7729" t="str">
            <v>YZ-SUZQ9441-K0-2XL-GM</v>
          </cell>
          <cell r="B7729" t="str">
            <v>YZ-SUZQ9441</v>
          </cell>
        </row>
        <row r="7730">
          <cell r="A7730" t="str">
            <v>YZ-SUZQ9441-K0-3XL</v>
          </cell>
          <cell r="B7730" t="str">
            <v>YZ-SUZQ9441</v>
          </cell>
        </row>
        <row r="7731">
          <cell r="A7731" t="str">
            <v>YZ-SUZQ9441-K0-3XL-GM</v>
          </cell>
          <cell r="B7731" t="str">
            <v>YZ-SUZQ9441</v>
          </cell>
        </row>
        <row r="7732">
          <cell r="A7732" t="str">
            <v>YZ-SUZQ9441-K0-L</v>
          </cell>
          <cell r="B7732" t="str">
            <v>YZ-SUZQ9441</v>
          </cell>
        </row>
        <row r="7733">
          <cell r="A7733" t="str">
            <v>YZ-SUZQ9441-K0-L-GM</v>
          </cell>
          <cell r="B7733" t="str">
            <v>YZ-SUZQ9441</v>
          </cell>
        </row>
        <row r="7734">
          <cell r="A7734" t="str">
            <v>YZ-SUZQ9441-K0-M</v>
          </cell>
          <cell r="B7734" t="str">
            <v>YZ-SUZQ9441</v>
          </cell>
        </row>
        <row r="7735">
          <cell r="A7735" t="str">
            <v>YZ-SUZQ9441-K0-M-GM</v>
          </cell>
          <cell r="B7735" t="str">
            <v>YZ-SUZQ9441</v>
          </cell>
        </row>
        <row r="7736">
          <cell r="A7736" t="str">
            <v>YZ-SUZQ9441-K0-S</v>
          </cell>
          <cell r="B7736" t="str">
            <v>YZ-SUZQ9441</v>
          </cell>
        </row>
        <row r="7737">
          <cell r="A7737" t="str">
            <v>YZ-SUZQ9441-K0-S-GM</v>
          </cell>
          <cell r="B7737" t="str">
            <v>YZ-SUZQ9441</v>
          </cell>
        </row>
        <row r="7738">
          <cell r="A7738" t="str">
            <v>YZ-SUZQ9441-K0-XL</v>
          </cell>
          <cell r="B7738" t="str">
            <v>YZ-SUZQ9441</v>
          </cell>
        </row>
        <row r="7739">
          <cell r="A7739" t="str">
            <v>YZ-SUZQ9441-K0-XL-GM</v>
          </cell>
          <cell r="B7739" t="str">
            <v>YZ-SUZQ9441</v>
          </cell>
        </row>
        <row r="7740">
          <cell r="A7740" t="str">
            <v>YZ-SUZQ9441-R0-2XL</v>
          </cell>
          <cell r="B7740" t="str">
            <v>YZ-SUZQ9441</v>
          </cell>
        </row>
        <row r="7741">
          <cell r="A7741" t="str">
            <v>YZ-SUZQ9441-R0-2XL-GM</v>
          </cell>
          <cell r="B7741" t="str">
            <v>YZ-SUZQ9441</v>
          </cell>
        </row>
        <row r="7742">
          <cell r="A7742" t="str">
            <v>YZ-SUZQ9441-R0-3XL</v>
          </cell>
          <cell r="B7742" t="str">
            <v>YZ-SUZQ9441</v>
          </cell>
        </row>
        <row r="7743">
          <cell r="A7743" t="str">
            <v>YZ-SUZQ9441-R0-3XL-GM</v>
          </cell>
          <cell r="B7743" t="str">
            <v>YZ-SUZQ9441</v>
          </cell>
        </row>
        <row r="7744">
          <cell r="A7744" t="str">
            <v>YZ-SUZQ9441-R0-L</v>
          </cell>
          <cell r="B7744" t="str">
            <v>YZ-SUZQ9441</v>
          </cell>
        </row>
        <row r="7745">
          <cell r="A7745" t="str">
            <v>YZ-SUZQ9441-R0-L-GM</v>
          </cell>
          <cell r="B7745" t="str">
            <v>YZ-SUZQ9441</v>
          </cell>
        </row>
        <row r="7746">
          <cell r="A7746" t="str">
            <v>YZ-SUZQ9441-R0-M</v>
          </cell>
          <cell r="B7746" t="str">
            <v>YZ-SUZQ9441</v>
          </cell>
        </row>
        <row r="7747">
          <cell r="A7747" t="str">
            <v>YZ-SUZQ9441-R0-M-GM</v>
          </cell>
          <cell r="B7747" t="str">
            <v>YZ-SUZQ9441</v>
          </cell>
        </row>
        <row r="7748">
          <cell r="A7748" t="str">
            <v>YZ-SUZQ9441-R0-S</v>
          </cell>
          <cell r="B7748" t="str">
            <v>YZ-SUZQ9441</v>
          </cell>
        </row>
        <row r="7749">
          <cell r="A7749" t="str">
            <v>YZ-SUZQ9441-R0-S-GM</v>
          </cell>
          <cell r="B7749" t="str">
            <v>YZ-SUZQ9441</v>
          </cell>
        </row>
        <row r="7750">
          <cell r="A7750" t="str">
            <v>YZ-SUZQ9441-R0-XL</v>
          </cell>
          <cell r="B7750" t="str">
            <v>YZ-SUZQ9441</v>
          </cell>
        </row>
        <row r="7751">
          <cell r="A7751" t="str">
            <v>YZ-SUZQ9441-R0-XL-GM</v>
          </cell>
          <cell r="B7751" t="str">
            <v>YZ-SUZQ9441</v>
          </cell>
        </row>
        <row r="7752">
          <cell r="A7752" t="str">
            <v>YZ-SUZQ946-B0-L</v>
          </cell>
          <cell r="B7752" t="str">
            <v>YZ-SUZQ946</v>
          </cell>
        </row>
        <row r="7753">
          <cell r="A7753" t="str">
            <v>YZ-SUZQBL03-B0-2X</v>
          </cell>
          <cell r="B7753" t="str">
            <v>YZ-SUZQBL03</v>
          </cell>
        </row>
        <row r="7754">
          <cell r="A7754" t="str">
            <v>YZ-SUZQBL03-B0-3X</v>
          </cell>
          <cell r="B7754" t="str">
            <v>YZ-SUZQBL03</v>
          </cell>
        </row>
        <row r="7755">
          <cell r="A7755" t="str">
            <v>YZ-SUZQBL03-B0-L</v>
          </cell>
          <cell r="B7755" t="str">
            <v>YZ-SUZQBL03</v>
          </cell>
        </row>
        <row r="7756">
          <cell r="A7756" t="str">
            <v>YZ-SUZQBL03-B0-M</v>
          </cell>
          <cell r="B7756" t="str">
            <v>YZ-SUZQBL03</v>
          </cell>
        </row>
        <row r="7757">
          <cell r="A7757" t="str">
            <v>YZ-SUZQBL03-B0-S</v>
          </cell>
          <cell r="B7757" t="str">
            <v>YZ-SUZQBL03</v>
          </cell>
        </row>
        <row r="7758">
          <cell r="A7758" t="str">
            <v>YZ-SUZQBL03-B0-XL</v>
          </cell>
          <cell r="B7758" t="str">
            <v>YZ-SUZQBL03</v>
          </cell>
        </row>
        <row r="7759">
          <cell r="A7759" t="str">
            <v>YZ-SUZQBL03-K0-2X</v>
          </cell>
          <cell r="B7759" t="str">
            <v>YZ-SUZQBL03</v>
          </cell>
        </row>
        <row r="7760">
          <cell r="A7760" t="str">
            <v>YZ-SUZQBL03-K0-3X</v>
          </cell>
          <cell r="B7760" t="str">
            <v>YZ-SUZQBL03</v>
          </cell>
        </row>
        <row r="7761">
          <cell r="A7761" t="str">
            <v>YZ-SUZQBL03-K0-L</v>
          </cell>
          <cell r="B7761" t="str">
            <v>YZ-SUZQBL03</v>
          </cell>
        </row>
        <row r="7762">
          <cell r="A7762" t="str">
            <v>YZ-SUZQBL03-K0-M</v>
          </cell>
          <cell r="B7762" t="str">
            <v>YZ-SUZQBL03</v>
          </cell>
        </row>
        <row r="7763">
          <cell r="A7763" t="str">
            <v>YZ-SUZQBL03-K0-S</v>
          </cell>
          <cell r="B7763" t="str">
            <v>YZ-SUZQBL03</v>
          </cell>
        </row>
        <row r="7764">
          <cell r="A7764" t="str">
            <v>YZ-SUZQBL03-K0-XL</v>
          </cell>
          <cell r="B7764" t="str">
            <v>YZ-SUZQBL03</v>
          </cell>
        </row>
        <row r="7765">
          <cell r="A7765" t="str">
            <v>YZ-SUZQBL03-R2-2X</v>
          </cell>
          <cell r="B7765" t="str">
            <v>YZ-SUZQBL03</v>
          </cell>
        </row>
        <row r="7766">
          <cell r="A7766" t="str">
            <v>YZ-SUZQBL03-R2-3X</v>
          </cell>
          <cell r="B7766" t="str">
            <v>YZ-SUZQBL03</v>
          </cell>
        </row>
        <row r="7767">
          <cell r="A7767" t="str">
            <v>YZ-SUZQBL03-R2-L</v>
          </cell>
          <cell r="B7767" t="str">
            <v>YZ-SUZQBL03</v>
          </cell>
        </row>
        <row r="7768">
          <cell r="A7768" t="str">
            <v>YZ-SUZQBL03-R2-M</v>
          </cell>
          <cell r="B7768" t="str">
            <v>YZ-SUZQBL03</v>
          </cell>
        </row>
        <row r="7769">
          <cell r="A7769" t="str">
            <v>YZ-SUZQBL03-R2-S</v>
          </cell>
          <cell r="B7769" t="str">
            <v>YZ-SUZQBL03</v>
          </cell>
        </row>
        <row r="7770">
          <cell r="A7770" t="str">
            <v>YZ-SUZQBL03-R2-XL</v>
          </cell>
          <cell r="B7770" t="str">
            <v>YZ-SUZQBL03</v>
          </cell>
        </row>
        <row r="7771">
          <cell r="A7771" t="str">
            <v>YZ-SYCA1018YeM</v>
          </cell>
          <cell r="B7771" t="str">
            <v>YZ-SYCA1018</v>
          </cell>
        </row>
        <row r="7772">
          <cell r="A7772" t="str">
            <v>YZ-TJ1245001L</v>
          </cell>
          <cell r="B7772" t="str">
            <v>YZ-TJ1245</v>
          </cell>
        </row>
        <row r="7773">
          <cell r="A7773" t="str">
            <v>YZ-TJ1245002L</v>
          </cell>
          <cell r="B7773" t="str">
            <v>YZ-TJ1245</v>
          </cell>
        </row>
        <row r="7774">
          <cell r="A7774" t="str">
            <v>YZ-TJ1245003L</v>
          </cell>
          <cell r="B7774" t="str">
            <v>YZ-TJ1245</v>
          </cell>
        </row>
        <row r="7775">
          <cell r="A7775" t="str">
            <v>YZ-TJ1245003L-GM</v>
          </cell>
          <cell r="B7775" t="str">
            <v>YZ-TJ1245</v>
          </cell>
        </row>
        <row r="7776">
          <cell r="A7776" t="str">
            <v>YZ-TJ124500L</v>
          </cell>
          <cell r="B7776" t="str">
            <v>YZ-TJ1245</v>
          </cell>
        </row>
        <row r="7777">
          <cell r="A7777" t="str">
            <v>YZ-TJ124500M</v>
          </cell>
          <cell r="B7777" t="str">
            <v>YZ-TJ1245</v>
          </cell>
        </row>
        <row r="7778">
          <cell r="A7778" t="str">
            <v>YZ-TJ1245G01L</v>
          </cell>
          <cell r="B7778" t="str">
            <v>YZ-TJ1245</v>
          </cell>
        </row>
        <row r="7779">
          <cell r="A7779" t="str">
            <v>YZ-TJ1245G02L</v>
          </cell>
          <cell r="B7779" t="str">
            <v>YZ-TJ1245</v>
          </cell>
        </row>
        <row r="7780">
          <cell r="A7780" t="str">
            <v>YZ-TJ1245G03L</v>
          </cell>
          <cell r="B7780" t="str">
            <v>YZ-TJ1245</v>
          </cell>
        </row>
        <row r="7781">
          <cell r="A7781" t="str">
            <v>YZ-TJ1245G03L-GM</v>
          </cell>
          <cell r="B7781" t="str">
            <v>YZ-TJ1245</v>
          </cell>
        </row>
        <row r="7782">
          <cell r="A7782" t="str">
            <v>YZ-TJ1245G0L</v>
          </cell>
          <cell r="B7782" t="str">
            <v>YZ-TJ1245</v>
          </cell>
        </row>
        <row r="7783">
          <cell r="A7783" t="str">
            <v>YZ-TJ1245G0M</v>
          </cell>
          <cell r="B7783" t="str">
            <v>YZ-TJ1245</v>
          </cell>
        </row>
        <row r="7784">
          <cell r="A7784" t="str">
            <v>YZ-TJ1245-K0-M</v>
          </cell>
          <cell r="B7784" t="str">
            <v>YZ-TJ1245</v>
          </cell>
        </row>
        <row r="7785">
          <cell r="A7785" t="str">
            <v>YZ-TJ1245-K0-XL</v>
          </cell>
          <cell r="B7785" t="str">
            <v>YZ-TJ1245</v>
          </cell>
        </row>
        <row r="7786">
          <cell r="A7786" t="str">
            <v>YZ-TJ1245W01L</v>
          </cell>
          <cell r="B7786" t="str">
            <v>YZ-TJ1245</v>
          </cell>
        </row>
        <row r="7787">
          <cell r="A7787" t="str">
            <v>YZ-TJ1245W02L</v>
          </cell>
          <cell r="B7787" t="str">
            <v>YZ-TJ1245</v>
          </cell>
        </row>
        <row r="7788">
          <cell r="A7788" t="str">
            <v>YZ-TJ1245W03L</v>
          </cell>
          <cell r="B7788" t="str">
            <v>YZ-TJ1245</v>
          </cell>
        </row>
        <row r="7789">
          <cell r="A7789" t="str">
            <v>YZ-TJ1245W0L</v>
          </cell>
          <cell r="B7789" t="str">
            <v>YZ-TJ1245</v>
          </cell>
        </row>
        <row r="7790">
          <cell r="A7790" t="str">
            <v>YZ-TJ1245W0M</v>
          </cell>
          <cell r="B7790" t="str">
            <v>YZ-TJ1245</v>
          </cell>
        </row>
        <row r="7791">
          <cell r="A7791" t="str">
            <v>YZ-WHZ766-R0-L</v>
          </cell>
          <cell r="B7791" t="str">
            <v>YZ-WHZ766</v>
          </cell>
        </row>
        <row r="7792">
          <cell r="A7792" t="str">
            <v>YZ-WHZ766-R0-M</v>
          </cell>
          <cell r="B7792" t="str">
            <v>YZ-WHZ766</v>
          </cell>
        </row>
        <row r="7793">
          <cell r="A7793" t="str">
            <v>YZ-WHZ766-R0-S</v>
          </cell>
          <cell r="B7793" t="str">
            <v>YZ-WHZ766</v>
          </cell>
        </row>
        <row r="7794">
          <cell r="A7794" t="str">
            <v>YZ-WHZ766-R0-XL</v>
          </cell>
          <cell r="B7794" t="str">
            <v>YZ-WHZ766</v>
          </cell>
        </row>
        <row r="7795">
          <cell r="A7795" t="str">
            <v>YZ-XJ001Gr2L</v>
          </cell>
          <cell r="B7795" t="str">
            <v>YZ-XJ001</v>
          </cell>
        </row>
        <row r="7796">
          <cell r="A7796" t="str">
            <v>YZ-XJ001GrXL</v>
          </cell>
          <cell r="B7796" t="str">
            <v>YZ-XJ001</v>
          </cell>
        </row>
        <row r="7797">
          <cell r="A7797" t="str">
            <v>YZ-XQ1443K02XL</v>
          </cell>
          <cell r="B7797" t="str">
            <v>YZ-XQ1443</v>
          </cell>
        </row>
        <row r="7798">
          <cell r="A7798" t="str">
            <v>YZ-XQ1443K03XL</v>
          </cell>
          <cell r="B7798" t="str">
            <v>YZ-XQ1443</v>
          </cell>
        </row>
        <row r="7799">
          <cell r="A7799" t="str">
            <v>YZ-XQ1443K0L</v>
          </cell>
          <cell r="B7799" t="str">
            <v>YZ-XQ1443</v>
          </cell>
        </row>
        <row r="7800">
          <cell r="A7800" t="str">
            <v>YZ-XQ1443K0M</v>
          </cell>
          <cell r="B7800" t="str">
            <v>YZ-XQ1443</v>
          </cell>
        </row>
        <row r="7801">
          <cell r="A7801" t="str">
            <v>YZ-XQ1443K0XL</v>
          </cell>
          <cell r="B7801" t="str">
            <v>YZ-XQ1443</v>
          </cell>
        </row>
        <row r="7802">
          <cell r="A7802" t="str">
            <v>YZ-XQ1443Re2XL</v>
          </cell>
          <cell r="B7802" t="str">
            <v>YZ-XQ1443</v>
          </cell>
        </row>
        <row r="7803">
          <cell r="A7803" t="str">
            <v>YZ-XQ1443Re3XL</v>
          </cell>
          <cell r="B7803" t="str">
            <v>YZ-XQ1443</v>
          </cell>
        </row>
        <row r="7804">
          <cell r="A7804" t="str">
            <v>YZ-XQ1443ReL</v>
          </cell>
          <cell r="B7804" t="str">
            <v>YZ-XQ1443</v>
          </cell>
        </row>
        <row r="7805">
          <cell r="A7805" t="str">
            <v>YZ-XQ1443ReM</v>
          </cell>
          <cell r="B7805" t="str">
            <v>YZ-XQ1443</v>
          </cell>
        </row>
        <row r="7806">
          <cell r="A7806" t="str">
            <v>YZ-XQ1443ReXL</v>
          </cell>
          <cell r="B7806" t="str">
            <v>YZ-XQ1443</v>
          </cell>
        </row>
        <row r="7807">
          <cell r="A7807" t="str">
            <v>YZ-XSW3071Feather5L</v>
          </cell>
          <cell r="B7807" t="str">
            <v>YZ-XSW3071</v>
          </cell>
        </row>
        <row r="7808">
          <cell r="A7808" t="str">
            <v>YZ-YGD2000-2XL</v>
          </cell>
          <cell r="B7808" t="str">
            <v>YZ-YGD2000</v>
          </cell>
        </row>
        <row r="7809">
          <cell r="A7809" t="str">
            <v>YZ-YGD2000-3XL</v>
          </cell>
          <cell r="B7809" t="str">
            <v>YZ-YGD2000</v>
          </cell>
        </row>
        <row r="7810">
          <cell r="A7810" t="str">
            <v>YZ-YGD2000-L</v>
          </cell>
          <cell r="B7810" t="str">
            <v>YZ-YGD2000</v>
          </cell>
        </row>
        <row r="7811">
          <cell r="A7811" t="str">
            <v>YZ-YGD2000-M</v>
          </cell>
          <cell r="B7811" t="str">
            <v>YZ-YGD2000</v>
          </cell>
        </row>
        <row r="7812">
          <cell r="A7812" t="str">
            <v>YZ-YGD2000-S</v>
          </cell>
          <cell r="B7812" t="str">
            <v>YZ-YGD2000</v>
          </cell>
        </row>
        <row r="7813">
          <cell r="A7813" t="str">
            <v>YZ-YGD2000-XL</v>
          </cell>
          <cell r="B7813" t="str">
            <v>YZ-YGD2000</v>
          </cell>
        </row>
        <row r="7814">
          <cell r="A7814" t="str">
            <v>YZ-YO1521-BF-2XL</v>
          </cell>
          <cell r="B7814" t="str">
            <v>YZ-YO1521</v>
          </cell>
        </row>
        <row r="7815">
          <cell r="A7815" t="str">
            <v>YZ-YO1521-BF-3XL</v>
          </cell>
          <cell r="B7815" t="str">
            <v>YZ-YO1521</v>
          </cell>
        </row>
        <row r="7816">
          <cell r="A7816" t="str">
            <v>YZ-YO1521-BF-4XL</v>
          </cell>
          <cell r="B7816" t="str">
            <v>YZ-YO1521</v>
          </cell>
        </row>
        <row r="7817">
          <cell r="A7817" t="str">
            <v>YZ-YO1521-BF-5XL</v>
          </cell>
          <cell r="B7817" t="str">
            <v>YZ-YO1521</v>
          </cell>
        </row>
        <row r="7818">
          <cell r="A7818" t="str">
            <v>YZ-YO1521-BF-XL</v>
          </cell>
          <cell r="B7818" t="str">
            <v>YZ-YO1521</v>
          </cell>
        </row>
        <row r="7819">
          <cell r="A7819" t="str">
            <v>YZ-YO1521-BL-2XL</v>
          </cell>
          <cell r="B7819" t="str">
            <v>YZ-YO1521</v>
          </cell>
        </row>
        <row r="7820">
          <cell r="A7820" t="str">
            <v>YZ-YO1521-BL-3XL</v>
          </cell>
          <cell r="B7820" t="str">
            <v>YZ-YO1521</v>
          </cell>
        </row>
        <row r="7821">
          <cell r="A7821" t="str">
            <v>YZ-YO1521-BL-4XL</v>
          </cell>
          <cell r="B7821" t="str">
            <v>YZ-YO1521</v>
          </cell>
        </row>
        <row r="7822">
          <cell r="A7822" t="str">
            <v>YZ-YO1521-BL-5XL</v>
          </cell>
          <cell r="B7822" t="str">
            <v>YZ-YO1521</v>
          </cell>
        </row>
        <row r="7823">
          <cell r="A7823" t="str">
            <v>YZ-YO1521-BL-XL</v>
          </cell>
          <cell r="B7823" t="str">
            <v>YZ-YO1521</v>
          </cell>
        </row>
        <row r="7824">
          <cell r="A7824" t="str">
            <v>YZ-YO1521-GF-2XL</v>
          </cell>
          <cell r="B7824" t="str">
            <v>YZ-YO1521</v>
          </cell>
        </row>
        <row r="7825">
          <cell r="A7825" t="str">
            <v>YZ-YO1521-GF-3XL</v>
          </cell>
          <cell r="B7825" t="str">
            <v>YZ-YO1521</v>
          </cell>
        </row>
        <row r="7826">
          <cell r="A7826" t="str">
            <v>YZ-YO1521-GF-4XL</v>
          </cell>
          <cell r="B7826" t="str">
            <v>YZ-YO1521</v>
          </cell>
        </row>
        <row r="7827">
          <cell r="A7827" t="str">
            <v>YZ-YO1521-GF-5XL</v>
          </cell>
          <cell r="B7827" t="str">
            <v>YZ-YO1521</v>
          </cell>
        </row>
        <row r="7828">
          <cell r="A7828" t="str">
            <v>YZ-YO1521-GF-XL</v>
          </cell>
          <cell r="B7828" t="str">
            <v>YZ-YO1521</v>
          </cell>
        </row>
        <row r="7829">
          <cell r="A7829" t="str">
            <v>YZ-YO1521-GW-2XL</v>
          </cell>
          <cell r="B7829" t="str">
            <v>YZ-YO1521</v>
          </cell>
        </row>
        <row r="7830">
          <cell r="A7830" t="str">
            <v>YZ-YO1521-GW-3XL</v>
          </cell>
          <cell r="B7830" t="str">
            <v>YZ-YO1521</v>
          </cell>
        </row>
        <row r="7831">
          <cell r="A7831" t="str">
            <v>YZ-YO1521-GW-4XL</v>
          </cell>
          <cell r="B7831" t="str">
            <v>YZ-YO1521</v>
          </cell>
        </row>
        <row r="7832">
          <cell r="A7832" t="str">
            <v>YZ-YO1521-GW-5XL</v>
          </cell>
          <cell r="B7832" t="str">
            <v>YZ-YO1521</v>
          </cell>
        </row>
        <row r="7833">
          <cell r="A7833" t="str">
            <v>YZ-YO1521-GW-XL</v>
          </cell>
          <cell r="B7833" t="str">
            <v>YZ-YO1521</v>
          </cell>
        </row>
        <row r="7834">
          <cell r="A7834" t="str">
            <v>YZ-YO1521-KF-2XL</v>
          </cell>
          <cell r="B7834" t="str">
            <v>YZ-YO1521</v>
          </cell>
        </row>
        <row r="7835">
          <cell r="A7835" t="str">
            <v>YZ-YO1521-KF-3XL</v>
          </cell>
          <cell r="B7835" t="str">
            <v>YZ-YO1521</v>
          </cell>
        </row>
        <row r="7836">
          <cell r="A7836" t="str">
            <v>YZ-YO1521-KF-4XL</v>
          </cell>
          <cell r="B7836" t="str">
            <v>YZ-YO1521</v>
          </cell>
        </row>
        <row r="7837">
          <cell r="A7837" t="str">
            <v>YZ-YO1521-KF-5XL</v>
          </cell>
          <cell r="B7837" t="str">
            <v>YZ-YO1521</v>
          </cell>
        </row>
        <row r="7838">
          <cell r="A7838" t="str">
            <v>YZ-YO1521-KF-XL</v>
          </cell>
          <cell r="B7838" t="str">
            <v>YZ-YO1521</v>
          </cell>
        </row>
        <row r="7839">
          <cell r="A7839" t="str">
            <v>YZ-YO1521-RF-2XL</v>
          </cell>
          <cell r="B7839" t="str">
            <v>YZ-YO1521</v>
          </cell>
        </row>
        <row r="7840">
          <cell r="A7840" t="str">
            <v>YZ-YO1521-RF-3XL</v>
          </cell>
          <cell r="B7840" t="str">
            <v>YZ-YO1521</v>
          </cell>
        </row>
        <row r="7841">
          <cell r="A7841" t="str">
            <v>YZ-YO1521-RF-4XL</v>
          </cell>
          <cell r="B7841" t="str">
            <v>YZ-YO1521</v>
          </cell>
        </row>
        <row r="7842">
          <cell r="A7842" t="str">
            <v>YZ-YO1521-RF-5XL</v>
          </cell>
          <cell r="B7842" t="str">
            <v>YZ-YO1521</v>
          </cell>
        </row>
        <row r="7843">
          <cell r="A7843" t="str">
            <v>YZ-YO1521-RF-XL</v>
          </cell>
          <cell r="B7843" t="str">
            <v>YZ-YO1521</v>
          </cell>
        </row>
        <row r="7844">
          <cell r="A7844" t="str">
            <v>YZ-YO1521-RL-2XL</v>
          </cell>
          <cell r="B7844" t="str">
            <v>YZ-YO1521</v>
          </cell>
        </row>
        <row r="7845">
          <cell r="A7845" t="str">
            <v>YZ-YO1521-RL-3XL</v>
          </cell>
          <cell r="B7845" t="str">
            <v>YZ-YO1521</v>
          </cell>
        </row>
        <row r="7846">
          <cell r="A7846" t="str">
            <v>YZ-YO1521-RL-4XL</v>
          </cell>
          <cell r="B7846" t="str">
            <v>YZ-YO1521</v>
          </cell>
        </row>
        <row r="7847">
          <cell r="A7847" t="str">
            <v>YZ-YO1521-RL-5XL</v>
          </cell>
          <cell r="B7847" t="str">
            <v>YZ-YO1521</v>
          </cell>
        </row>
        <row r="7848">
          <cell r="A7848" t="str">
            <v>YZ-YO1521-RL-XL</v>
          </cell>
          <cell r="B7848" t="str">
            <v>YZ-YO1521</v>
          </cell>
        </row>
        <row r="7849">
          <cell r="A7849" t="str">
            <v>YZ-YO1521-RM-2XL</v>
          </cell>
          <cell r="B7849" t="str">
            <v>YZ-YO1521</v>
          </cell>
        </row>
        <row r="7850">
          <cell r="A7850" t="str">
            <v>YZ-YO1521-RM-3XL</v>
          </cell>
          <cell r="B7850" t="str">
            <v>YZ-YO1521</v>
          </cell>
        </row>
        <row r="7851">
          <cell r="A7851" t="str">
            <v>YZ-YO1521-RM-4XL</v>
          </cell>
          <cell r="B7851" t="str">
            <v>YZ-YO1521</v>
          </cell>
        </row>
        <row r="7852">
          <cell r="A7852" t="str">
            <v>YZ-YO1521-RM-5XL</v>
          </cell>
          <cell r="B7852" t="str">
            <v>YZ-YO1521</v>
          </cell>
        </row>
        <row r="7853">
          <cell r="A7853" t="str">
            <v>YZ-YO1521-RM-XL</v>
          </cell>
          <cell r="B7853" t="str">
            <v>YZ-YO1521</v>
          </cell>
        </row>
        <row r="7854">
          <cell r="A7854" t="str">
            <v>YZ-YO1521-WP-2XL</v>
          </cell>
          <cell r="B7854" t="str">
            <v>YZ-YO1521</v>
          </cell>
        </row>
        <row r="7855">
          <cell r="A7855" t="str">
            <v>YZ-YO1521-WP-3XL</v>
          </cell>
          <cell r="B7855" t="str">
            <v>YZ-YO1521</v>
          </cell>
        </row>
        <row r="7856">
          <cell r="A7856" t="str">
            <v>YZ-YO1521-WP-4XL</v>
          </cell>
          <cell r="B7856" t="str">
            <v>YZ-YO1521</v>
          </cell>
        </row>
        <row r="7857">
          <cell r="A7857" t="str">
            <v>YZ-YO1521-WP-5XL</v>
          </cell>
          <cell r="B7857" t="str">
            <v>YZ-YO1521</v>
          </cell>
        </row>
        <row r="7858">
          <cell r="A7858" t="str">
            <v>YZ-YO1521-WP-XL</v>
          </cell>
          <cell r="B7858" t="str">
            <v>YZ-YO1521</v>
          </cell>
        </row>
        <row r="7859">
          <cell r="A7859" t="str">
            <v>YZ-ZQ0707-G0-L</v>
          </cell>
          <cell r="B7859" t="str">
            <v>YZ-ZQ0707</v>
          </cell>
        </row>
        <row r="7860">
          <cell r="A7860" t="str">
            <v>YZ-ZQ0707-G0-M</v>
          </cell>
          <cell r="B7860" t="str">
            <v>YZ-ZQ0707</v>
          </cell>
        </row>
        <row r="7861">
          <cell r="A7861" t="str">
            <v>YZ-ZQ0707-G0-XL</v>
          </cell>
          <cell r="B7861" t="str">
            <v>YZ-ZQ0707</v>
          </cell>
        </row>
        <row r="7862">
          <cell r="A7862" t="str">
            <v>YZ-ZQ0707-ORTW-2XL</v>
          </cell>
          <cell r="B7862" t="str">
            <v>YZ-ZQ0707</v>
          </cell>
        </row>
        <row r="7863">
          <cell r="A7863" t="str">
            <v>YZ-ZQ0707-ORTW-XL</v>
          </cell>
          <cell r="B7863" t="str">
            <v>YZ-ZQ0707</v>
          </cell>
        </row>
        <row r="7864">
          <cell r="A7864" t="str">
            <v>YZ-ZQ0707-PITW-2XL</v>
          </cell>
          <cell r="B7864" t="str">
            <v>YZ-ZQ0707</v>
          </cell>
        </row>
        <row r="7865">
          <cell r="A7865" t="str">
            <v>YZ-ZQ0707-PITW-L</v>
          </cell>
          <cell r="B7865" t="str">
            <v>YZ-ZQ0707</v>
          </cell>
        </row>
        <row r="7866">
          <cell r="A7866" t="str">
            <v>YZ-ZQ0707-PITW-M</v>
          </cell>
          <cell r="B7866" t="str">
            <v>YZ-ZQ0707</v>
          </cell>
        </row>
        <row r="7867">
          <cell r="A7867" t="str">
            <v>YZ-ZQ0707-PITW-S</v>
          </cell>
          <cell r="B7867" t="str">
            <v>YZ-ZQ0707</v>
          </cell>
        </row>
        <row r="7868">
          <cell r="A7868" t="str">
            <v>YZ-ZQ0707-PITW-XL</v>
          </cell>
          <cell r="B7868" t="str">
            <v>YZ-ZQ0707</v>
          </cell>
        </row>
        <row r="7869">
          <cell r="A7869" t="str">
            <v>YZ-ZQ0707-R0-L</v>
          </cell>
          <cell r="B7869" t="str">
            <v>YZ-ZQ0707</v>
          </cell>
        </row>
        <row r="7870">
          <cell r="A7870" t="str">
            <v>YZ-ZQ0707-R0-XL</v>
          </cell>
          <cell r="B7870" t="str">
            <v>YZ-ZQ0707</v>
          </cell>
        </row>
        <row r="7871">
          <cell r="A7871" t="str">
            <v>YZ-ZQ0707-Y0TW-L</v>
          </cell>
          <cell r="B7871" t="str">
            <v>YZ-ZQ0707</v>
          </cell>
        </row>
        <row r="7872">
          <cell r="A7872" t="str">
            <v>YZ-ZQ0707-Y0TW-XL</v>
          </cell>
          <cell r="B7872" t="str">
            <v>YZ-ZQ0707</v>
          </cell>
        </row>
        <row r="7873">
          <cell r="A7873" t="str">
            <v>YZ-ZQ1126-K0-2X</v>
          </cell>
          <cell r="B7873" t="str">
            <v>YZ-ZQ1126</v>
          </cell>
        </row>
        <row r="7874">
          <cell r="A7874" t="str">
            <v>YZ-ZQ1126-K0-3X</v>
          </cell>
          <cell r="B7874" t="str">
            <v>YZ-ZQ1126</v>
          </cell>
        </row>
        <row r="7875">
          <cell r="A7875" t="str">
            <v>YZ-ZQ1126-K0-4X</v>
          </cell>
          <cell r="B7875" t="str">
            <v>YZ-ZQ1126</v>
          </cell>
        </row>
        <row r="7876">
          <cell r="A7876" t="str">
            <v>YZ-ZQ1126-K0-XL</v>
          </cell>
          <cell r="B7876" t="str">
            <v>YZ-ZQ1126</v>
          </cell>
        </row>
        <row r="7877">
          <cell r="A7877" t="str">
            <v>YZ-ZQ112B0L</v>
          </cell>
          <cell r="B7877" t="str">
            <v>YZ-ZQ112</v>
          </cell>
        </row>
        <row r="7878">
          <cell r="A7878" t="str">
            <v>YZ-ZQ112B0M</v>
          </cell>
          <cell r="B7878" t="str">
            <v>YZ-ZQ112</v>
          </cell>
        </row>
        <row r="7879">
          <cell r="A7879" t="str">
            <v>YZ-ZQ112B0S</v>
          </cell>
          <cell r="B7879" t="str">
            <v>YZ-ZQ112</v>
          </cell>
        </row>
        <row r="7880">
          <cell r="A7880" t="str">
            <v>YZ-ZQ112B0XL</v>
          </cell>
          <cell r="B7880" t="str">
            <v>YZ-ZQ112</v>
          </cell>
        </row>
        <row r="7881">
          <cell r="A7881" t="str">
            <v>YZ-ZQ1197-KW-2X</v>
          </cell>
          <cell r="B7881" t="str">
            <v>YZ-ZQ1197</v>
          </cell>
        </row>
        <row r="7882">
          <cell r="A7882" t="str">
            <v>YZ-ZQ1197-KW-L</v>
          </cell>
          <cell r="B7882" t="str">
            <v>YZ-ZQ1197</v>
          </cell>
        </row>
        <row r="7883">
          <cell r="A7883" t="str">
            <v>YZ-ZQ1197-KW-M</v>
          </cell>
          <cell r="B7883" t="str">
            <v>YZ-ZQ1197</v>
          </cell>
        </row>
        <row r="7884">
          <cell r="A7884" t="str">
            <v>YZ-ZQ1197-KW-XL</v>
          </cell>
          <cell r="B7884" t="str">
            <v>YZ-ZQ1197</v>
          </cell>
        </row>
        <row r="7885">
          <cell r="A7885" t="str">
            <v>YZ-ZQ1197-W0-L</v>
          </cell>
          <cell r="B7885" t="str">
            <v>YZ-ZQ1197</v>
          </cell>
        </row>
        <row r="7886">
          <cell r="A7886" t="str">
            <v>YZ-ZQ1197-W0-M</v>
          </cell>
          <cell r="B7886" t="str">
            <v>YZ-ZQ1197</v>
          </cell>
        </row>
        <row r="7887">
          <cell r="A7887" t="str">
            <v>YZ-ZQ1197-W0-XL</v>
          </cell>
          <cell r="B7887" t="str">
            <v>YZ-ZQ1197</v>
          </cell>
        </row>
        <row r="7888">
          <cell r="A7888" t="str">
            <v>YZ-ZQ123B02XL</v>
          </cell>
          <cell r="B7888" t="str">
            <v>YZ-ZQ123</v>
          </cell>
        </row>
        <row r="7889">
          <cell r="A7889" t="str">
            <v>YZ-ZQ123B03XL</v>
          </cell>
          <cell r="B7889" t="str">
            <v>YZ-ZQ123</v>
          </cell>
        </row>
        <row r="7890">
          <cell r="A7890" t="str">
            <v>YZ-ZQ123B04XL</v>
          </cell>
          <cell r="B7890" t="str">
            <v>YZ-ZQ123</v>
          </cell>
        </row>
        <row r="7891">
          <cell r="A7891" t="str">
            <v>YZ-ZQ123B05XL</v>
          </cell>
          <cell r="B7891" t="str">
            <v>YZ-ZQ123</v>
          </cell>
        </row>
        <row r="7892">
          <cell r="A7892" t="str">
            <v>YZ-ZQ123B0L</v>
          </cell>
          <cell r="B7892" t="str">
            <v>YZ-ZQ123</v>
          </cell>
        </row>
        <row r="7893">
          <cell r="A7893" t="str">
            <v>YZ-ZQ123B0XL</v>
          </cell>
          <cell r="B7893" t="str">
            <v>YZ-ZQ123</v>
          </cell>
        </row>
        <row r="7894">
          <cell r="A7894" t="str">
            <v>YZ-ZQ1328-Y0-L</v>
          </cell>
          <cell r="B7894" t="str">
            <v>YZ-ZQ1328</v>
          </cell>
        </row>
        <row r="7895">
          <cell r="A7895" t="str">
            <v>YZ-ZQ1328-Y0-M</v>
          </cell>
          <cell r="B7895" t="str">
            <v>YZ-ZQ1328</v>
          </cell>
        </row>
        <row r="7896">
          <cell r="A7896" t="str">
            <v>YZ-ZQ1328-Y0-XL</v>
          </cell>
          <cell r="B7896" t="str">
            <v>YZ-ZQ1328</v>
          </cell>
        </row>
        <row r="7897">
          <cell r="A7897" t="str">
            <v>YZ-ZQ144K02XL</v>
          </cell>
          <cell r="B7897" t="str">
            <v>YZ-ZQ144</v>
          </cell>
        </row>
        <row r="7898">
          <cell r="A7898" t="str">
            <v>YZ-ZQ144K03XL</v>
          </cell>
          <cell r="B7898" t="str">
            <v>YZ-ZQ144</v>
          </cell>
        </row>
        <row r="7899">
          <cell r="A7899" t="str">
            <v>YZ-ZQ144K0M</v>
          </cell>
          <cell r="B7899" t="str">
            <v>YZ-ZQ144</v>
          </cell>
        </row>
        <row r="7900">
          <cell r="A7900" t="str">
            <v>YZ-ZQ144K0XL</v>
          </cell>
          <cell r="B7900" t="str">
            <v>YZ-ZQ144</v>
          </cell>
        </row>
        <row r="7901">
          <cell r="A7901" t="str">
            <v>YZ-ZQ144R03XL</v>
          </cell>
          <cell r="B7901" t="str">
            <v>YZ-ZQ144</v>
          </cell>
        </row>
        <row r="7902">
          <cell r="A7902" t="str">
            <v>YZ-ZQ14578-K0-2X</v>
          </cell>
          <cell r="B7902" t="str">
            <v>YZ-ZQ14578</v>
          </cell>
        </row>
        <row r="7903">
          <cell r="A7903" t="str">
            <v>YZ-ZQ14578-K0-3X</v>
          </cell>
          <cell r="B7903" t="str">
            <v>YZ-ZQ14578</v>
          </cell>
        </row>
        <row r="7904">
          <cell r="A7904" t="str">
            <v>YZ-ZQ14578-K0-4X</v>
          </cell>
          <cell r="B7904" t="str">
            <v>YZ-ZQ14578</v>
          </cell>
        </row>
        <row r="7905">
          <cell r="A7905" t="str">
            <v>YZ-ZQ14578-K0-5X</v>
          </cell>
          <cell r="B7905" t="str">
            <v>YZ-ZQ14578</v>
          </cell>
        </row>
        <row r="7906">
          <cell r="A7906" t="str">
            <v>YZ-ZQ14578-K0-L</v>
          </cell>
          <cell r="B7906" t="str">
            <v>YZ-ZQ14578</v>
          </cell>
        </row>
        <row r="7907">
          <cell r="A7907" t="str">
            <v>YZ-ZQ14578-K0-XL</v>
          </cell>
          <cell r="B7907" t="str">
            <v>YZ-ZQ14578</v>
          </cell>
        </row>
        <row r="7908">
          <cell r="A7908" t="str">
            <v>YZ-ZQ14976-R0-2X</v>
          </cell>
          <cell r="B7908" t="str">
            <v>YZ-ZQ14976</v>
          </cell>
        </row>
        <row r="7909">
          <cell r="A7909" t="str">
            <v>YZ-ZQ14976-R0-3X</v>
          </cell>
          <cell r="B7909" t="str">
            <v>YZ-ZQ14976</v>
          </cell>
        </row>
        <row r="7910">
          <cell r="A7910" t="str">
            <v>YZ-ZQ14976-R0-4X</v>
          </cell>
          <cell r="B7910" t="str">
            <v>YZ-ZQ14976</v>
          </cell>
        </row>
        <row r="7911">
          <cell r="A7911" t="str">
            <v>YZ-ZQ14976-R0-5X</v>
          </cell>
          <cell r="B7911" t="str">
            <v>YZ-ZQ14976</v>
          </cell>
        </row>
        <row r="7912">
          <cell r="A7912" t="str">
            <v>YZ-ZQ14976-R0-L</v>
          </cell>
          <cell r="B7912" t="str">
            <v>YZ-ZQ14976</v>
          </cell>
        </row>
        <row r="7913">
          <cell r="A7913" t="str">
            <v>YZ-ZQ14976-R0-M</v>
          </cell>
          <cell r="B7913" t="str">
            <v>YZ-ZQ14976</v>
          </cell>
        </row>
        <row r="7914">
          <cell r="A7914" t="str">
            <v>YZ-ZQ14976-R0-XL</v>
          </cell>
          <cell r="B7914" t="str">
            <v>YZ-ZQ14976</v>
          </cell>
        </row>
        <row r="7915">
          <cell r="A7915" t="str">
            <v>YZ-ZQ14976-Y0-100X</v>
          </cell>
          <cell r="B7915" t="str">
            <v>YZ-ZQ14976</v>
          </cell>
        </row>
        <row r="7916">
          <cell r="A7916" t="str">
            <v>YZ-ZQ14976-Y0-101X</v>
          </cell>
          <cell r="B7916" t="str">
            <v>YZ-ZQ14976</v>
          </cell>
        </row>
        <row r="7917">
          <cell r="A7917" t="str">
            <v>YZ-ZQ14976-Y0-102X</v>
          </cell>
          <cell r="B7917" t="str">
            <v>YZ-ZQ14976</v>
          </cell>
        </row>
        <row r="7918">
          <cell r="A7918" t="str">
            <v>YZ-ZQ14976-Y0-103X</v>
          </cell>
          <cell r="B7918" t="str">
            <v>YZ-ZQ14976</v>
          </cell>
        </row>
        <row r="7919">
          <cell r="A7919" t="str">
            <v>YZ-ZQ14976-Y0-104X</v>
          </cell>
          <cell r="B7919" t="str">
            <v>YZ-ZQ14976</v>
          </cell>
        </row>
        <row r="7920">
          <cell r="A7920" t="str">
            <v>YZ-ZQ14976-Y0-105X</v>
          </cell>
          <cell r="B7920" t="str">
            <v>YZ-ZQ14976</v>
          </cell>
        </row>
        <row r="7921">
          <cell r="A7921" t="str">
            <v>YZ-ZQ14976-Y0-106X</v>
          </cell>
          <cell r="B7921" t="str">
            <v>YZ-ZQ14976</v>
          </cell>
        </row>
        <row r="7922">
          <cell r="A7922" t="str">
            <v>YZ-ZQ14976-Y0-107X</v>
          </cell>
          <cell r="B7922" t="str">
            <v>YZ-ZQ14976</v>
          </cell>
        </row>
        <row r="7923">
          <cell r="A7923" t="str">
            <v>YZ-ZQ14976-Y0-108X</v>
          </cell>
          <cell r="B7923" t="str">
            <v>YZ-ZQ14976</v>
          </cell>
        </row>
        <row r="7924">
          <cell r="A7924" t="str">
            <v>YZ-ZQ14976-Y0-109X</v>
          </cell>
          <cell r="B7924" t="str">
            <v>YZ-ZQ14976</v>
          </cell>
        </row>
        <row r="7925">
          <cell r="A7925" t="str">
            <v>YZ-ZQ14976-Y0-10X</v>
          </cell>
          <cell r="B7925" t="str">
            <v>YZ-ZQ14976</v>
          </cell>
        </row>
        <row r="7926">
          <cell r="A7926" t="str">
            <v>YZ-ZQ14976-Y0-110X</v>
          </cell>
          <cell r="B7926" t="str">
            <v>YZ-ZQ14976</v>
          </cell>
        </row>
        <row r="7927">
          <cell r="A7927" t="str">
            <v>YZ-ZQ14976-Y0-111X</v>
          </cell>
          <cell r="B7927" t="str">
            <v>YZ-ZQ14976</v>
          </cell>
        </row>
        <row r="7928">
          <cell r="A7928" t="str">
            <v>YZ-ZQ14976-Y0-112X</v>
          </cell>
          <cell r="B7928" t="str">
            <v>YZ-ZQ14976</v>
          </cell>
        </row>
        <row r="7929">
          <cell r="A7929" t="str">
            <v>YZ-ZQ14976-Y0-113X</v>
          </cell>
          <cell r="B7929" t="str">
            <v>YZ-ZQ14976</v>
          </cell>
        </row>
        <row r="7930">
          <cell r="A7930" t="str">
            <v>YZ-ZQ14976-Y0-114X</v>
          </cell>
          <cell r="B7930" t="str">
            <v>YZ-ZQ14976</v>
          </cell>
        </row>
        <row r="7931">
          <cell r="A7931" t="str">
            <v>YZ-ZQ14976-Y0-115X</v>
          </cell>
          <cell r="B7931" t="str">
            <v>YZ-ZQ14976</v>
          </cell>
        </row>
        <row r="7932">
          <cell r="A7932" t="str">
            <v>YZ-ZQ14976-Y0-116X</v>
          </cell>
          <cell r="B7932" t="str">
            <v>YZ-ZQ14976</v>
          </cell>
        </row>
        <row r="7933">
          <cell r="A7933" t="str">
            <v>YZ-ZQ14976-Y0-117X</v>
          </cell>
          <cell r="B7933" t="str">
            <v>YZ-ZQ14976</v>
          </cell>
        </row>
        <row r="7934">
          <cell r="A7934" t="str">
            <v>YZ-ZQ14976-Y0-118X</v>
          </cell>
          <cell r="B7934" t="str">
            <v>YZ-ZQ14976</v>
          </cell>
        </row>
        <row r="7935">
          <cell r="A7935" t="str">
            <v>YZ-ZQ14976-Y0-119X</v>
          </cell>
          <cell r="B7935" t="str">
            <v>YZ-ZQ14976</v>
          </cell>
        </row>
        <row r="7936">
          <cell r="A7936" t="str">
            <v>YZ-ZQ14976-Y0-11X</v>
          </cell>
          <cell r="B7936" t="str">
            <v>YZ-ZQ14976</v>
          </cell>
        </row>
        <row r="7937">
          <cell r="A7937" t="str">
            <v>YZ-ZQ14976-Y0-120X</v>
          </cell>
          <cell r="B7937" t="str">
            <v>YZ-ZQ14976</v>
          </cell>
        </row>
        <row r="7938">
          <cell r="A7938" t="str">
            <v>YZ-ZQ14976-Y0-121X</v>
          </cell>
          <cell r="B7938" t="str">
            <v>YZ-ZQ14976</v>
          </cell>
        </row>
        <row r="7939">
          <cell r="A7939" t="str">
            <v>YZ-ZQ14976-Y0-122X</v>
          </cell>
          <cell r="B7939" t="str">
            <v>YZ-ZQ14976</v>
          </cell>
        </row>
        <row r="7940">
          <cell r="A7940" t="str">
            <v>YZ-ZQ14976-Y0-123X</v>
          </cell>
          <cell r="B7940" t="str">
            <v>YZ-ZQ14976</v>
          </cell>
        </row>
        <row r="7941">
          <cell r="A7941" t="str">
            <v>YZ-ZQ14976-Y0-124X</v>
          </cell>
          <cell r="B7941" t="str">
            <v>YZ-ZQ14976</v>
          </cell>
        </row>
        <row r="7942">
          <cell r="A7942" t="str">
            <v>YZ-ZQ14976-Y0-125X</v>
          </cell>
          <cell r="B7942" t="str">
            <v>YZ-ZQ14976</v>
          </cell>
        </row>
        <row r="7943">
          <cell r="A7943" t="str">
            <v>YZ-ZQ14976-Y0-126X</v>
          </cell>
          <cell r="B7943" t="str">
            <v>YZ-ZQ14976</v>
          </cell>
        </row>
        <row r="7944">
          <cell r="A7944" t="str">
            <v>YZ-ZQ14976-Y0-127X</v>
          </cell>
          <cell r="B7944" t="str">
            <v>YZ-ZQ14976</v>
          </cell>
        </row>
        <row r="7945">
          <cell r="A7945" t="str">
            <v>YZ-ZQ14976-Y0-128X</v>
          </cell>
          <cell r="B7945" t="str">
            <v>YZ-ZQ14976</v>
          </cell>
        </row>
        <row r="7946">
          <cell r="A7946" t="str">
            <v>YZ-ZQ14976-Y0-129X</v>
          </cell>
          <cell r="B7946" t="str">
            <v>YZ-ZQ14976</v>
          </cell>
        </row>
        <row r="7947">
          <cell r="A7947" t="str">
            <v>YZ-ZQ14976-Y0-12X</v>
          </cell>
          <cell r="B7947" t="str">
            <v>YZ-ZQ14976</v>
          </cell>
        </row>
        <row r="7948">
          <cell r="A7948" t="str">
            <v>YZ-ZQ14976-Y0-130X</v>
          </cell>
          <cell r="B7948" t="str">
            <v>YZ-ZQ14976</v>
          </cell>
        </row>
        <row r="7949">
          <cell r="A7949" t="str">
            <v>YZ-ZQ14976-Y0-131X</v>
          </cell>
          <cell r="B7949" t="str">
            <v>YZ-ZQ14976</v>
          </cell>
        </row>
        <row r="7950">
          <cell r="A7950" t="str">
            <v>YZ-ZQ14976-Y0-132X</v>
          </cell>
          <cell r="B7950" t="str">
            <v>YZ-ZQ14976</v>
          </cell>
        </row>
        <row r="7951">
          <cell r="A7951" t="str">
            <v>YZ-ZQ14976-Y0-133X</v>
          </cell>
          <cell r="B7951" t="str">
            <v>YZ-ZQ14976</v>
          </cell>
        </row>
        <row r="7952">
          <cell r="A7952" t="str">
            <v>YZ-ZQ14976-Y0-134X</v>
          </cell>
          <cell r="B7952" t="str">
            <v>YZ-ZQ14976</v>
          </cell>
        </row>
        <row r="7953">
          <cell r="A7953" t="str">
            <v>YZ-ZQ14976-Y0-135X</v>
          </cell>
          <cell r="B7953" t="str">
            <v>YZ-ZQ14976</v>
          </cell>
        </row>
        <row r="7954">
          <cell r="A7954" t="str">
            <v>YZ-ZQ14976-Y0-136X</v>
          </cell>
          <cell r="B7954" t="str">
            <v>YZ-ZQ14976</v>
          </cell>
        </row>
        <row r="7955">
          <cell r="A7955" t="str">
            <v>YZ-ZQ14976-Y0-137X</v>
          </cell>
          <cell r="B7955" t="str">
            <v>YZ-ZQ14976</v>
          </cell>
        </row>
        <row r="7956">
          <cell r="A7956" t="str">
            <v>YZ-ZQ14976-Y0-138X</v>
          </cell>
          <cell r="B7956" t="str">
            <v>YZ-ZQ14976</v>
          </cell>
        </row>
        <row r="7957">
          <cell r="A7957" t="str">
            <v>YZ-ZQ14976-Y0-139X</v>
          </cell>
          <cell r="B7957" t="str">
            <v>YZ-ZQ14976</v>
          </cell>
        </row>
        <row r="7958">
          <cell r="A7958" t="str">
            <v>YZ-ZQ14976-Y0-13X</v>
          </cell>
          <cell r="B7958" t="str">
            <v>YZ-ZQ14976</v>
          </cell>
        </row>
        <row r="7959">
          <cell r="A7959" t="str">
            <v>YZ-ZQ14976-Y0-140X</v>
          </cell>
          <cell r="B7959" t="str">
            <v>YZ-ZQ14976</v>
          </cell>
        </row>
        <row r="7960">
          <cell r="A7960" t="str">
            <v>YZ-ZQ14976-Y0-141X</v>
          </cell>
          <cell r="B7960" t="str">
            <v>YZ-ZQ14976</v>
          </cell>
        </row>
        <row r="7961">
          <cell r="A7961" t="str">
            <v>YZ-ZQ14976-Y0-142X</v>
          </cell>
          <cell r="B7961" t="str">
            <v>YZ-ZQ14976</v>
          </cell>
        </row>
        <row r="7962">
          <cell r="A7962" t="str">
            <v>YZ-ZQ14976-Y0-143X</v>
          </cell>
          <cell r="B7962" t="str">
            <v>YZ-ZQ14976</v>
          </cell>
        </row>
        <row r="7963">
          <cell r="A7963" t="str">
            <v>YZ-ZQ14976-Y0-144X</v>
          </cell>
          <cell r="B7963" t="str">
            <v>YZ-ZQ14976</v>
          </cell>
        </row>
        <row r="7964">
          <cell r="A7964" t="str">
            <v>YZ-ZQ14976-Y0-145X</v>
          </cell>
          <cell r="B7964" t="str">
            <v>YZ-ZQ14976</v>
          </cell>
        </row>
        <row r="7965">
          <cell r="A7965" t="str">
            <v>YZ-ZQ14976-Y0-146X</v>
          </cell>
          <cell r="B7965" t="str">
            <v>YZ-ZQ14976</v>
          </cell>
        </row>
        <row r="7966">
          <cell r="A7966" t="str">
            <v>YZ-ZQ14976-Y0-147X</v>
          </cell>
          <cell r="B7966" t="str">
            <v>YZ-ZQ14976</v>
          </cell>
        </row>
        <row r="7967">
          <cell r="A7967" t="str">
            <v>YZ-ZQ14976-Y0-148X</v>
          </cell>
          <cell r="B7967" t="str">
            <v>YZ-ZQ14976</v>
          </cell>
        </row>
        <row r="7968">
          <cell r="A7968" t="str">
            <v>YZ-ZQ14976-Y0-149X</v>
          </cell>
          <cell r="B7968" t="str">
            <v>YZ-ZQ14976</v>
          </cell>
        </row>
        <row r="7969">
          <cell r="A7969" t="str">
            <v>YZ-ZQ14976-Y0-14X</v>
          </cell>
          <cell r="B7969" t="str">
            <v>YZ-ZQ14976</v>
          </cell>
        </row>
        <row r="7970">
          <cell r="A7970" t="str">
            <v>YZ-ZQ14976-Y0-150X</v>
          </cell>
          <cell r="B7970" t="str">
            <v>YZ-ZQ14976</v>
          </cell>
        </row>
        <row r="7971">
          <cell r="A7971" t="str">
            <v>YZ-ZQ14976-Y0-151X</v>
          </cell>
          <cell r="B7971" t="str">
            <v>YZ-ZQ14976</v>
          </cell>
        </row>
        <row r="7972">
          <cell r="A7972" t="str">
            <v>YZ-ZQ14976-Y0-152X</v>
          </cell>
          <cell r="B7972" t="str">
            <v>YZ-ZQ14976</v>
          </cell>
        </row>
        <row r="7973">
          <cell r="A7973" t="str">
            <v>YZ-ZQ14976-Y0-153X</v>
          </cell>
          <cell r="B7973" t="str">
            <v>YZ-ZQ14976</v>
          </cell>
        </row>
        <row r="7974">
          <cell r="A7974" t="str">
            <v>YZ-ZQ14976-Y0-154X</v>
          </cell>
          <cell r="B7974" t="str">
            <v>YZ-ZQ14976</v>
          </cell>
        </row>
        <row r="7975">
          <cell r="A7975" t="str">
            <v>YZ-ZQ14976-Y0-155X</v>
          </cell>
          <cell r="B7975" t="str">
            <v>YZ-ZQ14976</v>
          </cell>
        </row>
        <row r="7976">
          <cell r="A7976" t="str">
            <v>YZ-ZQ14976-Y0-156X</v>
          </cell>
          <cell r="B7976" t="str">
            <v>YZ-ZQ14976</v>
          </cell>
        </row>
        <row r="7977">
          <cell r="A7977" t="str">
            <v>YZ-ZQ14976-Y0-157X</v>
          </cell>
          <cell r="B7977" t="str">
            <v>YZ-ZQ14976</v>
          </cell>
        </row>
        <row r="7978">
          <cell r="A7978" t="str">
            <v>YZ-ZQ14976-Y0-158X</v>
          </cell>
          <cell r="B7978" t="str">
            <v>YZ-ZQ14976</v>
          </cell>
        </row>
        <row r="7979">
          <cell r="A7979" t="str">
            <v>YZ-ZQ14976-Y0-159X</v>
          </cell>
          <cell r="B7979" t="str">
            <v>YZ-ZQ14976</v>
          </cell>
        </row>
        <row r="7980">
          <cell r="A7980" t="str">
            <v>YZ-ZQ14976-Y0-15X</v>
          </cell>
          <cell r="B7980" t="str">
            <v>YZ-ZQ14976</v>
          </cell>
        </row>
        <row r="7981">
          <cell r="A7981" t="str">
            <v>YZ-ZQ14976-Y0-160X</v>
          </cell>
          <cell r="B7981" t="str">
            <v>YZ-ZQ14976</v>
          </cell>
        </row>
        <row r="7982">
          <cell r="A7982" t="str">
            <v>YZ-ZQ14976-Y0-161X</v>
          </cell>
          <cell r="B7982" t="str">
            <v>YZ-ZQ14976</v>
          </cell>
        </row>
        <row r="7983">
          <cell r="A7983" t="str">
            <v>YZ-ZQ14976-Y0-162X</v>
          </cell>
          <cell r="B7983" t="str">
            <v>YZ-ZQ14976</v>
          </cell>
        </row>
        <row r="7984">
          <cell r="A7984" t="str">
            <v>YZ-ZQ14976-Y0-163X</v>
          </cell>
          <cell r="B7984" t="str">
            <v>YZ-ZQ14976</v>
          </cell>
        </row>
        <row r="7985">
          <cell r="A7985" t="str">
            <v>YZ-ZQ14976-Y0-164X</v>
          </cell>
          <cell r="B7985" t="str">
            <v>YZ-ZQ14976</v>
          </cell>
        </row>
        <row r="7986">
          <cell r="A7986" t="str">
            <v>YZ-ZQ14976-Y0-165X</v>
          </cell>
          <cell r="B7986" t="str">
            <v>YZ-ZQ14976</v>
          </cell>
        </row>
        <row r="7987">
          <cell r="A7987" t="str">
            <v>YZ-ZQ14976-Y0-166X</v>
          </cell>
          <cell r="B7987" t="str">
            <v>YZ-ZQ14976</v>
          </cell>
        </row>
        <row r="7988">
          <cell r="A7988" t="str">
            <v>YZ-ZQ14976-Y0-167X</v>
          </cell>
          <cell r="B7988" t="str">
            <v>YZ-ZQ14976</v>
          </cell>
        </row>
        <row r="7989">
          <cell r="A7989" t="str">
            <v>YZ-ZQ14976-Y0-168X</v>
          </cell>
          <cell r="B7989" t="str">
            <v>YZ-ZQ14976</v>
          </cell>
        </row>
        <row r="7990">
          <cell r="A7990" t="str">
            <v>YZ-ZQ14976-Y0-169X</v>
          </cell>
          <cell r="B7990" t="str">
            <v>YZ-ZQ14976</v>
          </cell>
        </row>
        <row r="7991">
          <cell r="A7991" t="str">
            <v>YZ-ZQ14976-Y0-16X</v>
          </cell>
          <cell r="B7991" t="str">
            <v>YZ-ZQ14976</v>
          </cell>
        </row>
        <row r="7992">
          <cell r="A7992" t="str">
            <v>YZ-ZQ14976-Y0-170X</v>
          </cell>
          <cell r="B7992" t="str">
            <v>YZ-ZQ14976</v>
          </cell>
        </row>
        <row r="7993">
          <cell r="A7993" t="str">
            <v>YZ-ZQ14976-Y0-171X</v>
          </cell>
          <cell r="B7993" t="str">
            <v>YZ-ZQ14976</v>
          </cell>
        </row>
        <row r="7994">
          <cell r="A7994" t="str">
            <v>YZ-ZQ14976-Y0-172X</v>
          </cell>
          <cell r="B7994" t="str">
            <v>YZ-ZQ14976</v>
          </cell>
        </row>
        <row r="7995">
          <cell r="A7995" t="str">
            <v>YZ-ZQ14976-Y0-173X</v>
          </cell>
          <cell r="B7995" t="str">
            <v>YZ-ZQ14976</v>
          </cell>
        </row>
        <row r="7996">
          <cell r="A7996" t="str">
            <v>YZ-ZQ14976-Y0-174X</v>
          </cell>
          <cell r="B7996" t="str">
            <v>YZ-ZQ14976</v>
          </cell>
        </row>
        <row r="7997">
          <cell r="A7997" t="str">
            <v>YZ-ZQ14976-Y0-175X</v>
          </cell>
          <cell r="B7997" t="str">
            <v>YZ-ZQ14976</v>
          </cell>
        </row>
        <row r="7998">
          <cell r="A7998" t="str">
            <v>YZ-ZQ14976-Y0-176X</v>
          </cell>
          <cell r="B7998" t="str">
            <v>YZ-ZQ14976</v>
          </cell>
        </row>
        <row r="7999">
          <cell r="A7999" t="str">
            <v>YZ-ZQ14976-Y0-177X</v>
          </cell>
          <cell r="B7999" t="str">
            <v>YZ-ZQ14976</v>
          </cell>
        </row>
        <row r="8000">
          <cell r="A8000" t="str">
            <v>YZ-ZQ14976-Y0-178X</v>
          </cell>
          <cell r="B8000" t="str">
            <v>YZ-ZQ14976</v>
          </cell>
        </row>
        <row r="8001">
          <cell r="A8001" t="str">
            <v>YZ-ZQ14976-Y0-179X</v>
          </cell>
          <cell r="B8001" t="str">
            <v>YZ-ZQ14976</v>
          </cell>
        </row>
        <row r="8002">
          <cell r="A8002" t="str">
            <v>YZ-ZQ14976-Y0-17X</v>
          </cell>
          <cell r="B8002" t="str">
            <v>YZ-ZQ14976</v>
          </cell>
        </row>
        <row r="8003">
          <cell r="A8003" t="str">
            <v>YZ-ZQ14976-Y0-180X</v>
          </cell>
          <cell r="B8003" t="str">
            <v>YZ-ZQ14976</v>
          </cell>
        </row>
        <row r="8004">
          <cell r="A8004" t="str">
            <v>YZ-ZQ14976-Y0-181X</v>
          </cell>
          <cell r="B8004" t="str">
            <v>YZ-ZQ14976</v>
          </cell>
        </row>
        <row r="8005">
          <cell r="A8005" t="str">
            <v>YZ-ZQ14976-Y0-182X</v>
          </cell>
          <cell r="B8005" t="str">
            <v>YZ-ZQ14976</v>
          </cell>
        </row>
        <row r="8006">
          <cell r="A8006" t="str">
            <v>YZ-ZQ14976-Y0-183X</v>
          </cell>
          <cell r="B8006" t="str">
            <v>YZ-ZQ14976</v>
          </cell>
        </row>
        <row r="8007">
          <cell r="A8007" t="str">
            <v>YZ-ZQ14976-Y0-186X</v>
          </cell>
          <cell r="B8007" t="str">
            <v>YZ-ZQ14976</v>
          </cell>
        </row>
        <row r="8008">
          <cell r="A8008" t="str">
            <v>YZ-ZQ14976-Y0-187X</v>
          </cell>
          <cell r="B8008" t="str">
            <v>YZ-ZQ14976</v>
          </cell>
        </row>
        <row r="8009">
          <cell r="A8009" t="str">
            <v>YZ-ZQ14976-Y0-188X</v>
          </cell>
          <cell r="B8009" t="str">
            <v>YZ-ZQ14976</v>
          </cell>
        </row>
        <row r="8010">
          <cell r="A8010" t="str">
            <v>YZ-ZQ14976-Y0-189X</v>
          </cell>
          <cell r="B8010" t="str">
            <v>YZ-ZQ14976</v>
          </cell>
        </row>
        <row r="8011">
          <cell r="A8011" t="str">
            <v>YZ-ZQ14976-Y0-18X</v>
          </cell>
          <cell r="B8011" t="str">
            <v>YZ-ZQ14976</v>
          </cell>
        </row>
        <row r="8012">
          <cell r="A8012" t="str">
            <v>YZ-ZQ14976-Y0-190X</v>
          </cell>
          <cell r="B8012" t="str">
            <v>YZ-ZQ14976</v>
          </cell>
        </row>
        <row r="8013">
          <cell r="A8013" t="str">
            <v>YZ-ZQ14976-Y0-191X</v>
          </cell>
          <cell r="B8013" t="str">
            <v>YZ-ZQ14976</v>
          </cell>
        </row>
        <row r="8014">
          <cell r="A8014" t="str">
            <v>YZ-ZQ14976-Y0-192X</v>
          </cell>
          <cell r="B8014" t="str">
            <v>YZ-ZQ14976</v>
          </cell>
        </row>
        <row r="8015">
          <cell r="A8015" t="str">
            <v>YZ-ZQ14976-Y0-193X</v>
          </cell>
          <cell r="B8015" t="str">
            <v>YZ-ZQ14976</v>
          </cell>
        </row>
        <row r="8016">
          <cell r="A8016" t="str">
            <v>YZ-ZQ14976-Y0-194X</v>
          </cell>
          <cell r="B8016" t="str">
            <v>YZ-ZQ14976</v>
          </cell>
        </row>
        <row r="8017">
          <cell r="A8017" t="str">
            <v>YZ-ZQ14976-Y0-195X</v>
          </cell>
          <cell r="B8017" t="str">
            <v>YZ-ZQ14976</v>
          </cell>
        </row>
        <row r="8018">
          <cell r="A8018" t="str">
            <v>YZ-ZQ14976-Y0-196X</v>
          </cell>
          <cell r="B8018" t="str">
            <v>YZ-ZQ14976</v>
          </cell>
        </row>
        <row r="8019">
          <cell r="A8019" t="str">
            <v>YZ-ZQ14976-Y0-197X</v>
          </cell>
          <cell r="B8019" t="str">
            <v>YZ-ZQ14976</v>
          </cell>
        </row>
        <row r="8020">
          <cell r="A8020" t="str">
            <v>YZ-ZQ14976-Y0-198X</v>
          </cell>
          <cell r="B8020" t="str">
            <v>YZ-ZQ14976</v>
          </cell>
        </row>
        <row r="8021">
          <cell r="A8021" t="str">
            <v>YZ-ZQ14976-Y0-199X</v>
          </cell>
          <cell r="B8021" t="str">
            <v>YZ-ZQ14976</v>
          </cell>
        </row>
        <row r="8022">
          <cell r="A8022" t="str">
            <v>YZ-ZQ14976-Y0-19X</v>
          </cell>
          <cell r="B8022" t="str">
            <v>YZ-ZQ14976</v>
          </cell>
        </row>
        <row r="8023">
          <cell r="A8023" t="str">
            <v>YZ-ZQ14976-Y0-200X</v>
          </cell>
          <cell r="B8023" t="str">
            <v>YZ-ZQ14976</v>
          </cell>
        </row>
        <row r="8024">
          <cell r="A8024" t="str">
            <v>YZ-ZQ14976-Y0-201X</v>
          </cell>
          <cell r="B8024" t="str">
            <v>YZ-ZQ14976</v>
          </cell>
        </row>
        <row r="8025">
          <cell r="A8025" t="str">
            <v>YZ-ZQ14976-Y0-202X</v>
          </cell>
          <cell r="B8025" t="str">
            <v>YZ-ZQ14976</v>
          </cell>
        </row>
        <row r="8026">
          <cell r="A8026" t="str">
            <v>YZ-ZQ14976-Y0-203X</v>
          </cell>
          <cell r="B8026" t="str">
            <v>YZ-ZQ14976</v>
          </cell>
        </row>
        <row r="8027">
          <cell r="A8027" t="str">
            <v>YZ-ZQ14976-Y0-204X</v>
          </cell>
          <cell r="B8027" t="str">
            <v>YZ-ZQ14976</v>
          </cell>
        </row>
        <row r="8028">
          <cell r="A8028" t="str">
            <v>YZ-ZQ14976-Y0-205X</v>
          </cell>
          <cell r="B8028" t="str">
            <v>YZ-ZQ14976</v>
          </cell>
        </row>
        <row r="8029">
          <cell r="A8029" t="str">
            <v>YZ-ZQ14976-Y0-206X</v>
          </cell>
          <cell r="B8029" t="str">
            <v>YZ-ZQ14976</v>
          </cell>
        </row>
        <row r="8030">
          <cell r="A8030" t="str">
            <v>YZ-ZQ14976-Y0-207X</v>
          </cell>
          <cell r="B8030" t="str">
            <v>YZ-ZQ14976</v>
          </cell>
        </row>
        <row r="8031">
          <cell r="A8031" t="str">
            <v>YZ-ZQ14976-Y0-208X</v>
          </cell>
          <cell r="B8031" t="str">
            <v>YZ-ZQ14976</v>
          </cell>
        </row>
        <row r="8032">
          <cell r="A8032" t="str">
            <v>YZ-ZQ14976-Y0-209X</v>
          </cell>
          <cell r="B8032" t="str">
            <v>YZ-ZQ14976</v>
          </cell>
        </row>
        <row r="8033">
          <cell r="A8033" t="str">
            <v>YZ-ZQ14976-Y0-20X</v>
          </cell>
          <cell r="B8033" t="str">
            <v>YZ-ZQ14976</v>
          </cell>
        </row>
        <row r="8034">
          <cell r="A8034" t="str">
            <v>YZ-ZQ14976-Y0-210X</v>
          </cell>
          <cell r="B8034" t="str">
            <v>YZ-ZQ14976</v>
          </cell>
        </row>
        <row r="8035">
          <cell r="A8035" t="str">
            <v>YZ-ZQ14976-Y0-211X</v>
          </cell>
          <cell r="B8035" t="str">
            <v>YZ-ZQ14976</v>
          </cell>
        </row>
        <row r="8036">
          <cell r="A8036" t="str">
            <v>YZ-ZQ14976-Y0-212X</v>
          </cell>
          <cell r="B8036" t="str">
            <v>YZ-ZQ14976</v>
          </cell>
        </row>
        <row r="8037">
          <cell r="A8037" t="str">
            <v>YZ-ZQ14976-Y0-213X</v>
          </cell>
          <cell r="B8037" t="str">
            <v>YZ-ZQ14976</v>
          </cell>
        </row>
        <row r="8038">
          <cell r="A8038" t="str">
            <v>YZ-ZQ14976-Y0-214X</v>
          </cell>
          <cell r="B8038" t="str">
            <v>YZ-ZQ14976</v>
          </cell>
        </row>
        <row r="8039">
          <cell r="A8039" t="str">
            <v>YZ-ZQ14976-Y0-215X</v>
          </cell>
          <cell r="B8039" t="str">
            <v>YZ-ZQ14976</v>
          </cell>
        </row>
        <row r="8040">
          <cell r="A8040" t="str">
            <v>YZ-ZQ14976-Y0-216X</v>
          </cell>
          <cell r="B8040" t="str">
            <v>YZ-ZQ14976</v>
          </cell>
        </row>
        <row r="8041">
          <cell r="A8041" t="str">
            <v>YZ-ZQ14976-Y0-217X</v>
          </cell>
          <cell r="B8041" t="str">
            <v>YZ-ZQ14976</v>
          </cell>
        </row>
        <row r="8042">
          <cell r="A8042" t="str">
            <v>YZ-ZQ14976-Y0-218X</v>
          </cell>
          <cell r="B8042" t="str">
            <v>YZ-ZQ14976</v>
          </cell>
        </row>
        <row r="8043">
          <cell r="A8043" t="str">
            <v>YZ-ZQ14976-Y0-219X</v>
          </cell>
          <cell r="B8043" t="str">
            <v>YZ-ZQ14976</v>
          </cell>
        </row>
        <row r="8044">
          <cell r="A8044" t="str">
            <v>YZ-ZQ14976-Y0-21X</v>
          </cell>
          <cell r="B8044" t="str">
            <v>YZ-ZQ14976</v>
          </cell>
        </row>
        <row r="8045">
          <cell r="A8045" t="str">
            <v>YZ-ZQ14976-Y0-220X</v>
          </cell>
          <cell r="B8045" t="str">
            <v>YZ-ZQ14976</v>
          </cell>
        </row>
        <row r="8046">
          <cell r="A8046" t="str">
            <v>YZ-ZQ14976-Y0-221X</v>
          </cell>
          <cell r="B8046" t="str">
            <v>YZ-ZQ14976</v>
          </cell>
        </row>
        <row r="8047">
          <cell r="A8047" t="str">
            <v>YZ-ZQ14976-Y0-222X</v>
          </cell>
          <cell r="B8047" t="str">
            <v>YZ-ZQ14976</v>
          </cell>
        </row>
        <row r="8048">
          <cell r="A8048" t="str">
            <v>YZ-ZQ14976-Y0-223X</v>
          </cell>
          <cell r="B8048" t="str">
            <v>YZ-ZQ14976</v>
          </cell>
        </row>
        <row r="8049">
          <cell r="A8049" t="str">
            <v>YZ-ZQ14976-Y0-224X</v>
          </cell>
          <cell r="B8049" t="str">
            <v>YZ-ZQ14976</v>
          </cell>
        </row>
        <row r="8050">
          <cell r="A8050" t="str">
            <v>YZ-ZQ14976-Y0-225X</v>
          </cell>
          <cell r="B8050" t="str">
            <v>YZ-ZQ14976</v>
          </cell>
        </row>
        <row r="8051">
          <cell r="A8051" t="str">
            <v>YZ-ZQ14976-Y0-226X</v>
          </cell>
          <cell r="B8051" t="str">
            <v>YZ-ZQ14976</v>
          </cell>
        </row>
        <row r="8052">
          <cell r="A8052" t="str">
            <v>YZ-ZQ14976-Y0-227X</v>
          </cell>
          <cell r="B8052" t="str">
            <v>YZ-ZQ14976</v>
          </cell>
        </row>
        <row r="8053">
          <cell r="A8053" t="str">
            <v>YZ-ZQ14976-Y0-228X</v>
          </cell>
          <cell r="B8053" t="str">
            <v>YZ-ZQ14976</v>
          </cell>
        </row>
        <row r="8054">
          <cell r="A8054" t="str">
            <v>YZ-ZQ14976-Y0-229X</v>
          </cell>
          <cell r="B8054" t="str">
            <v>YZ-ZQ14976</v>
          </cell>
        </row>
        <row r="8055">
          <cell r="A8055" t="str">
            <v>YZ-ZQ14976-Y0-22X</v>
          </cell>
          <cell r="B8055" t="str">
            <v>YZ-ZQ14976</v>
          </cell>
        </row>
        <row r="8056">
          <cell r="A8056" t="str">
            <v>YZ-ZQ14976-Y0-230X</v>
          </cell>
          <cell r="B8056" t="str">
            <v>YZ-ZQ14976</v>
          </cell>
        </row>
        <row r="8057">
          <cell r="A8057" t="str">
            <v>YZ-ZQ14976-Y0-231X</v>
          </cell>
          <cell r="B8057" t="str">
            <v>YZ-ZQ14976</v>
          </cell>
        </row>
        <row r="8058">
          <cell r="A8058" t="str">
            <v>YZ-ZQ14976-Y0-232X</v>
          </cell>
          <cell r="B8058" t="str">
            <v>YZ-ZQ14976</v>
          </cell>
        </row>
        <row r="8059">
          <cell r="A8059" t="str">
            <v>YZ-ZQ14976-Y0-233X</v>
          </cell>
          <cell r="B8059" t="str">
            <v>YZ-ZQ14976</v>
          </cell>
        </row>
        <row r="8060">
          <cell r="A8060" t="str">
            <v>YZ-ZQ14976-Y0-234X</v>
          </cell>
          <cell r="B8060" t="str">
            <v>YZ-ZQ14976</v>
          </cell>
        </row>
        <row r="8061">
          <cell r="A8061" t="str">
            <v>YZ-ZQ14976-Y0-235X</v>
          </cell>
          <cell r="B8061" t="str">
            <v>YZ-ZQ14976</v>
          </cell>
        </row>
        <row r="8062">
          <cell r="A8062" t="str">
            <v>YZ-ZQ14976-Y0-236X</v>
          </cell>
          <cell r="B8062" t="str">
            <v>YZ-ZQ14976</v>
          </cell>
        </row>
        <row r="8063">
          <cell r="A8063" t="str">
            <v>YZ-ZQ14976-Y0-237X</v>
          </cell>
          <cell r="B8063" t="str">
            <v>YZ-ZQ14976</v>
          </cell>
        </row>
        <row r="8064">
          <cell r="A8064" t="str">
            <v>YZ-ZQ14976-Y0-238X</v>
          </cell>
          <cell r="B8064" t="str">
            <v>YZ-ZQ14976</v>
          </cell>
        </row>
        <row r="8065">
          <cell r="A8065" t="str">
            <v>YZ-ZQ14976-Y0-239X</v>
          </cell>
          <cell r="B8065" t="str">
            <v>YZ-ZQ14976</v>
          </cell>
        </row>
        <row r="8066">
          <cell r="A8066" t="str">
            <v>YZ-ZQ14976-Y0-23X</v>
          </cell>
          <cell r="B8066" t="str">
            <v>YZ-ZQ14976</v>
          </cell>
        </row>
        <row r="8067">
          <cell r="A8067" t="str">
            <v>YZ-ZQ14976-Y0-240X</v>
          </cell>
          <cell r="B8067" t="str">
            <v>YZ-ZQ14976</v>
          </cell>
        </row>
        <row r="8068">
          <cell r="A8068" t="str">
            <v>YZ-ZQ14976-Y0-241X</v>
          </cell>
          <cell r="B8068" t="str">
            <v>YZ-ZQ14976</v>
          </cell>
        </row>
        <row r="8069">
          <cell r="A8069" t="str">
            <v>YZ-ZQ14976-Y0-242X</v>
          </cell>
          <cell r="B8069" t="str">
            <v>YZ-ZQ14976</v>
          </cell>
        </row>
        <row r="8070">
          <cell r="A8070" t="str">
            <v>YZ-ZQ14976-Y0-243X</v>
          </cell>
          <cell r="B8070" t="str">
            <v>YZ-ZQ14976</v>
          </cell>
        </row>
        <row r="8071">
          <cell r="A8071" t="str">
            <v>YZ-ZQ14976-Y0-244X</v>
          </cell>
          <cell r="B8071" t="str">
            <v>YZ-ZQ14976</v>
          </cell>
        </row>
        <row r="8072">
          <cell r="A8072" t="str">
            <v>YZ-ZQ14976-Y0-245X</v>
          </cell>
          <cell r="B8072" t="str">
            <v>YZ-ZQ14976</v>
          </cell>
        </row>
        <row r="8073">
          <cell r="A8073" t="str">
            <v>YZ-ZQ14976-Y0-246X</v>
          </cell>
          <cell r="B8073" t="str">
            <v>YZ-ZQ14976</v>
          </cell>
        </row>
        <row r="8074">
          <cell r="A8074" t="str">
            <v>YZ-ZQ14976-Y0-247X</v>
          </cell>
          <cell r="B8074" t="str">
            <v>YZ-ZQ14976</v>
          </cell>
        </row>
        <row r="8075">
          <cell r="A8075" t="str">
            <v>YZ-ZQ14976-Y0-248X</v>
          </cell>
          <cell r="B8075" t="str">
            <v>YZ-ZQ14976</v>
          </cell>
        </row>
        <row r="8076">
          <cell r="A8076" t="str">
            <v>YZ-ZQ14976-Y0-249X</v>
          </cell>
          <cell r="B8076" t="str">
            <v>YZ-ZQ14976</v>
          </cell>
        </row>
        <row r="8077">
          <cell r="A8077" t="str">
            <v>YZ-ZQ14976-Y0-24X</v>
          </cell>
          <cell r="B8077" t="str">
            <v>YZ-ZQ14976</v>
          </cell>
        </row>
        <row r="8078">
          <cell r="A8078" t="str">
            <v>YZ-ZQ14976-Y0-250X</v>
          </cell>
          <cell r="B8078" t="str">
            <v>YZ-ZQ14976</v>
          </cell>
        </row>
        <row r="8079">
          <cell r="A8079" t="str">
            <v>YZ-ZQ14976-Y0-251X</v>
          </cell>
          <cell r="B8079" t="str">
            <v>YZ-ZQ14976</v>
          </cell>
        </row>
        <row r="8080">
          <cell r="A8080" t="str">
            <v>YZ-ZQ14976-Y0-252X</v>
          </cell>
          <cell r="B8080" t="str">
            <v>YZ-ZQ14976</v>
          </cell>
        </row>
        <row r="8081">
          <cell r="A8081" t="str">
            <v>YZ-ZQ14976-Y0-253X</v>
          </cell>
          <cell r="B8081" t="str">
            <v>YZ-ZQ14976</v>
          </cell>
        </row>
        <row r="8082">
          <cell r="A8082" t="str">
            <v>YZ-ZQ14976-Y0-254X</v>
          </cell>
          <cell r="B8082" t="str">
            <v>YZ-ZQ14976</v>
          </cell>
        </row>
        <row r="8083">
          <cell r="A8083" t="str">
            <v>YZ-ZQ14976-Y0-255X</v>
          </cell>
          <cell r="B8083" t="str">
            <v>YZ-ZQ14976</v>
          </cell>
        </row>
        <row r="8084">
          <cell r="A8084" t="str">
            <v>YZ-ZQ14976-Y0-256X</v>
          </cell>
          <cell r="B8084" t="str">
            <v>YZ-ZQ14976</v>
          </cell>
        </row>
        <row r="8085">
          <cell r="A8085" t="str">
            <v>YZ-ZQ14976-Y0-257X</v>
          </cell>
          <cell r="B8085" t="str">
            <v>YZ-ZQ14976</v>
          </cell>
        </row>
        <row r="8086">
          <cell r="A8086" t="str">
            <v>YZ-ZQ14976-Y0-258X</v>
          </cell>
          <cell r="B8086" t="str">
            <v>YZ-ZQ14976</v>
          </cell>
        </row>
        <row r="8087">
          <cell r="A8087" t="str">
            <v>YZ-ZQ14976-Y0-259X</v>
          </cell>
          <cell r="B8087" t="str">
            <v>YZ-ZQ14976</v>
          </cell>
        </row>
        <row r="8088">
          <cell r="A8088" t="str">
            <v>YZ-ZQ14976-Y0-25X</v>
          </cell>
          <cell r="B8088" t="str">
            <v>YZ-ZQ14976</v>
          </cell>
        </row>
        <row r="8089">
          <cell r="A8089" t="str">
            <v>YZ-ZQ14976-Y0-260X</v>
          </cell>
          <cell r="B8089" t="str">
            <v>YZ-ZQ14976</v>
          </cell>
        </row>
        <row r="8090">
          <cell r="A8090" t="str">
            <v>YZ-ZQ14976-Y0-261X</v>
          </cell>
          <cell r="B8090" t="str">
            <v>YZ-ZQ14976</v>
          </cell>
        </row>
        <row r="8091">
          <cell r="A8091" t="str">
            <v>YZ-ZQ14976-Y0-262X</v>
          </cell>
          <cell r="B8091" t="str">
            <v>YZ-ZQ14976</v>
          </cell>
        </row>
        <row r="8092">
          <cell r="A8092" t="str">
            <v>YZ-ZQ14976-Y0-263X</v>
          </cell>
          <cell r="B8092" t="str">
            <v>YZ-ZQ14976</v>
          </cell>
        </row>
        <row r="8093">
          <cell r="A8093" t="str">
            <v>YZ-ZQ14976-Y0-264X</v>
          </cell>
          <cell r="B8093" t="str">
            <v>YZ-ZQ14976</v>
          </cell>
        </row>
        <row r="8094">
          <cell r="A8094" t="str">
            <v>YZ-ZQ14976-Y0-265X</v>
          </cell>
          <cell r="B8094" t="str">
            <v>YZ-ZQ14976</v>
          </cell>
        </row>
        <row r="8095">
          <cell r="A8095" t="str">
            <v>YZ-ZQ14976-Y0-266X</v>
          </cell>
          <cell r="B8095" t="str">
            <v>YZ-ZQ14976</v>
          </cell>
        </row>
        <row r="8096">
          <cell r="A8096" t="str">
            <v>YZ-ZQ14976-Y0-267X</v>
          </cell>
          <cell r="B8096" t="str">
            <v>YZ-ZQ14976</v>
          </cell>
        </row>
        <row r="8097">
          <cell r="A8097" t="str">
            <v>YZ-ZQ14976-Y0-268X</v>
          </cell>
          <cell r="B8097" t="str">
            <v>YZ-ZQ14976</v>
          </cell>
        </row>
        <row r="8098">
          <cell r="A8098" t="str">
            <v>YZ-ZQ14976-Y0-269X</v>
          </cell>
          <cell r="B8098" t="str">
            <v>YZ-ZQ14976</v>
          </cell>
        </row>
        <row r="8099">
          <cell r="A8099" t="str">
            <v>YZ-ZQ14976-Y0-26X</v>
          </cell>
          <cell r="B8099" t="str">
            <v>YZ-ZQ14976</v>
          </cell>
        </row>
        <row r="8100">
          <cell r="A8100" t="str">
            <v>YZ-ZQ14976-Y0-270X</v>
          </cell>
          <cell r="B8100" t="str">
            <v>YZ-ZQ14976</v>
          </cell>
        </row>
        <row r="8101">
          <cell r="A8101" t="str">
            <v>YZ-ZQ14976-Y0-271X</v>
          </cell>
          <cell r="B8101" t="str">
            <v>YZ-ZQ14976</v>
          </cell>
        </row>
        <row r="8102">
          <cell r="A8102" t="str">
            <v>YZ-ZQ14976-Y0-272X</v>
          </cell>
          <cell r="B8102" t="str">
            <v>YZ-ZQ14976</v>
          </cell>
        </row>
        <row r="8103">
          <cell r="A8103" t="str">
            <v>YZ-ZQ14976-Y0-273X</v>
          </cell>
          <cell r="B8103" t="str">
            <v>YZ-ZQ14976</v>
          </cell>
        </row>
        <row r="8104">
          <cell r="A8104" t="str">
            <v>YZ-ZQ14976-Y0-274X</v>
          </cell>
          <cell r="B8104" t="str">
            <v>YZ-ZQ14976</v>
          </cell>
        </row>
        <row r="8105">
          <cell r="A8105" t="str">
            <v>YZ-ZQ14976-Y0-275X</v>
          </cell>
          <cell r="B8105" t="str">
            <v>YZ-ZQ14976</v>
          </cell>
        </row>
        <row r="8106">
          <cell r="A8106" t="str">
            <v>YZ-ZQ14976-Y0-276X</v>
          </cell>
          <cell r="B8106" t="str">
            <v>YZ-ZQ14976</v>
          </cell>
        </row>
        <row r="8107">
          <cell r="A8107" t="str">
            <v>YZ-ZQ14976-Y0-277X</v>
          </cell>
          <cell r="B8107" t="str">
            <v>YZ-ZQ14976</v>
          </cell>
        </row>
        <row r="8108">
          <cell r="A8108" t="str">
            <v>YZ-ZQ14976-Y0-278X</v>
          </cell>
          <cell r="B8108" t="str">
            <v>YZ-ZQ14976</v>
          </cell>
        </row>
        <row r="8109">
          <cell r="A8109" t="str">
            <v>YZ-ZQ14976-Y0-279X</v>
          </cell>
          <cell r="B8109" t="str">
            <v>YZ-ZQ14976</v>
          </cell>
        </row>
        <row r="8110">
          <cell r="A8110" t="str">
            <v>YZ-ZQ14976-Y0-27X</v>
          </cell>
          <cell r="B8110" t="str">
            <v>YZ-ZQ14976</v>
          </cell>
        </row>
        <row r="8111">
          <cell r="A8111" t="str">
            <v>YZ-ZQ14976-Y0-280X</v>
          </cell>
          <cell r="B8111" t="str">
            <v>YZ-ZQ14976</v>
          </cell>
        </row>
        <row r="8112">
          <cell r="A8112" t="str">
            <v>YZ-ZQ14976-Y0-281X</v>
          </cell>
          <cell r="B8112" t="str">
            <v>YZ-ZQ14976</v>
          </cell>
        </row>
        <row r="8113">
          <cell r="A8113" t="str">
            <v>YZ-ZQ14976-Y0-282X</v>
          </cell>
          <cell r="B8113" t="str">
            <v>YZ-ZQ14976</v>
          </cell>
        </row>
        <row r="8114">
          <cell r="A8114" t="str">
            <v>YZ-ZQ14976-Y0-283X</v>
          </cell>
          <cell r="B8114" t="str">
            <v>YZ-ZQ14976</v>
          </cell>
        </row>
        <row r="8115">
          <cell r="A8115" t="str">
            <v>YZ-ZQ14976-Y0-284X</v>
          </cell>
          <cell r="B8115" t="str">
            <v>YZ-ZQ14976</v>
          </cell>
        </row>
        <row r="8116">
          <cell r="A8116" t="str">
            <v>YZ-ZQ14976-Y0-285X</v>
          </cell>
          <cell r="B8116" t="str">
            <v>YZ-ZQ14976</v>
          </cell>
        </row>
        <row r="8117">
          <cell r="A8117" t="str">
            <v>YZ-ZQ14976-Y0-286X</v>
          </cell>
          <cell r="B8117" t="str">
            <v>YZ-ZQ14976</v>
          </cell>
        </row>
        <row r="8118">
          <cell r="A8118" t="str">
            <v>YZ-ZQ14976-Y0-287X</v>
          </cell>
          <cell r="B8118" t="str">
            <v>YZ-ZQ14976</v>
          </cell>
        </row>
        <row r="8119">
          <cell r="A8119" t="str">
            <v>YZ-ZQ14976-Y0-288X</v>
          </cell>
          <cell r="B8119" t="str">
            <v>YZ-ZQ14976</v>
          </cell>
        </row>
        <row r="8120">
          <cell r="A8120" t="str">
            <v>YZ-ZQ14976-Y0-289X</v>
          </cell>
          <cell r="B8120" t="str">
            <v>YZ-ZQ14976</v>
          </cell>
        </row>
        <row r="8121">
          <cell r="A8121" t="str">
            <v>YZ-ZQ14976-Y0-28X</v>
          </cell>
          <cell r="B8121" t="str">
            <v>YZ-ZQ14976</v>
          </cell>
        </row>
        <row r="8122">
          <cell r="A8122" t="str">
            <v>YZ-ZQ14976-Y0-290X</v>
          </cell>
          <cell r="B8122" t="str">
            <v>YZ-ZQ14976</v>
          </cell>
        </row>
        <row r="8123">
          <cell r="A8123" t="str">
            <v>YZ-ZQ14976-Y0-292X</v>
          </cell>
          <cell r="B8123" t="str">
            <v>YZ-ZQ14976</v>
          </cell>
        </row>
        <row r="8124">
          <cell r="A8124" t="str">
            <v>YZ-ZQ14976-Y0-293X</v>
          </cell>
          <cell r="B8124" t="str">
            <v>YZ-ZQ14976</v>
          </cell>
        </row>
        <row r="8125">
          <cell r="A8125" t="str">
            <v>YZ-ZQ14976-Y0-294X</v>
          </cell>
          <cell r="B8125" t="str">
            <v>YZ-ZQ14976</v>
          </cell>
        </row>
        <row r="8126">
          <cell r="A8126" t="str">
            <v>YZ-ZQ14976-Y0-295X</v>
          </cell>
          <cell r="B8126" t="str">
            <v>YZ-ZQ14976</v>
          </cell>
        </row>
        <row r="8127">
          <cell r="A8127" t="str">
            <v>YZ-ZQ14976-Y0-296X</v>
          </cell>
          <cell r="B8127" t="str">
            <v>YZ-ZQ14976</v>
          </cell>
        </row>
        <row r="8128">
          <cell r="A8128" t="str">
            <v>YZ-ZQ14976-Y0-297X</v>
          </cell>
          <cell r="B8128" t="str">
            <v>YZ-ZQ14976</v>
          </cell>
        </row>
        <row r="8129">
          <cell r="A8129" t="str">
            <v>YZ-ZQ14976-Y0-298X</v>
          </cell>
          <cell r="B8129" t="str">
            <v>YZ-ZQ14976</v>
          </cell>
        </row>
        <row r="8130">
          <cell r="A8130" t="str">
            <v>YZ-ZQ14976-Y0-299X</v>
          </cell>
          <cell r="B8130" t="str">
            <v>YZ-ZQ14976</v>
          </cell>
        </row>
        <row r="8131">
          <cell r="A8131" t="str">
            <v>YZ-ZQ14976-Y0-29X</v>
          </cell>
          <cell r="B8131" t="str">
            <v>YZ-ZQ14976</v>
          </cell>
        </row>
        <row r="8132">
          <cell r="A8132" t="str">
            <v>YZ-ZQ14976-Y0-2X</v>
          </cell>
          <cell r="B8132" t="str">
            <v>YZ-ZQ14976</v>
          </cell>
        </row>
        <row r="8133">
          <cell r="A8133" t="str">
            <v>YZ-ZQ14976-Y0-300X</v>
          </cell>
          <cell r="B8133" t="str">
            <v>YZ-ZQ14976</v>
          </cell>
        </row>
        <row r="8134">
          <cell r="A8134" t="str">
            <v>YZ-ZQ14976-Y0-301X</v>
          </cell>
          <cell r="B8134" t="str">
            <v>YZ-ZQ14976</v>
          </cell>
        </row>
        <row r="8135">
          <cell r="A8135" t="str">
            <v>YZ-ZQ14976-Y0-302X</v>
          </cell>
          <cell r="B8135" t="str">
            <v>YZ-ZQ14976</v>
          </cell>
        </row>
        <row r="8136">
          <cell r="A8136" t="str">
            <v>YZ-ZQ14976-Y0-303X</v>
          </cell>
          <cell r="B8136" t="str">
            <v>YZ-ZQ14976</v>
          </cell>
        </row>
        <row r="8137">
          <cell r="A8137" t="str">
            <v>YZ-ZQ14976-Y0-304X</v>
          </cell>
          <cell r="B8137" t="str">
            <v>YZ-ZQ14976</v>
          </cell>
        </row>
        <row r="8138">
          <cell r="A8138" t="str">
            <v>YZ-ZQ14976-Y0-305X</v>
          </cell>
          <cell r="B8138" t="str">
            <v>YZ-ZQ14976</v>
          </cell>
        </row>
        <row r="8139">
          <cell r="A8139" t="str">
            <v>YZ-ZQ14976-Y0-306X</v>
          </cell>
          <cell r="B8139" t="str">
            <v>YZ-ZQ14976</v>
          </cell>
        </row>
        <row r="8140">
          <cell r="A8140" t="str">
            <v>YZ-ZQ14976-Y0-307X</v>
          </cell>
          <cell r="B8140" t="str">
            <v>YZ-ZQ14976</v>
          </cell>
        </row>
        <row r="8141">
          <cell r="A8141" t="str">
            <v>YZ-ZQ14976-Y0-308X</v>
          </cell>
          <cell r="B8141" t="str">
            <v>YZ-ZQ14976</v>
          </cell>
        </row>
        <row r="8142">
          <cell r="A8142" t="str">
            <v>YZ-ZQ14976-Y0-309X</v>
          </cell>
          <cell r="B8142" t="str">
            <v>YZ-ZQ14976</v>
          </cell>
        </row>
        <row r="8143">
          <cell r="A8143" t="str">
            <v>YZ-ZQ14976-Y0-30X</v>
          </cell>
          <cell r="B8143" t="str">
            <v>YZ-ZQ14976</v>
          </cell>
        </row>
        <row r="8144">
          <cell r="A8144" t="str">
            <v>YZ-ZQ14976-Y0-310X</v>
          </cell>
          <cell r="B8144" t="str">
            <v>YZ-ZQ14976</v>
          </cell>
        </row>
        <row r="8145">
          <cell r="A8145" t="str">
            <v>YZ-ZQ14976-Y0-311X</v>
          </cell>
          <cell r="B8145" t="str">
            <v>YZ-ZQ14976</v>
          </cell>
        </row>
        <row r="8146">
          <cell r="A8146" t="str">
            <v>YZ-ZQ14976-Y0-312X</v>
          </cell>
          <cell r="B8146" t="str">
            <v>YZ-ZQ14976</v>
          </cell>
        </row>
        <row r="8147">
          <cell r="A8147" t="str">
            <v>YZ-ZQ14976-Y0-313X</v>
          </cell>
          <cell r="B8147" t="str">
            <v>YZ-ZQ14976</v>
          </cell>
        </row>
        <row r="8148">
          <cell r="A8148" t="str">
            <v>YZ-ZQ14976-Y0-314X</v>
          </cell>
          <cell r="B8148" t="str">
            <v>YZ-ZQ14976</v>
          </cell>
        </row>
        <row r="8149">
          <cell r="A8149" t="str">
            <v>YZ-ZQ14976-Y0-315X</v>
          </cell>
          <cell r="B8149" t="str">
            <v>YZ-ZQ14976</v>
          </cell>
        </row>
        <row r="8150">
          <cell r="A8150" t="str">
            <v>YZ-ZQ14976-Y0-316X</v>
          </cell>
          <cell r="B8150" t="str">
            <v>YZ-ZQ14976</v>
          </cell>
        </row>
        <row r="8151">
          <cell r="A8151" t="str">
            <v>YZ-ZQ14976-Y0-317X</v>
          </cell>
          <cell r="B8151" t="str">
            <v>YZ-ZQ14976</v>
          </cell>
        </row>
        <row r="8152">
          <cell r="A8152" t="str">
            <v>YZ-ZQ14976-Y0-318X</v>
          </cell>
          <cell r="B8152" t="str">
            <v>YZ-ZQ14976</v>
          </cell>
        </row>
        <row r="8153">
          <cell r="A8153" t="str">
            <v>YZ-ZQ14976-Y0-319X</v>
          </cell>
          <cell r="B8153" t="str">
            <v>YZ-ZQ14976</v>
          </cell>
        </row>
        <row r="8154">
          <cell r="A8154" t="str">
            <v>YZ-ZQ14976-Y0-31X</v>
          </cell>
          <cell r="B8154" t="str">
            <v>YZ-ZQ14976</v>
          </cell>
        </row>
        <row r="8155">
          <cell r="A8155" t="str">
            <v>YZ-ZQ14976-Y0-320X</v>
          </cell>
          <cell r="B8155" t="str">
            <v>YZ-ZQ14976</v>
          </cell>
        </row>
        <row r="8156">
          <cell r="A8156" t="str">
            <v>YZ-ZQ14976-Y0-321X</v>
          </cell>
          <cell r="B8156" t="str">
            <v>YZ-ZQ14976</v>
          </cell>
        </row>
        <row r="8157">
          <cell r="A8157" t="str">
            <v>YZ-ZQ14976-Y0-322X</v>
          </cell>
          <cell r="B8157" t="str">
            <v>YZ-ZQ14976</v>
          </cell>
        </row>
        <row r="8158">
          <cell r="A8158" t="str">
            <v>YZ-ZQ14976-Y0-323X</v>
          </cell>
          <cell r="B8158" t="str">
            <v>YZ-ZQ14976</v>
          </cell>
        </row>
        <row r="8159">
          <cell r="A8159" t="str">
            <v>YZ-ZQ14976-Y0-324X</v>
          </cell>
          <cell r="B8159" t="str">
            <v>YZ-ZQ14976</v>
          </cell>
        </row>
        <row r="8160">
          <cell r="A8160" t="str">
            <v>YZ-ZQ14976-Y0-325X</v>
          </cell>
          <cell r="B8160" t="str">
            <v>YZ-ZQ14976</v>
          </cell>
        </row>
        <row r="8161">
          <cell r="A8161" t="str">
            <v>YZ-ZQ14976-Y0-326X</v>
          </cell>
          <cell r="B8161" t="str">
            <v>YZ-ZQ14976</v>
          </cell>
        </row>
        <row r="8162">
          <cell r="A8162" t="str">
            <v>YZ-ZQ14976-Y0-327X</v>
          </cell>
          <cell r="B8162" t="str">
            <v>YZ-ZQ14976</v>
          </cell>
        </row>
        <row r="8163">
          <cell r="A8163" t="str">
            <v>YZ-ZQ14976-Y0-328X</v>
          </cell>
          <cell r="B8163" t="str">
            <v>YZ-ZQ14976</v>
          </cell>
        </row>
        <row r="8164">
          <cell r="A8164" t="str">
            <v>YZ-ZQ14976-Y0-329X</v>
          </cell>
          <cell r="B8164" t="str">
            <v>YZ-ZQ14976</v>
          </cell>
        </row>
        <row r="8165">
          <cell r="A8165" t="str">
            <v>YZ-ZQ14976-Y0-32X</v>
          </cell>
          <cell r="B8165" t="str">
            <v>YZ-ZQ14976</v>
          </cell>
        </row>
        <row r="8166">
          <cell r="A8166" t="str">
            <v>YZ-ZQ14976-Y0-330X</v>
          </cell>
          <cell r="B8166" t="str">
            <v>YZ-ZQ14976</v>
          </cell>
        </row>
        <row r="8167">
          <cell r="A8167" t="str">
            <v>YZ-ZQ14976-Y0-331X</v>
          </cell>
          <cell r="B8167" t="str">
            <v>YZ-ZQ14976</v>
          </cell>
        </row>
        <row r="8168">
          <cell r="A8168" t="str">
            <v>YZ-ZQ14976-Y0-332X</v>
          </cell>
          <cell r="B8168" t="str">
            <v>YZ-ZQ14976</v>
          </cell>
        </row>
        <row r="8169">
          <cell r="A8169" t="str">
            <v>YZ-ZQ14976-Y0-333X</v>
          </cell>
          <cell r="B8169" t="str">
            <v>YZ-ZQ14976</v>
          </cell>
        </row>
        <row r="8170">
          <cell r="A8170" t="str">
            <v>YZ-ZQ14976-Y0-334X</v>
          </cell>
          <cell r="B8170" t="str">
            <v>YZ-ZQ14976</v>
          </cell>
        </row>
        <row r="8171">
          <cell r="A8171" t="str">
            <v>YZ-ZQ14976-Y0-335X</v>
          </cell>
          <cell r="B8171" t="str">
            <v>YZ-ZQ14976</v>
          </cell>
        </row>
        <row r="8172">
          <cell r="A8172" t="str">
            <v>YZ-ZQ14976-Y0-336X</v>
          </cell>
          <cell r="B8172" t="str">
            <v>YZ-ZQ14976</v>
          </cell>
        </row>
        <row r="8173">
          <cell r="A8173" t="str">
            <v>YZ-ZQ14976-Y0-337X</v>
          </cell>
          <cell r="B8173" t="str">
            <v>YZ-ZQ14976</v>
          </cell>
        </row>
        <row r="8174">
          <cell r="A8174" t="str">
            <v>YZ-ZQ14976-Y0-338X</v>
          </cell>
          <cell r="B8174" t="str">
            <v>YZ-ZQ14976</v>
          </cell>
        </row>
        <row r="8175">
          <cell r="A8175" t="str">
            <v>YZ-ZQ14976-Y0-339X</v>
          </cell>
          <cell r="B8175" t="str">
            <v>YZ-ZQ14976</v>
          </cell>
        </row>
        <row r="8176">
          <cell r="A8176" t="str">
            <v>YZ-ZQ14976-Y0-33X</v>
          </cell>
          <cell r="B8176" t="str">
            <v>YZ-ZQ14976</v>
          </cell>
        </row>
        <row r="8177">
          <cell r="A8177" t="str">
            <v>YZ-ZQ14976-Y0-340X</v>
          </cell>
          <cell r="B8177" t="str">
            <v>YZ-ZQ14976</v>
          </cell>
        </row>
        <row r="8178">
          <cell r="A8178" t="str">
            <v>YZ-ZQ14976-Y0-341X</v>
          </cell>
          <cell r="B8178" t="str">
            <v>YZ-ZQ14976</v>
          </cell>
        </row>
        <row r="8179">
          <cell r="A8179" t="str">
            <v>YZ-ZQ14976-Y0-342X</v>
          </cell>
          <cell r="B8179" t="str">
            <v>YZ-ZQ14976</v>
          </cell>
        </row>
        <row r="8180">
          <cell r="A8180" t="str">
            <v>YZ-ZQ14976-Y0-343X</v>
          </cell>
          <cell r="B8180" t="str">
            <v>YZ-ZQ14976</v>
          </cell>
        </row>
        <row r="8181">
          <cell r="A8181" t="str">
            <v>YZ-ZQ14976-Y0-344X</v>
          </cell>
          <cell r="B8181" t="str">
            <v>YZ-ZQ14976</v>
          </cell>
        </row>
        <row r="8182">
          <cell r="A8182" t="str">
            <v>YZ-ZQ14976-Y0-345X</v>
          </cell>
          <cell r="B8182" t="str">
            <v>YZ-ZQ14976</v>
          </cell>
        </row>
        <row r="8183">
          <cell r="A8183" t="str">
            <v>YZ-ZQ14976-Y0-346X</v>
          </cell>
          <cell r="B8183" t="str">
            <v>YZ-ZQ14976</v>
          </cell>
        </row>
        <row r="8184">
          <cell r="A8184" t="str">
            <v>YZ-ZQ14976-Y0-347X</v>
          </cell>
          <cell r="B8184" t="str">
            <v>YZ-ZQ14976</v>
          </cell>
        </row>
        <row r="8185">
          <cell r="A8185" t="str">
            <v>YZ-ZQ14976-Y0-348X</v>
          </cell>
          <cell r="B8185" t="str">
            <v>YZ-ZQ14976</v>
          </cell>
        </row>
        <row r="8186">
          <cell r="A8186" t="str">
            <v>YZ-ZQ14976-Y0-349X</v>
          </cell>
          <cell r="B8186" t="str">
            <v>YZ-ZQ14976</v>
          </cell>
        </row>
        <row r="8187">
          <cell r="A8187" t="str">
            <v>YZ-ZQ14976-Y0-34X</v>
          </cell>
          <cell r="B8187" t="str">
            <v>YZ-ZQ14976</v>
          </cell>
        </row>
        <row r="8188">
          <cell r="A8188" t="str">
            <v>YZ-ZQ14976-Y0-350X</v>
          </cell>
          <cell r="B8188" t="str">
            <v>YZ-ZQ14976</v>
          </cell>
        </row>
        <row r="8189">
          <cell r="A8189" t="str">
            <v>YZ-ZQ14976-Y0-351X</v>
          </cell>
          <cell r="B8189" t="str">
            <v>YZ-ZQ14976</v>
          </cell>
        </row>
        <row r="8190">
          <cell r="A8190" t="str">
            <v>YZ-ZQ14976-Y0-352X</v>
          </cell>
          <cell r="B8190" t="str">
            <v>YZ-ZQ14976</v>
          </cell>
        </row>
        <row r="8191">
          <cell r="A8191" t="str">
            <v>YZ-ZQ14976-Y0-353X</v>
          </cell>
          <cell r="B8191" t="str">
            <v>YZ-ZQ14976</v>
          </cell>
        </row>
        <row r="8192">
          <cell r="A8192" t="str">
            <v>YZ-ZQ14976-Y0-354X</v>
          </cell>
          <cell r="B8192" t="str">
            <v>YZ-ZQ14976</v>
          </cell>
        </row>
        <row r="8193">
          <cell r="A8193" t="str">
            <v>YZ-ZQ14976-Y0-355X</v>
          </cell>
          <cell r="B8193" t="str">
            <v>YZ-ZQ14976</v>
          </cell>
        </row>
        <row r="8194">
          <cell r="A8194" t="str">
            <v>YZ-ZQ14976-Y0-356X</v>
          </cell>
          <cell r="B8194" t="str">
            <v>YZ-ZQ14976</v>
          </cell>
        </row>
        <row r="8195">
          <cell r="A8195" t="str">
            <v>YZ-ZQ14976-Y0-357X</v>
          </cell>
          <cell r="B8195" t="str">
            <v>YZ-ZQ14976</v>
          </cell>
        </row>
        <row r="8196">
          <cell r="A8196" t="str">
            <v>YZ-ZQ14976-Y0-358X</v>
          </cell>
          <cell r="B8196" t="str">
            <v>YZ-ZQ14976</v>
          </cell>
        </row>
        <row r="8197">
          <cell r="A8197" t="str">
            <v>YZ-ZQ14976-Y0-359X</v>
          </cell>
          <cell r="B8197" t="str">
            <v>YZ-ZQ14976</v>
          </cell>
        </row>
        <row r="8198">
          <cell r="A8198" t="str">
            <v>YZ-ZQ14976-Y0-35X</v>
          </cell>
          <cell r="B8198" t="str">
            <v>YZ-ZQ14976</v>
          </cell>
        </row>
        <row r="8199">
          <cell r="A8199" t="str">
            <v>YZ-ZQ14976-Y0-360X</v>
          </cell>
          <cell r="B8199" t="str">
            <v>YZ-ZQ14976</v>
          </cell>
        </row>
        <row r="8200">
          <cell r="A8200" t="str">
            <v>YZ-ZQ14976-Y0-361X</v>
          </cell>
          <cell r="B8200" t="str">
            <v>YZ-ZQ14976</v>
          </cell>
        </row>
        <row r="8201">
          <cell r="A8201" t="str">
            <v>YZ-ZQ14976-Y0-362X</v>
          </cell>
          <cell r="B8201" t="str">
            <v>YZ-ZQ14976</v>
          </cell>
        </row>
        <row r="8202">
          <cell r="A8202" t="str">
            <v>YZ-ZQ14976-Y0-363X</v>
          </cell>
          <cell r="B8202" t="str">
            <v>YZ-ZQ14976</v>
          </cell>
        </row>
        <row r="8203">
          <cell r="A8203" t="str">
            <v>YZ-ZQ14976-Y0-364X</v>
          </cell>
          <cell r="B8203" t="str">
            <v>YZ-ZQ14976</v>
          </cell>
        </row>
        <row r="8204">
          <cell r="A8204" t="str">
            <v>YZ-ZQ14976-Y0-365X</v>
          </cell>
          <cell r="B8204" t="str">
            <v>YZ-ZQ14976</v>
          </cell>
        </row>
        <row r="8205">
          <cell r="A8205" t="str">
            <v>YZ-ZQ14976-Y0-366X</v>
          </cell>
          <cell r="B8205" t="str">
            <v>YZ-ZQ14976</v>
          </cell>
        </row>
        <row r="8206">
          <cell r="A8206" t="str">
            <v>YZ-ZQ14976-Y0-367X</v>
          </cell>
          <cell r="B8206" t="str">
            <v>YZ-ZQ14976</v>
          </cell>
        </row>
        <row r="8207">
          <cell r="A8207" t="str">
            <v>YZ-ZQ14976-Y0-368X</v>
          </cell>
          <cell r="B8207" t="str">
            <v>YZ-ZQ14976</v>
          </cell>
        </row>
        <row r="8208">
          <cell r="A8208" t="str">
            <v>YZ-ZQ14976-Y0-369X</v>
          </cell>
          <cell r="B8208" t="str">
            <v>YZ-ZQ14976</v>
          </cell>
        </row>
        <row r="8209">
          <cell r="A8209" t="str">
            <v>YZ-ZQ14976-Y0-36X</v>
          </cell>
          <cell r="B8209" t="str">
            <v>YZ-ZQ14976</v>
          </cell>
        </row>
        <row r="8210">
          <cell r="A8210" t="str">
            <v>YZ-ZQ14976-Y0-370X</v>
          </cell>
          <cell r="B8210" t="str">
            <v>YZ-ZQ14976</v>
          </cell>
        </row>
        <row r="8211">
          <cell r="A8211" t="str">
            <v>YZ-ZQ14976-Y0-371X</v>
          </cell>
          <cell r="B8211" t="str">
            <v>YZ-ZQ14976</v>
          </cell>
        </row>
        <row r="8212">
          <cell r="A8212" t="str">
            <v>YZ-ZQ14976-Y0-372X</v>
          </cell>
          <cell r="B8212" t="str">
            <v>YZ-ZQ14976</v>
          </cell>
        </row>
        <row r="8213">
          <cell r="A8213" t="str">
            <v>YZ-ZQ14976-Y0-373X</v>
          </cell>
          <cell r="B8213" t="str">
            <v>YZ-ZQ14976</v>
          </cell>
        </row>
        <row r="8214">
          <cell r="A8214" t="str">
            <v>YZ-ZQ14976-Y0-374X</v>
          </cell>
          <cell r="B8214" t="str">
            <v>YZ-ZQ14976</v>
          </cell>
        </row>
        <row r="8215">
          <cell r="A8215" t="str">
            <v>YZ-ZQ14976-Y0-375X</v>
          </cell>
          <cell r="B8215" t="str">
            <v>YZ-ZQ14976</v>
          </cell>
        </row>
        <row r="8216">
          <cell r="A8216" t="str">
            <v>YZ-ZQ14976-Y0-376X</v>
          </cell>
          <cell r="B8216" t="str">
            <v>YZ-ZQ14976</v>
          </cell>
        </row>
        <row r="8217">
          <cell r="A8217" t="str">
            <v>YZ-ZQ14976-Y0-377X</v>
          </cell>
          <cell r="B8217" t="str">
            <v>YZ-ZQ14976</v>
          </cell>
        </row>
        <row r="8218">
          <cell r="A8218" t="str">
            <v>YZ-ZQ14976-Y0-378X</v>
          </cell>
          <cell r="B8218" t="str">
            <v>YZ-ZQ14976</v>
          </cell>
        </row>
        <row r="8219">
          <cell r="A8219" t="str">
            <v>YZ-ZQ14976-Y0-379X</v>
          </cell>
          <cell r="B8219" t="str">
            <v>YZ-ZQ14976</v>
          </cell>
        </row>
        <row r="8220">
          <cell r="A8220" t="str">
            <v>YZ-ZQ14976-Y0-37X</v>
          </cell>
          <cell r="B8220" t="str">
            <v>YZ-ZQ14976</v>
          </cell>
        </row>
        <row r="8221">
          <cell r="A8221" t="str">
            <v>YZ-ZQ14976-Y0-380X</v>
          </cell>
          <cell r="B8221" t="str">
            <v>YZ-ZQ14976</v>
          </cell>
        </row>
        <row r="8222">
          <cell r="A8222" t="str">
            <v>YZ-ZQ14976-Y0-381X</v>
          </cell>
          <cell r="B8222" t="str">
            <v>YZ-ZQ14976</v>
          </cell>
        </row>
        <row r="8223">
          <cell r="A8223" t="str">
            <v>YZ-ZQ14976-Y0-382X</v>
          </cell>
          <cell r="B8223" t="str">
            <v>YZ-ZQ14976</v>
          </cell>
        </row>
        <row r="8224">
          <cell r="A8224" t="str">
            <v>YZ-ZQ14976-Y0-383X</v>
          </cell>
          <cell r="B8224" t="str">
            <v>YZ-ZQ14976</v>
          </cell>
        </row>
        <row r="8225">
          <cell r="A8225" t="str">
            <v>YZ-ZQ14976-Y0-384X</v>
          </cell>
          <cell r="B8225" t="str">
            <v>YZ-ZQ14976</v>
          </cell>
        </row>
        <row r="8226">
          <cell r="A8226" t="str">
            <v>YZ-ZQ14976-Y0-385X</v>
          </cell>
          <cell r="B8226" t="str">
            <v>YZ-ZQ14976</v>
          </cell>
        </row>
        <row r="8227">
          <cell r="A8227" t="str">
            <v>YZ-ZQ14976-Y0-386X</v>
          </cell>
          <cell r="B8227" t="str">
            <v>YZ-ZQ14976</v>
          </cell>
        </row>
        <row r="8228">
          <cell r="A8228" t="str">
            <v>YZ-ZQ14976-Y0-387X</v>
          </cell>
          <cell r="B8228" t="str">
            <v>YZ-ZQ14976</v>
          </cell>
        </row>
        <row r="8229">
          <cell r="A8229" t="str">
            <v>YZ-ZQ14976-Y0-388X</v>
          </cell>
          <cell r="B8229" t="str">
            <v>YZ-ZQ14976</v>
          </cell>
        </row>
        <row r="8230">
          <cell r="A8230" t="str">
            <v>YZ-ZQ14976-Y0-389X</v>
          </cell>
          <cell r="B8230" t="str">
            <v>YZ-ZQ14976</v>
          </cell>
        </row>
        <row r="8231">
          <cell r="A8231" t="str">
            <v>YZ-ZQ14976-Y0-38X</v>
          </cell>
          <cell r="B8231" t="str">
            <v>YZ-ZQ14976</v>
          </cell>
        </row>
        <row r="8232">
          <cell r="A8232" t="str">
            <v>YZ-ZQ14976-Y0-390X</v>
          </cell>
          <cell r="B8232" t="str">
            <v>YZ-ZQ14976</v>
          </cell>
        </row>
        <row r="8233">
          <cell r="A8233" t="str">
            <v>YZ-ZQ14976-Y0-391X</v>
          </cell>
          <cell r="B8233" t="str">
            <v>YZ-ZQ14976</v>
          </cell>
        </row>
        <row r="8234">
          <cell r="A8234" t="str">
            <v>YZ-ZQ14976-Y0-392X</v>
          </cell>
          <cell r="B8234" t="str">
            <v>YZ-ZQ14976</v>
          </cell>
        </row>
        <row r="8235">
          <cell r="A8235" t="str">
            <v>YZ-ZQ14976-Y0-393X</v>
          </cell>
          <cell r="B8235" t="str">
            <v>YZ-ZQ14976</v>
          </cell>
        </row>
        <row r="8236">
          <cell r="A8236" t="str">
            <v>YZ-ZQ14976-Y0-394X</v>
          </cell>
          <cell r="B8236" t="str">
            <v>YZ-ZQ14976</v>
          </cell>
        </row>
        <row r="8237">
          <cell r="A8237" t="str">
            <v>YZ-ZQ14976-Y0-395X</v>
          </cell>
          <cell r="B8237" t="str">
            <v>YZ-ZQ14976</v>
          </cell>
        </row>
        <row r="8238">
          <cell r="A8238" t="str">
            <v>YZ-ZQ14976-Y0-396X</v>
          </cell>
          <cell r="B8238" t="str">
            <v>YZ-ZQ14976</v>
          </cell>
        </row>
        <row r="8239">
          <cell r="A8239" t="str">
            <v>YZ-ZQ14976-Y0-397X</v>
          </cell>
          <cell r="B8239" t="str">
            <v>YZ-ZQ14976</v>
          </cell>
        </row>
        <row r="8240">
          <cell r="A8240" t="str">
            <v>YZ-ZQ14976-Y0-398X</v>
          </cell>
          <cell r="B8240" t="str">
            <v>YZ-ZQ14976</v>
          </cell>
        </row>
        <row r="8241">
          <cell r="A8241" t="str">
            <v>YZ-ZQ14976-Y0-399X</v>
          </cell>
          <cell r="B8241" t="str">
            <v>YZ-ZQ14976</v>
          </cell>
        </row>
        <row r="8242">
          <cell r="A8242" t="str">
            <v>YZ-ZQ14976-Y0-39X</v>
          </cell>
          <cell r="B8242" t="str">
            <v>YZ-ZQ14976</v>
          </cell>
        </row>
        <row r="8243">
          <cell r="A8243" t="str">
            <v>YZ-ZQ14976-Y0-3X</v>
          </cell>
          <cell r="B8243" t="str">
            <v>YZ-ZQ14976</v>
          </cell>
        </row>
        <row r="8244">
          <cell r="A8244" t="str">
            <v>YZ-ZQ14976-Y0-400X</v>
          </cell>
          <cell r="B8244" t="str">
            <v>YZ-ZQ14976</v>
          </cell>
        </row>
        <row r="8245">
          <cell r="A8245" t="str">
            <v>YZ-ZQ14976-Y0-401X</v>
          </cell>
          <cell r="B8245" t="str">
            <v>YZ-ZQ14976</v>
          </cell>
        </row>
        <row r="8246">
          <cell r="A8246" t="str">
            <v>YZ-ZQ14976-Y0-402X</v>
          </cell>
          <cell r="B8246" t="str">
            <v>YZ-ZQ14976</v>
          </cell>
        </row>
        <row r="8247">
          <cell r="A8247" t="str">
            <v>YZ-ZQ14976-Y0-403X</v>
          </cell>
          <cell r="B8247" t="str">
            <v>YZ-ZQ14976</v>
          </cell>
        </row>
        <row r="8248">
          <cell r="A8248" t="str">
            <v>YZ-ZQ14976-Y0-404X</v>
          </cell>
          <cell r="B8248" t="str">
            <v>YZ-ZQ14976</v>
          </cell>
        </row>
        <row r="8249">
          <cell r="A8249" t="str">
            <v>YZ-ZQ14976-Y0-405X</v>
          </cell>
          <cell r="B8249" t="str">
            <v>YZ-ZQ14976</v>
          </cell>
        </row>
        <row r="8250">
          <cell r="A8250" t="str">
            <v>YZ-ZQ14976-Y0-406X</v>
          </cell>
          <cell r="B8250" t="str">
            <v>YZ-ZQ14976</v>
          </cell>
        </row>
        <row r="8251">
          <cell r="A8251" t="str">
            <v>YZ-ZQ14976-Y0-407X</v>
          </cell>
          <cell r="B8251" t="str">
            <v>YZ-ZQ14976</v>
          </cell>
        </row>
        <row r="8252">
          <cell r="A8252" t="str">
            <v>YZ-ZQ14976-Y0-408X</v>
          </cell>
          <cell r="B8252" t="str">
            <v>YZ-ZQ14976</v>
          </cell>
        </row>
        <row r="8253">
          <cell r="A8253" t="str">
            <v>YZ-ZQ14976-Y0-409X</v>
          </cell>
          <cell r="B8253" t="str">
            <v>YZ-ZQ14976</v>
          </cell>
        </row>
        <row r="8254">
          <cell r="A8254" t="str">
            <v>YZ-ZQ14976-Y0-40X</v>
          </cell>
          <cell r="B8254" t="str">
            <v>YZ-ZQ14976</v>
          </cell>
        </row>
        <row r="8255">
          <cell r="A8255" t="str">
            <v>YZ-ZQ14976-Y0-410X</v>
          </cell>
          <cell r="B8255" t="str">
            <v>YZ-ZQ14976</v>
          </cell>
        </row>
        <row r="8256">
          <cell r="A8256" t="str">
            <v>YZ-ZQ14976-Y0-411X</v>
          </cell>
          <cell r="B8256" t="str">
            <v>YZ-ZQ14976</v>
          </cell>
        </row>
        <row r="8257">
          <cell r="A8257" t="str">
            <v>YZ-ZQ14976-Y0-412X</v>
          </cell>
          <cell r="B8257" t="str">
            <v>YZ-ZQ14976</v>
          </cell>
        </row>
        <row r="8258">
          <cell r="A8258" t="str">
            <v>YZ-ZQ14976-Y0-413X</v>
          </cell>
          <cell r="B8258" t="str">
            <v>YZ-ZQ14976</v>
          </cell>
        </row>
        <row r="8259">
          <cell r="A8259" t="str">
            <v>YZ-ZQ14976-Y0-414X</v>
          </cell>
          <cell r="B8259" t="str">
            <v>YZ-ZQ14976</v>
          </cell>
        </row>
        <row r="8260">
          <cell r="A8260" t="str">
            <v>YZ-ZQ14976-Y0-415X</v>
          </cell>
          <cell r="B8260" t="str">
            <v>YZ-ZQ14976</v>
          </cell>
        </row>
        <row r="8261">
          <cell r="A8261" t="str">
            <v>YZ-ZQ14976-Y0-416X</v>
          </cell>
          <cell r="B8261" t="str">
            <v>YZ-ZQ14976</v>
          </cell>
        </row>
        <row r="8262">
          <cell r="A8262" t="str">
            <v>YZ-ZQ14976-Y0-417X</v>
          </cell>
          <cell r="B8262" t="str">
            <v>YZ-ZQ14976</v>
          </cell>
        </row>
        <row r="8263">
          <cell r="A8263" t="str">
            <v>YZ-ZQ14976-Y0-418X</v>
          </cell>
          <cell r="B8263" t="str">
            <v>YZ-ZQ14976</v>
          </cell>
        </row>
        <row r="8264">
          <cell r="A8264" t="str">
            <v>YZ-ZQ14976-Y0-419X</v>
          </cell>
          <cell r="B8264" t="str">
            <v>YZ-ZQ14976</v>
          </cell>
        </row>
        <row r="8265">
          <cell r="A8265" t="str">
            <v>YZ-ZQ14976-Y0-41X</v>
          </cell>
          <cell r="B8265" t="str">
            <v>YZ-ZQ14976</v>
          </cell>
        </row>
        <row r="8266">
          <cell r="A8266" t="str">
            <v>YZ-ZQ14976-Y0-420X</v>
          </cell>
          <cell r="B8266" t="str">
            <v>YZ-ZQ14976</v>
          </cell>
        </row>
        <row r="8267">
          <cell r="A8267" t="str">
            <v>YZ-ZQ14976-Y0-421X</v>
          </cell>
          <cell r="B8267" t="str">
            <v>YZ-ZQ14976</v>
          </cell>
        </row>
        <row r="8268">
          <cell r="A8268" t="str">
            <v>YZ-ZQ14976-Y0-422X</v>
          </cell>
          <cell r="B8268" t="str">
            <v>YZ-ZQ14976</v>
          </cell>
        </row>
        <row r="8269">
          <cell r="A8269" t="str">
            <v>YZ-ZQ14976-Y0-423X</v>
          </cell>
          <cell r="B8269" t="str">
            <v>YZ-ZQ14976</v>
          </cell>
        </row>
        <row r="8270">
          <cell r="A8270" t="str">
            <v>YZ-ZQ14976-Y0-424X</v>
          </cell>
          <cell r="B8270" t="str">
            <v>YZ-ZQ14976</v>
          </cell>
        </row>
        <row r="8271">
          <cell r="A8271" t="str">
            <v>YZ-ZQ14976-Y0-425X</v>
          </cell>
          <cell r="B8271" t="str">
            <v>YZ-ZQ14976</v>
          </cell>
        </row>
        <row r="8272">
          <cell r="A8272" t="str">
            <v>YZ-ZQ14976-Y0-426X</v>
          </cell>
          <cell r="B8272" t="str">
            <v>YZ-ZQ14976</v>
          </cell>
        </row>
        <row r="8273">
          <cell r="A8273" t="str">
            <v>YZ-ZQ14976-Y0-427X</v>
          </cell>
          <cell r="B8273" t="str">
            <v>YZ-ZQ14976</v>
          </cell>
        </row>
        <row r="8274">
          <cell r="A8274" t="str">
            <v>YZ-ZQ14976-Y0-428X</v>
          </cell>
          <cell r="B8274" t="str">
            <v>YZ-ZQ14976</v>
          </cell>
        </row>
        <row r="8275">
          <cell r="A8275" t="str">
            <v>YZ-ZQ14976-Y0-429X</v>
          </cell>
          <cell r="B8275" t="str">
            <v>YZ-ZQ14976</v>
          </cell>
        </row>
        <row r="8276">
          <cell r="A8276" t="str">
            <v>YZ-ZQ14976-Y0-42X</v>
          </cell>
          <cell r="B8276" t="str">
            <v>YZ-ZQ14976</v>
          </cell>
        </row>
        <row r="8277">
          <cell r="A8277" t="str">
            <v>YZ-ZQ14976-Y0-430X</v>
          </cell>
          <cell r="B8277" t="str">
            <v>YZ-ZQ14976</v>
          </cell>
        </row>
        <row r="8278">
          <cell r="A8278" t="str">
            <v>YZ-ZQ14976-Y0-431X</v>
          </cell>
          <cell r="B8278" t="str">
            <v>YZ-ZQ14976</v>
          </cell>
        </row>
        <row r="8279">
          <cell r="A8279" t="str">
            <v>YZ-ZQ14976-Y0-432X</v>
          </cell>
          <cell r="B8279" t="str">
            <v>YZ-ZQ14976</v>
          </cell>
        </row>
        <row r="8280">
          <cell r="A8280" t="str">
            <v>YZ-ZQ14976-Y0-433X</v>
          </cell>
          <cell r="B8280" t="str">
            <v>YZ-ZQ14976</v>
          </cell>
        </row>
        <row r="8281">
          <cell r="A8281" t="str">
            <v>YZ-ZQ14976-Y0-434X</v>
          </cell>
          <cell r="B8281" t="str">
            <v>YZ-ZQ14976</v>
          </cell>
        </row>
        <row r="8282">
          <cell r="A8282" t="str">
            <v>YZ-ZQ14976-Y0-435X</v>
          </cell>
          <cell r="B8282" t="str">
            <v>YZ-ZQ14976</v>
          </cell>
        </row>
        <row r="8283">
          <cell r="A8283" t="str">
            <v>YZ-ZQ14976-Y0-436X</v>
          </cell>
          <cell r="B8283" t="str">
            <v>YZ-ZQ14976</v>
          </cell>
        </row>
        <row r="8284">
          <cell r="A8284" t="str">
            <v>YZ-ZQ14976-Y0-437X</v>
          </cell>
          <cell r="B8284" t="str">
            <v>YZ-ZQ14976</v>
          </cell>
        </row>
        <row r="8285">
          <cell r="A8285" t="str">
            <v>YZ-ZQ14976-Y0-438X</v>
          </cell>
          <cell r="B8285" t="str">
            <v>YZ-ZQ14976</v>
          </cell>
        </row>
        <row r="8286">
          <cell r="A8286" t="str">
            <v>YZ-ZQ14976-Y0-439X</v>
          </cell>
          <cell r="B8286" t="str">
            <v>YZ-ZQ14976</v>
          </cell>
        </row>
        <row r="8287">
          <cell r="A8287" t="str">
            <v>YZ-ZQ14976-Y0-43X</v>
          </cell>
          <cell r="B8287" t="str">
            <v>YZ-ZQ14976</v>
          </cell>
        </row>
        <row r="8288">
          <cell r="A8288" t="str">
            <v>YZ-ZQ14976-Y0-440X</v>
          </cell>
          <cell r="B8288" t="str">
            <v>YZ-ZQ14976</v>
          </cell>
        </row>
        <row r="8289">
          <cell r="A8289" t="str">
            <v>YZ-ZQ14976-Y0-441X</v>
          </cell>
          <cell r="B8289" t="str">
            <v>YZ-ZQ14976</v>
          </cell>
        </row>
        <row r="8290">
          <cell r="A8290" t="str">
            <v>YZ-ZQ14976-Y0-442X</v>
          </cell>
          <cell r="B8290" t="str">
            <v>YZ-ZQ14976</v>
          </cell>
        </row>
        <row r="8291">
          <cell r="A8291" t="str">
            <v>YZ-ZQ14976-Y0-443X</v>
          </cell>
          <cell r="B8291" t="str">
            <v>YZ-ZQ14976</v>
          </cell>
        </row>
        <row r="8292">
          <cell r="A8292" t="str">
            <v>YZ-ZQ14976-Y0-444X</v>
          </cell>
          <cell r="B8292" t="str">
            <v>YZ-ZQ14976</v>
          </cell>
        </row>
        <row r="8293">
          <cell r="A8293" t="str">
            <v>YZ-ZQ14976-Y0-445X</v>
          </cell>
          <cell r="B8293" t="str">
            <v>YZ-ZQ14976</v>
          </cell>
        </row>
        <row r="8294">
          <cell r="A8294" t="str">
            <v>YZ-ZQ14976-Y0-446X</v>
          </cell>
          <cell r="B8294" t="str">
            <v>YZ-ZQ14976</v>
          </cell>
        </row>
        <row r="8295">
          <cell r="A8295" t="str">
            <v>YZ-ZQ14976-Y0-447X</v>
          </cell>
          <cell r="B8295" t="str">
            <v>YZ-ZQ14976</v>
          </cell>
        </row>
        <row r="8296">
          <cell r="A8296" t="str">
            <v>YZ-ZQ14976-Y0-448X</v>
          </cell>
          <cell r="B8296" t="str">
            <v>YZ-ZQ14976</v>
          </cell>
        </row>
        <row r="8297">
          <cell r="A8297" t="str">
            <v>YZ-ZQ14976-Y0-449X</v>
          </cell>
          <cell r="B8297" t="str">
            <v>YZ-ZQ14976</v>
          </cell>
        </row>
        <row r="8298">
          <cell r="A8298" t="str">
            <v>YZ-ZQ14976-Y0-44X</v>
          </cell>
          <cell r="B8298" t="str">
            <v>YZ-ZQ14976</v>
          </cell>
        </row>
        <row r="8299">
          <cell r="A8299" t="str">
            <v>YZ-ZQ14976-Y0-450X</v>
          </cell>
          <cell r="B8299" t="str">
            <v>YZ-ZQ14976</v>
          </cell>
        </row>
        <row r="8300">
          <cell r="A8300" t="str">
            <v>YZ-ZQ14976-Y0-451X</v>
          </cell>
          <cell r="B8300" t="str">
            <v>YZ-ZQ14976</v>
          </cell>
        </row>
        <row r="8301">
          <cell r="A8301" t="str">
            <v>YZ-ZQ14976-Y0-452X</v>
          </cell>
          <cell r="B8301" t="str">
            <v>YZ-ZQ14976</v>
          </cell>
        </row>
        <row r="8302">
          <cell r="A8302" t="str">
            <v>YZ-ZQ14976-Y0-453X</v>
          </cell>
          <cell r="B8302" t="str">
            <v>YZ-ZQ14976</v>
          </cell>
        </row>
        <row r="8303">
          <cell r="A8303" t="str">
            <v>YZ-ZQ14976-Y0-454X</v>
          </cell>
          <cell r="B8303" t="str">
            <v>YZ-ZQ14976</v>
          </cell>
        </row>
        <row r="8304">
          <cell r="A8304" t="str">
            <v>YZ-ZQ14976-Y0-455X</v>
          </cell>
          <cell r="B8304" t="str">
            <v>YZ-ZQ14976</v>
          </cell>
        </row>
        <row r="8305">
          <cell r="A8305" t="str">
            <v>YZ-ZQ14976-Y0-457X</v>
          </cell>
          <cell r="B8305" t="str">
            <v>YZ-ZQ14976</v>
          </cell>
        </row>
        <row r="8306">
          <cell r="A8306" t="str">
            <v>YZ-ZQ14976-Y0-458X</v>
          </cell>
          <cell r="B8306" t="str">
            <v>YZ-ZQ14976</v>
          </cell>
        </row>
        <row r="8307">
          <cell r="A8307" t="str">
            <v>YZ-ZQ14976-Y0-459X</v>
          </cell>
          <cell r="B8307" t="str">
            <v>YZ-ZQ14976</v>
          </cell>
        </row>
        <row r="8308">
          <cell r="A8308" t="str">
            <v>YZ-ZQ14976-Y0-45X</v>
          </cell>
          <cell r="B8308" t="str">
            <v>YZ-ZQ14976</v>
          </cell>
        </row>
        <row r="8309">
          <cell r="A8309" t="str">
            <v>YZ-ZQ14976-Y0-460X</v>
          </cell>
          <cell r="B8309" t="str">
            <v>YZ-ZQ14976</v>
          </cell>
        </row>
        <row r="8310">
          <cell r="A8310" t="str">
            <v>YZ-ZQ14976-Y0-461X</v>
          </cell>
          <cell r="B8310" t="str">
            <v>YZ-ZQ14976</v>
          </cell>
        </row>
        <row r="8311">
          <cell r="A8311" t="str">
            <v>YZ-ZQ14976-Y0-462X</v>
          </cell>
          <cell r="B8311" t="str">
            <v>YZ-ZQ14976</v>
          </cell>
        </row>
        <row r="8312">
          <cell r="A8312" t="str">
            <v>YZ-ZQ14976-Y0-463X</v>
          </cell>
          <cell r="B8312" t="str">
            <v>YZ-ZQ14976</v>
          </cell>
        </row>
        <row r="8313">
          <cell r="A8313" t="str">
            <v>YZ-ZQ14976-Y0-464X</v>
          </cell>
          <cell r="B8313" t="str">
            <v>YZ-ZQ14976</v>
          </cell>
        </row>
        <row r="8314">
          <cell r="A8314" t="str">
            <v>YZ-ZQ14976-Y0-465X</v>
          </cell>
          <cell r="B8314" t="str">
            <v>YZ-ZQ14976</v>
          </cell>
        </row>
        <row r="8315">
          <cell r="A8315" t="str">
            <v>YZ-ZQ14976-Y0-466X</v>
          </cell>
          <cell r="B8315" t="str">
            <v>YZ-ZQ14976</v>
          </cell>
        </row>
        <row r="8316">
          <cell r="A8316" t="str">
            <v>YZ-ZQ14976-Y0-467X</v>
          </cell>
          <cell r="B8316" t="str">
            <v>YZ-ZQ14976</v>
          </cell>
        </row>
        <row r="8317">
          <cell r="A8317" t="str">
            <v>YZ-ZQ14976-Y0-468X</v>
          </cell>
          <cell r="B8317" t="str">
            <v>YZ-ZQ14976</v>
          </cell>
        </row>
        <row r="8318">
          <cell r="A8318" t="str">
            <v>YZ-ZQ14976-Y0-469X</v>
          </cell>
          <cell r="B8318" t="str">
            <v>YZ-ZQ14976</v>
          </cell>
        </row>
        <row r="8319">
          <cell r="A8319" t="str">
            <v>YZ-ZQ14976-Y0-46X</v>
          </cell>
          <cell r="B8319" t="str">
            <v>YZ-ZQ14976</v>
          </cell>
        </row>
        <row r="8320">
          <cell r="A8320" t="str">
            <v>YZ-ZQ14976-Y0-470X</v>
          </cell>
          <cell r="B8320" t="str">
            <v>YZ-ZQ14976</v>
          </cell>
        </row>
        <row r="8321">
          <cell r="A8321" t="str">
            <v>YZ-ZQ14976-Y0-471X</v>
          </cell>
          <cell r="B8321" t="str">
            <v>YZ-ZQ14976</v>
          </cell>
        </row>
        <row r="8322">
          <cell r="A8322" t="str">
            <v>YZ-ZQ14976-Y0-472X</v>
          </cell>
          <cell r="B8322" t="str">
            <v>YZ-ZQ14976</v>
          </cell>
        </row>
        <row r="8323">
          <cell r="A8323" t="str">
            <v>YZ-ZQ14976-Y0-473X</v>
          </cell>
          <cell r="B8323" t="str">
            <v>YZ-ZQ14976</v>
          </cell>
        </row>
        <row r="8324">
          <cell r="A8324" t="str">
            <v>YZ-ZQ14976-Y0-474X</v>
          </cell>
          <cell r="B8324" t="str">
            <v>YZ-ZQ14976</v>
          </cell>
        </row>
        <row r="8325">
          <cell r="A8325" t="str">
            <v>YZ-ZQ14976-Y0-475X</v>
          </cell>
          <cell r="B8325" t="str">
            <v>YZ-ZQ14976</v>
          </cell>
        </row>
        <row r="8326">
          <cell r="A8326" t="str">
            <v>YZ-ZQ14976-Y0-476X</v>
          </cell>
          <cell r="B8326" t="str">
            <v>YZ-ZQ14976</v>
          </cell>
        </row>
        <row r="8327">
          <cell r="A8327" t="str">
            <v>YZ-ZQ14976-Y0-477X</v>
          </cell>
          <cell r="B8327" t="str">
            <v>YZ-ZQ14976</v>
          </cell>
        </row>
        <row r="8328">
          <cell r="A8328" t="str">
            <v>YZ-ZQ14976-Y0-478X</v>
          </cell>
          <cell r="B8328" t="str">
            <v>YZ-ZQ14976</v>
          </cell>
        </row>
        <row r="8329">
          <cell r="A8329" t="str">
            <v>YZ-ZQ14976-Y0-479X</v>
          </cell>
          <cell r="B8329" t="str">
            <v>YZ-ZQ14976</v>
          </cell>
        </row>
        <row r="8330">
          <cell r="A8330" t="str">
            <v>YZ-ZQ14976-Y0-47X</v>
          </cell>
          <cell r="B8330" t="str">
            <v>YZ-ZQ14976</v>
          </cell>
        </row>
        <row r="8331">
          <cell r="A8331" t="str">
            <v>YZ-ZQ14976-Y0-480X</v>
          </cell>
          <cell r="B8331" t="str">
            <v>YZ-ZQ14976</v>
          </cell>
        </row>
        <row r="8332">
          <cell r="A8332" t="str">
            <v>YZ-ZQ14976-Y0-481X</v>
          </cell>
          <cell r="B8332" t="str">
            <v>YZ-ZQ14976</v>
          </cell>
        </row>
        <row r="8333">
          <cell r="A8333" t="str">
            <v>YZ-ZQ14976-Y0-482X</v>
          </cell>
          <cell r="B8333" t="str">
            <v>YZ-ZQ14976</v>
          </cell>
        </row>
        <row r="8334">
          <cell r="A8334" t="str">
            <v>YZ-ZQ14976-Y0-483X</v>
          </cell>
          <cell r="B8334" t="str">
            <v>YZ-ZQ14976</v>
          </cell>
        </row>
        <row r="8335">
          <cell r="A8335" t="str">
            <v>YZ-ZQ14976-Y0-484X</v>
          </cell>
          <cell r="B8335" t="str">
            <v>YZ-ZQ14976</v>
          </cell>
        </row>
        <row r="8336">
          <cell r="A8336" t="str">
            <v>YZ-ZQ14976-Y0-485X</v>
          </cell>
          <cell r="B8336" t="str">
            <v>YZ-ZQ14976</v>
          </cell>
        </row>
        <row r="8337">
          <cell r="A8337" t="str">
            <v>YZ-ZQ14976-Y0-487X</v>
          </cell>
          <cell r="B8337" t="str">
            <v>YZ-ZQ14976</v>
          </cell>
        </row>
        <row r="8338">
          <cell r="A8338" t="str">
            <v>YZ-ZQ14976-Y0-488X</v>
          </cell>
          <cell r="B8338" t="str">
            <v>YZ-ZQ14976</v>
          </cell>
        </row>
        <row r="8339">
          <cell r="A8339" t="str">
            <v>YZ-ZQ14976-Y0-489X</v>
          </cell>
          <cell r="B8339" t="str">
            <v>YZ-ZQ14976</v>
          </cell>
        </row>
        <row r="8340">
          <cell r="A8340" t="str">
            <v>YZ-ZQ14976-Y0-48X</v>
          </cell>
          <cell r="B8340" t="str">
            <v>YZ-ZQ14976</v>
          </cell>
        </row>
        <row r="8341">
          <cell r="A8341" t="str">
            <v>YZ-ZQ14976-Y0-490X</v>
          </cell>
          <cell r="B8341" t="str">
            <v>YZ-ZQ14976</v>
          </cell>
        </row>
        <row r="8342">
          <cell r="A8342" t="str">
            <v>YZ-ZQ14976-Y0-491X</v>
          </cell>
          <cell r="B8342" t="str">
            <v>YZ-ZQ14976</v>
          </cell>
        </row>
        <row r="8343">
          <cell r="A8343" t="str">
            <v>YZ-ZQ14976-Y0-492X</v>
          </cell>
          <cell r="B8343" t="str">
            <v>YZ-ZQ14976</v>
          </cell>
        </row>
        <row r="8344">
          <cell r="A8344" t="str">
            <v>YZ-ZQ14976-Y0-493X</v>
          </cell>
          <cell r="B8344" t="str">
            <v>YZ-ZQ14976</v>
          </cell>
        </row>
        <row r="8345">
          <cell r="A8345" t="str">
            <v>YZ-ZQ14976-Y0-494X</v>
          </cell>
          <cell r="B8345" t="str">
            <v>YZ-ZQ14976</v>
          </cell>
        </row>
        <row r="8346">
          <cell r="A8346" t="str">
            <v>YZ-ZQ14976-Y0-495X</v>
          </cell>
          <cell r="B8346" t="str">
            <v>YZ-ZQ14976</v>
          </cell>
        </row>
        <row r="8347">
          <cell r="A8347" t="str">
            <v>YZ-ZQ14976-Y0-496X</v>
          </cell>
          <cell r="B8347" t="str">
            <v>YZ-ZQ14976</v>
          </cell>
        </row>
        <row r="8348">
          <cell r="A8348" t="str">
            <v>YZ-ZQ14976-Y0-497X</v>
          </cell>
          <cell r="B8348" t="str">
            <v>YZ-ZQ14976</v>
          </cell>
        </row>
        <row r="8349">
          <cell r="A8349" t="str">
            <v>YZ-ZQ14976-Y0-498X</v>
          </cell>
          <cell r="B8349" t="str">
            <v>YZ-ZQ14976</v>
          </cell>
        </row>
        <row r="8350">
          <cell r="A8350" t="str">
            <v>YZ-ZQ14976-Y0-499X</v>
          </cell>
          <cell r="B8350" t="str">
            <v>YZ-ZQ14976</v>
          </cell>
        </row>
        <row r="8351">
          <cell r="A8351" t="str">
            <v>YZ-ZQ14976-Y0-49X</v>
          </cell>
          <cell r="B8351" t="str">
            <v>YZ-ZQ14976</v>
          </cell>
        </row>
        <row r="8352">
          <cell r="A8352" t="str">
            <v>YZ-ZQ14976-Y0-4X</v>
          </cell>
          <cell r="B8352" t="str">
            <v>YZ-ZQ14976</v>
          </cell>
        </row>
        <row r="8353">
          <cell r="A8353" t="str">
            <v>YZ-ZQ14976-Y0-500X</v>
          </cell>
          <cell r="B8353" t="str">
            <v>YZ-ZQ14976</v>
          </cell>
        </row>
        <row r="8354">
          <cell r="A8354" t="str">
            <v>YZ-ZQ14976-Y0-501X</v>
          </cell>
          <cell r="B8354" t="str">
            <v>YZ-ZQ14976</v>
          </cell>
        </row>
        <row r="8355">
          <cell r="A8355" t="str">
            <v>YZ-ZQ14976-Y0-503X</v>
          </cell>
          <cell r="B8355" t="str">
            <v>YZ-ZQ14976</v>
          </cell>
        </row>
        <row r="8356">
          <cell r="A8356" t="str">
            <v>YZ-ZQ14976-Y0-504X</v>
          </cell>
          <cell r="B8356" t="str">
            <v>YZ-ZQ14976</v>
          </cell>
        </row>
        <row r="8357">
          <cell r="A8357" t="str">
            <v>YZ-ZQ14976-Y0-505X</v>
          </cell>
          <cell r="B8357" t="str">
            <v>YZ-ZQ14976</v>
          </cell>
        </row>
        <row r="8358">
          <cell r="A8358" t="str">
            <v>YZ-ZQ14976-Y0-506X</v>
          </cell>
          <cell r="B8358" t="str">
            <v>YZ-ZQ14976</v>
          </cell>
        </row>
        <row r="8359">
          <cell r="A8359" t="str">
            <v>YZ-ZQ14976-Y0-507X</v>
          </cell>
          <cell r="B8359" t="str">
            <v>YZ-ZQ14976</v>
          </cell>
        </row>
        <row r="8360">
          <cell r="A8360" t="str">
            <v>YZ-ZQ14976-Y0-508X</v>
          </cell>
          <cell r="B8360" t="str">
            <v>YZ-ZQ14976</v>
          </cell>
        </row>
        <row r="8361">
          <cell r="A8361" t="str">
            <v>YZ-ZQ14976-Y0-509X</v>
          </cell>
          <cell r="B8361" t="str">
            <v>YZ-ZQ14976</v>
          </cell>
        </row>
        <row r="8362">
          <cell r="A8362" t="str">
            <v>YZ-ZQ14976-Y0-50X</v>
          </cell>
          <cell r="B8362" t="str">
            <v>YZ-ZQ14976</v>
          </cell>
        </row>
        <row r="8363">
          <cell r="A8363" t="str">
            <v>YZ-ZQ14976-Y0-510X</v>
          </cell>
          <cell r="B8363" t="str">
            <v>YZ-ZQ14976</v>
          </cell>
        </row>
        <row r="8364">
          <cell r="A8364" t="str">
            <v>YZ-ZQ14976-Y0-511X</v>
          </cell>
          <cell r="B8364" t="str">
            <v>YZ-ZQ14976</v>
          </cell>
        </row>
        <row r="8365">
          <cell r="A8365" t="str">
            <v>YZ-ZQ14976-Y0-512X</v>
          </cell>
          <cell r="B8365" t="str">
            <v>YZ-ZQ14976</v>
          </cell>
        </row>
        <row r="8366">
          <cell r="A8366" t="str">
            <v>YZ-ZQ14976-Y0-513X</v>
          </cell>
          <cell r="B8366" t="str">
            <v>YZ-ZQ14976</v>
          </cell>
        </row>
        <row r="8367">
          <cell r="A8367" t="str">
            <v>YZ-ZQ14976-Y0-514X</v>
          </cell>
          <cell r="B8367" t="str">
            <v>YZ-ZQ14976</v>
          </cell>
        </row>
        <row r="8368">
          <cell r="A8368" t="str">
            <v>YZ-ZQ14976-Y0-515X</v>
          </cell>
          <cell r="B8368" t="str">
            <v>YZ-ZQ14976</v>
          </cell>
        </row>
        <row r="8369">
          <cell r="A8369" t="str">
            <v>YZ-ZQ14976-Y0-516X</v>
          </cell>
          <cell r="B8369" t="str">
            <v>YZ-ZQ14976</v>
          </cell>
        </row>
        <row r="8370">
          <cell r="A8370" t="str">
            <v>YZ-ZQ14976-Y0-517X</v>
          </cell>
          <cell r="B8370" t="str">
            <v>YZ-ZQ14976</v>
          </cell>
        </row>
        <row r="8371">
          <cell r="A8371" t="str">
            <v>YZ-ZQ14976-Y0-518X</v>
          </cell>
          <cell r="B8371" t="str">
            <v>YZ-ZQ14976</v>
          </cell>
        </row>
        <row r="8372">
          <cell r="A8372" t="str">
            <v>YZ-ZQ14976-Y0-519X</v>
          </cell>
          <cell r="B8372" t="str">
            <v>YZ-ZQ14976</v>
          </cell>
        </row>
        <row r="8373">
          <cell r="A8373" t="str">
            <v>YZ-ZQ14976-Y0-51X</v>
          </cell>
          <cell r="B8373" t="str">
            <v>YZ-ZQ14976</v>
          </cell>
        </row>
        <row r="8374">
          <cell r="A8374" t="str">
            <v>YZ-ZQ14976-Y0-520X</v>
          </cell>
          <cell r="B8374" t="str">
            <v>YZ-ZQ14976</v>
          </cell>
        </row>
        <row r="8375">
          <cell r="A8375" t="str">
            <v>YZ-ZQ14976-Y0-521X</v>
          </cell>
          <cell r="B8375" t="str">
            <v>YZ-ZQ14976</v>
          </cell>
        </row>
        <row r="8376">
          <cell r="A8376" t="str">
            <v>YZ-ZQ14976-Y0-522X</v>
          </cell>
          <cell r="B8376" t="str">
            <v>YZ-ZQ14976</v>
          </cell>
        </row>
        <row r="8377">
          <cell r="A8377" t="str">
            <v>YZ-ZQ14976-Y0-523X</v>
          </cell>
          <cell r="B8377" t="str">
            <v>YZ-ZQ14976</v>
          </cell>
        </row>
        <row r="8378">
          <cell r="A8378" t="str">
            <v>YZ-ZQ14976-Y0-524X</v>
          </cell>
          <cell r="B8378" t="str">
            <v>YZ-ZQ14976</v>
          </cell>
        </row>
        <row r="8379">
          <cell r="A8379" t="str">
            <v>YZ-ZQ14976-Y0-525X</v>
          </cell>
          <cell r="B8379" t="str">
            <v>YZ-ZQ14976</v>
          </cell>
        </row>
        <row r="8380">
          <cell r="A8380" t="str">
            <v>YZ-ZQ14976-Y0-526X</v>
          </cell>
          <cell r="B8380" t="str">
            <v>YZ-ZQ14976</v>
          </cell>
        </row>
        <row r="8381">
          <cell r="A8381" t="str">
            <v>YZ-ZQ14976-Y0-527X</v>
          </cell>
          <cell r="B8381" t="str">
            <v>YZ-ZQ14976</v>
          </cell>
        </row>
        <row r="8382">
          <cell r="A8382" t="str">
            <v>YZ-ZQ14976-Y0-52X</v>
          </cell>
          <cell r="B8382" t="str">
            <v>YZ-ZQ14976</v>
          </cell>
        </row>
        <row r="8383">
          <cell r="A8383" t="str">
            <v>YZ-ZQ14976-Y0-53X</v>
          </cell>
          <cell r="B8383" t="str">
            <v>YZ-ZQ14976</v>
          </cell>
        </row>
        <row r="8384">
          <cell r="A8384" t="str">
            <v>YZ-ZQ14976-Y0-54X</v>
          </cell>
          <cell r="B8384" t="str">
            <v>YZ-ZQ14976</v>
          </cell>
        </row>
        <row r="8385">
          <cell r="A8385" t="str">
            <v>YZ-ZQ14976-Y0-55X</v>
          </cell>
          <cell r="B8385" t="str">
            <v>YZ-ZQ14976</v>
          </cell>
        </row>
        <row r="8386">
          <cell r="A8386" t="str">
            <v>YZ-ZQ14976-Y0-56X</v>
          </cell>
          <cell r="B8386" t="str">
            <v>YZ-ZQ14976</v>
          </cell>
        </row>
        <row r="8387">
          <cell r="A8387" t="str">
            <v>YZ-ZQ14976-Y0-57X</v>
          </cell>
          <cell r="B8387" t="str">
            <v>YZ-ZQ14976</v>
          </cell>
        </row>
        <row r="8388">
          <cell r="A8388" t="str">
            <v>YZ-ZQ14976-Y0-58X</v>
          </cell>
          <cell r="B8388" t="str">
            <v>YZ-ZQ14976</v>
          </cell>
        </row>
        <row r="8389">
          <cell r="A8389" t="str">
            <v>YZ-ZQ14976-Y0-59X</v>
          </cell>
          <cell r="B8389" t="str">
            <v>YZ-ZQ14976</v>
          </cell>
        </row>
        <row r="8390">
          <cell r="A8390" t="str">
            <v>YZ-ZQ14976-Y0-5X</v>
          </cell>
          <cell r="B8390" t="str">
            <v>YZ-ZQ14976</v>
          </cell>
        </row>
        <row r="8391">
          <cell r="A8391" t="str">
            <v>YZ-ZQ14976-Y0-60X</v>
          </cell>
          <cell r="B8391" t="str">
            <v>YZ-ZQ14976</v>
          </cell>
        </row>
        <row r="8392">
          <cell r="A8392" t="str">
            <v>YZ-ZQ14976-Y0-61X</v>
          </cell>
          <cell r="B8392" t="str">
            <v>YZ-ZQ14976</v>
          </cell>
        </row>
        <row r="8393">
          <cell r="A8393" t="str">
            <v>YZ-ZQ14976-Y0-62X</v>
          </cell>
          <cell r="B8393" t="str">
            <v>YZ-ZQ14976</v>
          </cell>
        </row>
        <row r="8394">
          <cell r="A8394" t="str">
            <v>YZ-ZQ14976-Y0-63X</v>
          </cell>
          <cell r="B8394" t="str">
            <v>YZ-ZQ14976</v>
          </cell>
        </row>
        <row r="8395">
          <cell r="A8395" t="str">
            <v>YZ-ZQ14976-Y0-64X</v>
          </cell>
          <cell r="B8395" t="str">
            <v>YZ-ZQ14976</v>
          </cell>
        </row>
        <row r="8396">
          <cell r="A8396" t="str">
            <v>YZ-ZQ14976-Y0-65X</v>
          </cell>
          <cell r="B8396" t="str">
            <v>YZ-ZQ14976</v>
          </cell>
        </row>
        <row r="8397">
          <cell r="A8397" t="str">
            <v>YZ-ZQ14976-Y0-66X</v>
          </cell>
          <cell r="B8397" t="str">
            <v>YZ-ZQ14976</v>
          </cell>
        </row>
        <row r="8398">
          <cell r="A8398" t="str">
            <v>YZ-ZQ14976-Y0-67X</v>
          </cell>
          <cell r="B8398" t="str">
            <v>YZ-ZQ14976</v>
          </cell>
        </row>
        <row r="8399">
          <cell r="A8399" t="str">
            <v>YZ-ZQ14976-Y0-68X</v>
          </cell>
          <cell r="B8399" t="str">
            <v>YZ-ZQ14976</v>
          </cell>
        </row>
        <row r="8400">
          <cell r="A8400" t="str">
            <v>YZ-ZQ14976-Y0-69X</v>
          </cell>
          <cell r="B8400" t="str">
            <v>YZ-ZQ14976</v>
          </cell>
        </row>
        <row r="8401">
          <cell r="A8401" t="str">
            <v>YZ-ZQ14976-Y0-6X</v>
          </cell>
          <cell r="B8401" t="str">
            <v>YZ-ZQ14976</v>
          </cell>
        </row>
        <row r="8402">
          <cell r="A8402" t="str">
            <v>YZ-ZQ14976-Y0-70X</v>
          </cell>
          <cell r="B8402" t="str">
            <v>YZ-ZQ14976</v>
          </cell>
        </row>
        <row r="8403">
          <cell r="A8403" t="str">
            <v>YZ-ZQ14976-Y0-71X</v>
          </cell>
          <cell r="B8403" t="str">
            <v>YZ-ZQ14976</v>
          </cell>
        </row>
        <row r="8404">
          <cell r="A8404" t="str">
            <v>YZ-ZQ14976-Y0-72X</v>
          </cell>
          <cell r="B8404" t="str">
            <v>YZ-ZQ14976</v>
          </cell>
        </row>
        <row r="8405">
          <cell r="A8405" t="str">
            <v>YZ-ZQ14976-Y0-73X</v>
          </cell>
          <cell r="B8405" t="str">
            <v>YZ-ZQ14976</v>
          </cell>
        </row>
        <row r="8406">
          <cell r="A8406" t="str">
            <v>YZ-ZQ14976-Y0-74X</v>
          </cell>
          <cell r="B8406" t="str">
            <v>YZ-ZQ14976</v>
          </cell>
        </row>
        <row r="8407">
          <cell r="A8407" t="str">
            <v>YZ-ZQ14976-Y0-75X</v>
          </cell>
          <cell r="B8407" t="str">
            <v>YZ-ZQ14976</v>
          </cell>
        </row>
        <row r="8408">
          <cell r="A8408" t="str">
            <v>YZ-ZQ14976-Y0-76X</v>
          </cell>
          <cell r="B8408" t="str">
            <v>YZ-ZQ14976</v>
          </cell>
        </row>
        <row r="8409">
          <cell r="A8409" t="str">
            <v>YZ-ZQ14976-Y0-77X</v>
          </cell>
          <cell r="B8409" t="str">
            <v>YZ-ZQ14976</v>
          </cell>
        </row>
        <row r="8410">
          <cell r="A8410" t="str">
            <v>YZ-ZQ14976-Y0-78X</v>
          </cell>
          <cell r="B8410" t="str">
            <v>YZ-ZQ14976</v>
          </cell>
        </row>
        <row r="8411">
          <cell r="A8411" t="str">
            <v>YZ-ZQ14976-Y0-79X</v>
          </cell>
          <cell r="B8411" t="str">
            <v>YZ-ZQ14976</v>
          </cell>
        </row>
        <row r="8412">
          <cell r="A8412" t="str">
            <v>YZ-ZQ14976-Y0-7X</v>
          </cell>
          <cell r="B8412" t="str">
            <v>YZ-ZQ14976</v>
          </cell>
        </row>
        <row r="8413">
          <cell r="A8413" t="str">
            <v>YZ-ZQ14976-Y0-80X</v>
          </cell>
          <cell r="B8413" t="str">
            <v>YZ-ZQ14976</v>
          </cell>
        </row>
        <row r="8414">
          <cell r="A8414" t="str">
            <v>YZ-ZQ14976-Y0-81X</v>
          </cell>
          <cell r="B8414" t="str">
            <v>YZ-ZQ14976</v>
          </cell>
        </row>
        <row r="8415">
          <cell r="A8415" t="str">
            <v>YZ-ZQ14976-Y0-82X</v>
          </cell>
          <cell r="B8415" t="str">
            <v>YZ-ZQ14976</v>
          </cell>
        </row>
        <row r="8416">
          <cell r="A8416" t="str">
            <v>YZ-ZQ14976-Y0-83X</v>
          </cell>
          <cell r="B8416" t="str">
            <v>YZ-ZQ14976</v>
          </cell>
        </row>
        <row r="8417">
          <cell r="A8417" t="str">
            <v>YZ-ZQ14976-Y0-84X</v>
          </cell>
          <cell r="B8417" t="str">
            <v>YZ-ZQ14976</v>
          </cell>
        </row>
        <row r="8418">
          <cell r="A8418" t="str">
            <v>YZ-ZQ14976-Y0-85X</v>
          </cell>
          <cell r="B8418" t="str">
            <v>YZ-ZQ14976</v>
          </cell>
        </row>
        <row r="8419">
          <cell r="A8419" t="str">
            <v>YZ-ZQ14976-Y0-86X</v>
          </cell>
          <cell r="B8419" t="str">
            <v>YZ-ZQ14976</v>
          </cell>
        </row>
        <row r="8420">
          <cell r="A8420" t="str">
            <v>YZ-ZQ14976-Y0-87X</v>
          </cell>
          <cell r="B8420" t="str">
            <v>YZ-ZQ14976</v>
          </cell>
        </row>
        <row r="8421">
          <cell r="A8421" t="str">
            <v>YZ-ZQ14976-Y0-88X</v>
          </cell>
          <cell r="B8421" t="str">
            <v>YZ-ZQ14976</v>
          </cell>
        </row>
        <row r="8422">
          <cell r="A8422" t="str">
            <v>YZ-ZQ14976-Y0-89X</v>
          </cell>
          <cell r="B8422" t="str">
            <v>YZ-ZQ14976</v>
          </cell>
        </row>
        <row r="8423">
          <cell r="A8423" t="str">
            <v>YZ-ZQ14976-Y0-8X</v>
          </cell>
          <cell r="B8423" t="str">
            <v>YZ-ZQ14976</v>
          </cell>
        </row>
        <row r="8424">
          <cell r="A8424" t="str">
            <v>YZ-ZQ14976-Y0-90X</v>
          </cell>
          <cell r="B8424" t="str">
            <v>YZ-ZQ14976</v>
          </cell>
        </row>
        <row r="8425">
          <cell r="A8425" t="str">
            <v>YZ-ZQ14976-Y0-91X</v>
          </cell>
          <cell r="B8425" t="str">
            <v>YZ-ZQ14976</v>
          </cell>
        </row>
        <row r="8426">
          <cell r="A8426" t="str">
            <v>YZ-ZQ14976-Y0-92X</v>
          </cell>
          <cell r="B8426" t="str">
            <v>YZ-ZQ14976</v>
          </cell>
        </row>
        <row r="8427">
          <cell r="A8427" t="str">
            <v>YZ-ZQ14976-Y0-93X</v>
          </cell>
          <cell r="B8427" t="str">
            <v>YZ-ZQ14976</v>
          </cell>
        </row>
        <row r="8428">
          <cell r="A8428" t="str">
            <v>YZ-ZQ14976-Y0-94X</v>
          </cell>
          <cell r="B8428" t="str">
            <v>YZ-ZQ14976</v>
          </cell>
        </row>
        <row r="8429">
          <cell r="A8429" t="str">
            <v>YZ-ZQ14976-Y0-95X</v>
          </cell>
          <cell r="B8429" t="str">
            <v>YZ-ZQ14976</v>
          </cell>
        </row>
        <row r="8430">
          <cell r="A8430" t="str">
            <v>YZ-ZQ14976-Y0-96X</v>
          </cell>
          <cell r="B8430" t="str">
            <v>YZ-ZQ14976</v>
          </cell>
        </row>
        <row r="8431">
          <cell r="A8431" t="str">
            <v>YZ-ZQ14976-Y0-97X</v>
          </cell>
          <cell r="B8431" t="str">
            <v>YZ-ZQ14976</v>
          </cell>
        </row>
        <row r="8432">
          <cell r="A8432" t="str">
            <v>YZ-ZQ14976-Y0-98X</v>
          </cell>
          <cell r="B8432" t="str">
            <v>YZ-ZQ14976</v>
          </cell>
        </row>
        <row r="8433">
          <cell r="A8433" t="str">
            <v>YZ-ZQ14976-Y0-99X</v>
          </cell>
          <cell r="B8433" t="str">
            <v>YZ-ZQ14976</v>
          </cell>
        </row>
        <row r="8434">
          <cell r="A8434" t="str">
            <v>YZ-ZQ14976-Y0-9X</v>
          </cell>
          <cell r="B8434" t="str">
            <v>YZ-ZQ14976</v>
          </cell>
        </row>
        <row r="8435">
          <cell r="A8435" t="str">
            <v>YZ-ZQ14976-Y0-L</v>
          </cell>
          <cell r="B8435" t="str">
            <v>YZ-ZQ14976</v>
          </cell>
        </row>
        <row r="8436">
          <cell r="A8436" t="str">
            <v>YZ-ZQ14976-Y0-M</v>
          </cell>
          <cell r="B8436" t="str">
            <v>YZ-ZQ14976</v>
          </cell>
        </row>
        <row r="8437">
          <cell r="A8437" t="str">
            <v>YZ-ZQ14976-Y0-XL</v>
          </cell>
          <cell r="B8437" t="str">
            <v>YZ-ZQ14976</v>
          </cell>
        </row>
        <row r="8438">
          <cell r="A8438" t="str">
            <v>YZ-ZQ1519-K0-2X</v>
          </cell>
          <cell r="B8438" t="str">
            <v>YZ-ZQ1519</v>
          </cell>
        </row>
        <row r="8439">
          <cell r="A8439" t="str">
            <v>YZ-ZQ1519-K0-3X</v>
          </cell>
          <cell r="B8439" t="str">
            <v>YZ-ZQ1519</v>
          </cell>
        </row>
        <row r="8440">
          <cell r="A8440" t="str">
            <v>YZ-ZQ1519-K0-4X</v>
          </cell>
          <cell r="B8440" t="str">
            <v>YZ-ZQ1519</v>
          </cell>
        </row>
        <row r="8441">
          <cell r="A8441" t="str">
            <v>YZ-ZQ1519-K0-5X</v>
          </cell>
          <cell r="B8441" t="str">
            <v>YZ-ZQ1519</v>
          </cell>
        </row>
        <row r="8442">
          <cell r="A8442" t="str">
            <v>YZ-ZQ1519-K0-L</v>
          </cell>
          <cell r="B8442" t="str">
            <v>YZ-ZQ1519</v>
          </cell>
        </row>
        <row r="8443">
          <cell r="A8443" t="str">
            <v>YZ-ZQ1519-K0-M</v>
          </cell>
          <cell r="B8443" t="str">
            <v>YZ-ZQ1519</v>
          </cell>
        </row>
        <row r="8444">
          <cell r="A8444" t="str">
            <v>YZ-ZQ1519-K0-S</v>
          </cell>
          <cell r="B8444" t="str">
            <v>YZ-ZQ1519</v>
          </cell>
        </row>
        <row r="8445">
          <cell r="A8445" t="str">
            <v>YZ-ZQ1519-K0-XL</v>
          </cell>
          <cell r="B8445" t="str">
            <v>YZ-ZQ1519</v>
          </cell>
        </row>
        <row r="8446">
          <cell r="A8446" t="str">
            <v>YZ-ZQ1521BF2XL</v>
          </cell>
          <cell r="B8446" t="str">
            <v>YZ-ZQ1521</v>
          </cell>
        </row>
        <row r="8447">
          <cell r="A8447" t="str">
            <v>YZ-ZQ1521BF3XL</v>
          </cell>
          <cell r="B8447" t="str">
            <v>YZ-ZQ1521</v>
          </cell>
        </row>
        <row r="8448">
          <cell r="A8448" t="str">
            <v>YZ-ZQ1521BF4XL</v>
          </cell>
          <cell r="B8448" t="str">
            <v>YZ-ZQ1521</v>
          </cell>
        </row>
        <row r="8449">
          <cell r="A8449" t="str">
            <v>YZ-ZQ1521BF5XL</v>
          </cell>
          <cell r="B8449" t="str">
            <v>YZ-ZQ1521</v>
          </cell>
        </row>
        <row r="8450">
          <cell r="A8450" t="str">
            <v>YZ-ZQ1521BFXL</v>
          </cell>
          <cell r="B8450" t="str">
            <v>YZ-ZQ1521</v>
          </cell>
        </row>
        <row r="8451">
          <cell r="A8451" t="str">
            <v>YZ-ZQ1521BL2XL</v>
          </cell>
          <cell r="B8451" t="str">
            <v>YZ-ZQ1521</v>
          </cell>
        </row>
        <row r="8452">
          <cell r="A8452" t="str">
            <v>YZ-ZQ1521BL3XL</v>
          </cell>
          <cell r="B8452" t="str">
            <v>YZ-ZQ1521</v>
          </cell>
        </row>
        <row r="8453">
          <cell r="A8453" t="str">
            <v>YZ-ZQ1521BL4XL</v>
          </cell>
          <cell r="B8453" t="str">
            <v>YZ-ZQ1521</v>
          </cell>
        </row>
        <row r="8454">
          <cell r="A8454" t="str">
            <v>YZ-ZQ1521BL5XL</v>
          </cell>
          <cell r="B8454" t="str">
            <v>YZ-ZQ1521</v>
          </cell>
        </row>
        <row r="8455">
          <cell r="A8455" t="str">
            <v>YZ-ZQ1521BLXL</v>
          </cell>
          <cell r="B8455" t="str">
            <v>YZ-ZQ1521</v>
          </cell>
        </row>
        <row r="8456">
          <cell r="A8456" t="str">
            <v>YZ-ZQ1521GF2XL</v>
          </cell>
          <cell r="B8456" t="str">
            <v>YZ-ZQ1521</v>
          </cell>
        </row>
        <row r="8457">
          <cell r="A8457" t="str">
            <v>YZ-ZQ1521GF3XL</v>
          </cell>
          <cell r="B8457" t="str">
            <v>YZ-ZQ1521</v>
          </cell>
        </row>
        <row r="8458">
          <cell r="A8458" t="str">
            <v>YZ-ZQ1521GF4XL</v>
          </cell>
          <cell r="B8458" t="str">
            <v>YZ-ZQ1521</v>
          </cell>
        </row>
        <row r="8459">
          <cell r="A8459" t="str">
            <v>YZ-ZQ1521GF5XL</v>
          </cell>
          <cell r="B8459" t="str">
            <v>YZ-ZQ1521</v>
          </cell>
        </row>
        <row r="8460">
          <cell r="A8460" t="str">
            <v>YZ-ZQ1521GFXL</v>
          </cell>
          <cell r="B8460" t="str">
            <v>YZ-ZQ1521</v>
          </cell>
        </row>
        <row r="8461">
          <cell r="A8461" t="str">
            <v>YZ-ZQ1521GW2XL</v>
          </cell>
          <cell r="B8461" t="str">
            <v>YZ-ZQ1521</v>
          </cell>
        </row>
        <row r="8462">
          <cell r="A8462" t="str">
            <v>YZ-ZQ1521GW3XL</v>
          </cell>
          <cell r="B8462" t="str">
            <v>YZ-ZQ1521</v>
          </cell>
        </row>
        <row r="8463">
          <cell r="A8463" t="str">
            <v>YZ-ZQ1521GW4XL</v>
          </cell>
          <cell r="B8463" t="str">
            <v>YZ-ZQ1521</v>
          </cell>
        </row>
        <row r="8464">
          <cell r="A8464" t="str">
            <v>YZ-ZQ1521GW5XL</v>
          </cell>
          <cell r="B8464" t="str">
            <v>YZ-ZQ1521</v>
          </cell>
        </row>
        <row r="8465">
          <cell r="A8465" t="str">
            <v>YZ-ZQ1521GWXL</v>
          </cell>
          <cell r="B8465" t="str">
            <v>YZ-ZQ1521</v>
          </cell>
        </row>
        <row r="8466">
          <cell r="A8466" t="str">
            <v>YZ-ZQ1521KF2XL</v>
          </cell>
          <cell r="B8466" t="str">
            <v>YZ-ZQ1521</v>
          </cell>
        </row>
        <row r="8467">
          <cell r="A8467" t="str">
            <v>YZ-ZQ1521KF3XL</v>
          </cell>
          <cell r="B8467" t="str">
            <v>YZ-ZQ1521</v>
          </cell>
        </row>
        <row r="8468">
          <cell r="A8468" t="str">
            <v>YZ-ZQ1521KF4XL</v>
          </cell>
          <cell r="B8468" t="str">
            <v>YZ-ZQ1521</v>
          </cell>
        </row>
        <row r="8469">
          <cell r="A8469" t="str">
            <v>YZ-ZQ1521KF5XL</v>
          </cell>
          <cell r="B8469" t="str">
            <v>YZ-ZQ1521</v>
          </cell>
        </row>
        <row r="8470">
          <cell r="A8470" t="str">
            <v>YZ-ZQ1521KFXL</v>
          </cell>
          <cell r="B8470" t="str">
            <v>YZ-ZQ1521</v>
          </cell>
        </row>
        <row r="8471">
          <cell r="A8471" t="str">
            <v>YZ-ZQ1521RF2XL</v>
          </cell>
          <cell r="B8471" t="str">
            <v>YZ-ZQ1521</v>
          </cell>
        </row>
        <row r="8472">
          <cell r="A8472" t="str">
            <v>YZ-ZQ1521RF3XL</v>
          </cell>
          <cell r="B8472" t="str">
            <v>YZ-ZQ1521</v>
          </cell>
        </row>
        <row r="8473">
          <cell r="A8473" t="str">
            <v>YZ-ZQ1521RF4XL</v>
          </cell>
          <cell r="B8473" t="str">
            <v>YZ-ZQ1521</v>
          </cell>
        </row>
        <row r="8474">
          <cell r="A8474" t="str">
            <v>YZ-ZQ1521RF5XL</v>
          </cell>
          <cell r="B8474" t="str">
            <v>YZ-ZQ1521</v>
          </cell>
        </row>
        <row r="8475">
          <cell r="A8475" t="str">
            <v>YZ-ZQ1521RFXL</v>
          </cell>
          <cell r="B8475" t="str">
            <v>YZ-ZQ1521</v>
          </cell>
        </row>
        <row r="8476">
          <cell r="A8476" t="str">
            <v>YZ-ZQ1521RL2XL</v>
          </cell>
          <cell r="B8476" t="str">
            <v>YZ-ZQ1521</v>
          </cell>
        </row>
        <row r="8477">
          <cell r="A8477" t="str">
            <v>YZ-ZQ1521RL3XL</v>
          </cell>
          <cell r="B8477" t="str">
            <v>YZ-ZQ1521</v>
          </cell>
        </row>
        <row r="8478">
          <cell r="A8478" t="str">
            <v>YZ-ZQ1521RL4XL</v>
          </cell>
          <cell r="B8478" t="str">
            <v>YZ-ZQ1521</v>
          </cell>
        </row>
        <row r="8479">
          <cell r="A8479" t="str">
            <v>YZ-ZQ1521RL5XL</v>
          </cell>
          <cell r="B8479" t="str">
            <v>YZ-ZQ1521</v>
          </cell>
        </row>
        <row r="8480">
          <cell r="A8480" t="str">
            <v>YZ-ZQ1521RLXL</v>
          </cell>
          <cell r="B8480" t="str">
            <v>YZ-ZQ1521</v>
          </cell>
        </row>
        <row r="8481">
          <cell r="A8481" t="str">
            <v>YZ-ZQ1521RM2XL</v>
          </cell>
          <cell r="B8481" t="str">
            <v>YZ-ZQ1521</v>
          </cell>
        </row>
        <row r="8482">
          <cell r="A8482" t="str">
            <v>YZ-ZQ1521RM3XL</v>
          </cell>
          <cell r="B8482" t="str">
            <v>YZ-ZQ1521</v>
          </cell>
        </row>
        <row r="8483">
          <cell r="A8483" t="str">
            <v>YZ-ZQ1521RM4XL</v>
          </cell>
          <cell r="B8483" t="str">
            <v>YZ-ZQ1521</v>
          </cell>
        </row>
        <row r="8484">
          <cell r="A8484" t="str">
            <v>YZ-ZQ1521RM5XL</v>
          </cell>
          <cell r="B8484" t="str">
            <v>YZ-ZQ1521</v>
          </cell>
        </row>
        <row r="8485">
          <cell r="A8485" t="str">
            <v>YZ-ZQ1521RMXL</v>
          </cell>
          <cell r="B8485" t="str">
            <v>YZ-ZQ1521</v>
          </cell>
        </row>
        <row r="8486">
          <cell r="A8486" t="str">
            <v>YZ-ZQ1521WP2XL</v>
          </cell>
          <cell r="B8486" t="str">
            <v>YZ-ZQ1521</v>
          </cell>
        </row>
        <row r="8487">
          <cell r="A8487" t="str">
            <v>YZ-ZQ1521WP3XL</v>
          </cell>
          <cell r="B8487" t="str">
            <v>YZ-ZQ1521</v>
          </cell>
        </row>
        <row r="8488">
          <cell r="A8488" t="str">
            <v>YZ-ZQ1521WP4XL</v>
          </cell>
          <cell r="B8488" t="str">
            <v>YZ-ZQ1521</v>
          </cell>
        </row>
        <row r="8489">
          <cell r="A8489" t="str">
            <v>YZ-ZQ1521WP5XL</v>
          </cell>
          <cell r="B8489" t="str">
            <v>YZ-ZQ1521</v>
          </cell>
        </row>
        <row r="8490">
          <cell r="A8490" t="str">
            <v>YZ-ZQ1521WPXL</v>
          </cell>
          <cell r="B8490" t="str">
            <v>YZ-ZQ1521</v>
          </cell>
        </row>
        <row r="8491">
          <cell r="A8491" t="str">
            <v>YZ-ZQ15827B02XL</v>
          </cell>
          <cell r="B8491" t="str">
            <v>YZ-ZQ15827</v>
          </cell>
        </row>
        <row r="8492">
          <cell r="A8492" t="str">
            <v>YZ-ZQ15827B03XL</v>
          </cell>
          <cell r="B8492" t="str">
            <v>YZ-ZQ15827</v>
          </cell>
        </row>
        <row r="8493">
          <cell r="A8493" t="str">
            <v>YZ-ZQ15827B04XL</v>
          </cell>
          <cell r="B8493" t="str">
            <v>YZ-ZQ15827</v>
          </cell>
        </row>
        <row r="8494">
          <cell r="A8494" t="str">
            <v>YZ-ZQ15827B05XL</v>
          </cell>
          <cell r="B8494" t="str">
            <v>YZ-ZQ15827</v>
          </cell>
        </row>
        <row r="8495">
          <cell r="A8495" t="str">
            <v>YZ-ZQ15827B0L</v>
          </cell>
          <cell r="B8495" t="str">
            <v>YZ-ZQ15827</v>
          </cell>
        </row>
        <row r="8496">
          <cell r="A8496" t="str">
            <v>YZ-ZQ15827B0M</v>
          </cell>
          <cell r="B8496" t="str">
            <v>YZ-ZQ15827</v>
          </cell>
        </row>
        <row r="8497">
          <cell r="A8497" t="str">
            <v>YZ-ZQ15827B0S</v>
          </cell>
          <cell r="B8497" t="str">
            <v>YZ-ZQ15827</v>
          </cell>
        </row>
        <row r="8498">
          <cell r="A8498" t="str">
            <v>YZ-ZQ15827B0XL</v>
          </cell>
          <cell r="B8498" t="str">
            <v>YZ-ZQ15827</v>
          </cell>
        </row>
        <row r="8499">
          <cell r="A8499" t="str">
            <v>YZ-ZQ15827BS2XL</v>
          </cell>
          <cell r="B8499" t="str">
            <v>YZ-ZQ15827</v>
          </cell>
        </row>
        <row r="8500">
          <cell r="A8500" t="str">
            <v>YZ-ZQ15827BS3XL</v>
          </cell>
          <cell r="B8500" t="str">
            <v>YZ-ZQ15827</v>
          </cell>
        </row>
        <row r="8501">
          <cell r="A8501" t="str">
            <v>YZ-ZQ15827BS4XL</v>
          </cell>
          <cell r="B8501" t="str">
            <v>YZ-ZQ15827</v>
          </cell>
        </row>
        <row r="8502">
          <cell r="A8502" t="str">
            <v>YZ-ZQ15827BS5XL</v>
          </cell>
          <cell r="B8502" t="str">
            <v>YZ-ZQ15827</v>
          </cell>
        </row>
        <row r="8503">
          <cell r="A8503" t="str">
            <v>YZ-ZQ15827BSL</v>
          </cell>
          <cell r="B8503" t="str">
            <v>YZ-ZQ15827</v>
          </cell>
        </row>
        <row r="8504">
          <cell r="A8504" t="str">
            <v>YZ-ZQ15827BSM</v>
          </cell>
          <cell r="B8504" t="str">
            <v>YZ-ZQ15827</v>
          </cell>
        </row>
        <row r="8505">
          <cell r="A8505" t="str">
            <v>YZ-ZQ15827BSS</v>
          </cell>
          <cell r="B8505" t="str">
            <v>YZ-ZQ15827</v>
          </cell>
        </row>
        <row r="8506">
          <cell r="A8506" t="str">
            <v>YZ-ZQ15827BSXL</v>
          </cell>
          <cell r="B8506" t="str">
            <v>YZ-ZQ15827</v>
          </cell>
        </row>
        <row r="8507">
          <cell r="A8507" t="str">
            <v>YZ-ZQ15827R22XL</v>
          </cell>
          <cell r="B8507" t="str">
            <v>YZ-ZQ15827</v>
          </cell>
        </row>
        <row r="8508">
          <cell r="A8508" t="str">
            <v>YZ-ZQ15827R23XL</v>
          </cell>
          <cell r="B8508" t="str">
            <v>YZ-ZQ15827</v>
          </cell>
        </row>
        <row r="8509">
          <cell r="A8509" t="str">
            <v>YZ-ZQ15827R24XL</v>
          </cell>
          <cell r="B8509" t="str">
            <v>YZ-ZQ15827</v>
          </cell>
        </row>
        <row r="8510">
          <cell r="A8510" t="str">
            <v>YZ-ZQ15827R25XL</v>
          </cell>
          <cell r="B8510" t="str">
            <v>YZ-ZQ15827</v>
          </cell>
        </row>
        <row r="8511">
          <cell r="A8511" t="str">
            <v>YZ-ZQ15827R2L</v>
          </cell>
          <cell r="B8511" t="str">
            <v>YZ-ZQ15827</v>
          </cell>
        </row>
        <row r="8512">
          <cell r="A8512" t="str">
            <v>YZ-ZQ15827R2M</v>
          </cell>
          <cell r="B8512" t="str">
            <v>YZ-ZQ15827</v>
          </cell>
        </row>
        <row r="8513">
          <cell r="A8513" t="str">
            <v>YZ-ZQ15827R2S</v>
          </cell>
          <cell r="B8513" t="str">
            <v>YZ-ZQ15827</v>
          </cell>
        </row>
        <row r="8514">
          <cell r="A8514" t="str">
            <v>YZ-ZQ15827R2XL</v>
          </cell>
          <cell r="B8514" t="str">
            <v>YZ-ZQ15827</v>
          </cell>
        </row>
        <row r="8515">
          <cell r="A8515" t="str">
            <v>YZ-ZQ15827W02XL</v>
          </cell>
          <cell r="B8515" t="str">
            <v>YZ-ZQ15827</v>
          </cell>
        </row>
        <row r="8516">
          <cell r="A8516" t="str">
            <v>YZ-ZQ15827W03XL</v>
          </cell>
          <cell r="B8516" t="str">
            <v>YZ-ZQ15827</v>
          </cell>
        </row>
        <row r="8517">
          <cell r="A8517" t="str">
            <v>YZ-ZQ15827W04XL</v>
          </cell>
          <cell r="B8517" t="str">
            <v>YZ-ZQ15827</v>
          </cell>
        </row>
        <row r="8518">
          <cell r="A8518" t="str">
            <v>YZ-ZQ15827W05XL</v>
          </cell>
          <cell r="B8518" t="str">
            <v>YZ-ZQ15827</v>
          </cell>
        </row>
        <row r="8519">
          <cell r="A8519" t="str">
            <v>YZ-ZQ15827W0L</v>
          </cell>
          <cell r="B8519" t="str">
            <v>YZ-ZQ15827</v>
          </cell>
        </row>
        <row r="8520">
          <cell r="A8520" t="str">
            <v>YZ-ZQ15827W0M</v>
          </cell>
          <cell r="B8520" t="str">
            <v>YZ-ZQ15827</v>
          </cell>
        </row>
        <row r="8521">
          <cell r="A8521" t="str">
            <v>YZ-ZQ15827W0S</v>
          </cell>
          <cell r="B8521" t="str">
            <v>YZ-ZQ15827</v>
          </cell>
        </row>
        <row r="8522">
          <cell r="A8522" t="str">
            <v>YZ-ZQ15827W0XL</v>
          </cell>
          <cell r="B8522" t="str">
            <v>YZ-ZQ15827</v>
          </cell>
        </row>
        <row r="8523">
          <cell r="A8523" t="str">
            <v>YZ-ZQ15905-K0-2X</v>
          </cell>
          <cell r="B8523" t="str">
            <v>YZ-ZQ15905</v>
          </cell>
        </row>
        <row r="8524">
          <cell r="A8524" t="str">
            <v>YZ-ZQ15905-K0-3X</v>
          </cell>
          <cell r="B8524" t="str">
            <v>YZ-ZQ15905</v>
          </cell>
        </row>
        <row r="8525">
          <cell r="A8525" t="str">
            <v>YZ-ZQ15905-K0-4X</v>
          </cell>
          <cell r="B8525" t="str">
            <v>YZ-ZQ15905</v>
          </cell>
        </row>
        <row r="8526">
          <cell r="A8526" t="str">
            <v>YZ-ZQ15905-K0-5X</v>
          </cell>
          <cell r="B8526" t="str">
            <v>YZ-ZQ15905</v>
          </cell>
        </row>
        <row r="8527">
          <cell r="A8527" t="str">
            <v>YZ-ZQ15905-K0-L</v>
          </cell>
          <cell r="B8527" t="str">
            <v>YZ-ZQ15905</v>
          </cell>
        </row>
        <row r="8528">
          <cell r="A8528" t="str">
            <v>YZ-ZQ15905-K0-M</v>
          </cell>
          <cell r="B8528" t="str">
            <v>YZ-ZQ15905</v>
          </cell>
        </row>
        <row r="8529">
          <cell r="A8529" t="str">
            <v>YZ-ZQ15905-K0-S</v>
          </cell>
          <cell r="B8529" t="str">
            <v>YZ-ZQ15905</v>
          </cell>
        </row>
        <row r="8530">
          <cell r="A8530" t="str">
            <v>YZ-ZQ15905-K0-XL</v>
          </cell>
          <cell r="B8530" t="str">
            <v>YZ-ZQ15905</v>
          </cell>
        </row>
        <row r="8531">
          <cell r="A8531" t="str">
            <v>YZ-ZQ15905-W0-2X</v>
          </cell>
          <cell r="B8531" t="str">
            <v>YZ-ZQ15905</v>
          </cell>
        </row>
        <row r="8532">
          <cell r="A8532" t="str">
            <v>YZ-ZQ15905-W0-3X</v>
          </cell>
          <cell r="B8532" t="str">
            <v>YZ-ZQ15905</v>
          </cell>
        </row>
        <row r="8533">
          <cell r="A8533" t="str">
            <v>YZ-ZQ15905-W0-4X</v>
          </cell>
          <cell r="B8533" t="str">
            <v>YZ-ZQ15905</v>
          </cell>
        </row>
        <row r="8534">
          <cell r="A8534" t="str">
            <v>YZ-ZQ15905-W0-5X</v>
          </cell>
          <cell r="B8534" t="str">
            <v>YZ-ZQ15905</v>
          </cell>
        </row>
        <row r="8535">
          <cell r="A8535" t="str">
            <v>YZ-ZQ15905-W0-L</v>
          </cell>
          <cell r="B8535" t="str">
            <v>YZ-ZQ15905</v>
          </cell>
        </row>
        <row r="8536">
          <cell r="A8536" t="str">
            <v>YZ-ZQ15905-W0-M</v>
          </cell>
          <cell r="B8536" t="str">
            <v>YZ-ZQ15905</v>
          </cell>
        </row>
        <row r="8537">
          <cell r="A8537" t="str">
            <v>YZ-ZQ15905-W0-S</v>
          </cell>
          <cell r="B8537" t="str">
            <v>YZ-ZQ15905</v>
          </cell>
        </row>
        <row r="8538">
          <cell r="A8538" t="str">
            <v>YZ-ZQ15905-W0-XL</v>
          </cell>
          <cell r="B8538" t="str">
            <v>YZ-ZQ15905</v>
          </cell>
        </row>
        <row r="8539">
          <cell r="A8539" t="str">
            <v>YZ-ZQ15919-B0-2X</v>
          </cell>
          <cell r="B8539" t="str">
            <v>YZ-ZQ1519</v>
          </cell>
        </row>
        <row r="8540">
          <cell r="A8540" t="str">
            <v>YZ-ZQ15919-B0-3X</v>
          </cell>
          <cell r="B8540" t="str">
            <v>YZ-ZQ1519</v>
          </cell>
        </row>
        <row r="8541">
          <cell r="A8541" t="str">
            <v>YZ-ZQ15919-B0-4X</v>
          </cell>
          <cell r="B8541" t="str">
            <v>YZ-ZQ1519</v>
          </cell>
        </row>
        <row r="8542">
          <cell r="A8542" t="str">
            <v>YZ-ZQ15919-B0-5X</v>
          </cell>
          <cell r="B8542" t="str">
            <v>YZ-ZQ1519</v>
          </cell>
        </row>
        <row r="8543">
          <cell r="A8543" t="str">
            <v>YZ-ZQ15919-B0-L</v>
          </cell>
          <cell r="B8543" t="str">
            <v>YZ-ZQ1519</v>
          </cell>
        </row>
        <row r="8544">
          <cell r="A8544" t="str">
            <v>YZ-ZQ15919-B0-M</v>
          </cell>
          <cell r="B8544" t="str">
            <v>YZ-ZQ1519</v>
          </cell>
        </row>
        <row r="8545">
          <cell r="A8545" t="str">
            <v>YZ-ZQ15919-B0-S</v>
          </cell>
          <cell r="B8545" t="str">
            <v>YZ-ZQ1519</v>
          </cell>
        </row>
        <row r="8546">
          <cell r="A8546" t="str">
            <v>YZ-ZQ15919-B0-XL</v>
          </cell>
          <cell r="B8546" t="str">
            <v>YZ-ZQ1519</v>
          </cell>
        </row>
        <row r="8547">
          <cell r="A8547" t="str">
            <v>YZ-ZQ15921-B0-2X</v>
          </cell>
          <cell r="B8547" t="str">
            <v>YZ-ZQ15921</v>
          </cell>
        </row>
        <row r="8548">
          <cell r="A8548" t="str">
            <v>YZ-ZQ15921-B0-3X</v>
          </cell>
          <cell r="B8548" t="str">
            <v>YZ-ZQ15921</v>
          </cell>
        </row>
        <row r="8549">
          <cell r="A8549" t="str">
            <v>YZ-ZQ15921-B0-4X</v>
          </cell>
          <cell r="B8549" t="str">
            <v>YZ-ZQ15921</v>
          </cell>
        </row>
        <row r="8550">
          <cell r="A8550" t="str">
            <v>YZ-ZQ15921-B0-5X</v>
          </cell>
          <cell r="B8550" t="str">
            <v>YZ-ZQ15921</v>
          </cell>
        </row>
        <row r="8551">
          <cell r="A8551" t="str">
            <v>YZ-ZQ15921-B0-L</v>
          </cell>
          <cell r="B8551" t="str">
            <v>YZ-ZQ15921</v>
          </cell>
        </row>
        <row r="8552">
          <cell r="A8552" t="str">
            <v>YZ-ZQ15921-B0-M</v>
          </cell>
          <cell r="B8552" t="str">
            <v>YZ-ZQ15921</v>
          </cell>
        </row>
        <row r="8553">
          <cell r="A8553" t="str">
            <v>YZ-ZQ15921-B0-XL</v>
          </cell>
          <cell r="B8553" t="str">
            <v>YZ-ZQ15921</v>
          </cell>
        </row>
        <row r="8554">
          <cell r="A8554" t="str">
            <v>YZ-ZQ15921-P0-2X</v>
          </cell>
          <cell r="B8554" t="str">
            <v>YZ-ZQ15921</v>
          </cell>
        </row>
        <row r="8555">
          <cell r="A8555" t="str">
            <v>YZ-ZQ15921-P0-3X</v>
          </cell>
          <cell r="B8555" t="str">
            <v>YZ-ZQ15921</v>
          </cell>
        </row>
        <row r="8556">
          <cell r="A8556" t="str">
            <v>YZ-ZQ15921-P0-4X</v>
          </cell>
          <cell r="B8556" t="str">
            <v>YZ-ZQ15921</v>
          </cell>
        </row>
        <row r="8557">
          <cell r="A8557" t="str">
            <v>YZ-ZQ15921-P0-5X</v>
          </cell>
          <cell r="B8557" t="str">
            <v>YZ-ZQ15921</v>
          </cell>
        </row>
        <row r="8558">
          <cell r="A8558" t="str">
            <v>YZ-ZQ15921-P0-L</v>
          </cell>
          <cell r="B8558" t="str">
            <v>YZ-ZQ15921</v>
          </cell>
        </row>
        <row r="8559">
          <cell r="A8559" t="str">
            <v>YZ-ZQ15921-P0-M</v>
          </cell>
          <cell r="B8559" t="str">
            <v>YZ-ZQ15921</v>
          </cell>
        </row>
        <row r="8560">
          <cell r="A8560" t="str">
            <v>YZ-ZQ15921-P0-XL</v>
          </cell>
          <cell r="B8560" t="str">
            <v>YZ-ZQ15921</v>
          </cell>
        </row>
        <row r="8561">
          <cell r="A8561" t="str">
            <v>YZ-ZQ15921-R0-2X</v>
          </cell>
          <cell r="B8561" t="str">
            <v>YZ-ZQ15921</v>
          </cell>
        </row>
        <row r="8562">
          <cell r="A8562" t="str">
            <v>YZ-ZQ15921-R0-3X</v>
          </cell>
          <cell r="B8562" t="str">
            <v>YZ-ZQ15921</v>
          </cell>
        </row>
        <row r="8563">
          <cell r="A8563" t="str">
            <v>YZ-ZQ15921-R0-4X</v>
          </cell>
          <cell r="B8563" t="str">
            <v>YZ-ZQ15921</v>
          </cell>
        </row>
        <row r="8564">
          <cell r="A8564" t="str">
            <v>YZ-ZQ15921-R0-5X</v>
          </cell>
          <cell r="B8564" t="str">
            <v>YZ-ZQ15921</v>
          </cell>
        </row>
        <row r="8565">
          <cell r="A8565" t="str">
            <v>YZ-ZQ15921-R0-L</v>
          </cell>
          <cell r="B8565" t="str">
            <v>YZ-ZQ15921</v>
          </cell>
        </row>
        <row r="8566">
          <cell r="A8566" t="str">
            <v>YZ-ZQ15921-R0-M</v>
          </cell>
          <cell r="B8566" t="str">
            <v>YZ-ZQ15921</v>
          </cell>
        </row>
        <row r="8567">
          <cell r="A8567" t="str">
            <v>YZ-ZQ15921-R0-XL</v>
          </cell>
          <cell r="B8567" t="str">
            <v>YZ-ZQ15921</v>
          </cell>
        </row>
        <row r="8568">
          <cell r="A8568" t="str">
            <v>YZ-ZQ15986K02XL</v>
          </cell>
          <cell r="B8568" t="str">
            <v>YZ-ZQ15986</v>
          </cell>
        </row>
        <row r="8569">
          <cell r="A8569" t="str">
            <v>YZ-ZQ15986K03XL</v>
          </cell>
          <cell r="B8569" t="str">
            <v>YZ-ZQ15986</v>
          </cell>
        </row>
        <row r="8570">
          <cell r="A8570" t="str">
            <v>YZ-ZQ15986K04XL</v>
          </cell>
          <cell r="B8570" t="str">
            <v>YZ-ZQ15986</v>
          </cell>
        </row>
        <row r="8571">
          <cell r="A8571" t="str">
            <v>YZ-ZQ15986K0L</v>
          </cell>
          <cell r="B8571" t="str">
            <v>YZ-ZQ15986</v>
          </cell>
        </row>
        <row r="8572">
          <cell r="A8572" t="str">
            <v>YZ-ZQ16103R02XL</v>
          </cell>
          <cell r="B8572" t="str">
            <v>YZ-ZQ16103</v>
          </cell>
        </row>
        <row r="8573">
          <cell r="A8573" t="str">
            <v>YZ-ZQ16103R03XL</v>
          </cell>
          <cell r="B8573" t="str">
            <v>YZ-ZQ16103</v>
          </cell>
        </row>
        <row r="8574">
          <cell r="A8574" t="str">
            <v>YZ-ZQ16103R0L</v>
          </cell>
          <cell r="B8574" t="str">
            <v>YZ-ZQ16103</v>
          </cell>
        </row>
        <row r="8575">
          <cell r="A8575" t="str">
            <v>YZ-ZQ16103R0XL</v>
          </cell>
          <cell r="B8575" t="str">
            <v>YZ-ZQ16103</v>
          </cell>
        </row>
        <row r="8576">
          <cell r="A8576" t="str">
            <v>YZ-ZQ16103ZL2XL</v>
          </cell>
          <cell r="B8576" t="str">
            <v>YZ-ZQ16103</v>
          </cell>
        </row>
        <row r="8577">
          <cell r="A8577" t="str">
            <v>YZ-ZQ16103ZL3XL</v>
          </cell>
          <cell r="B8577" t="str">
            <v>YZ-ZQ16103</v>
          </cell>
        </row>
        <row r="8578">
          <cell r="A8578" t="str">
            <v>YZ-ZQ16103ZLL</v>
          </cell>
          <cell r="B8578" t="str">
            <v>YZ-ZQ16103</v>
          </cell>
        </row>
        <row r="8579">
          <cell r="A8579" t="str">
            <v>YZ-ZQ16103ZLXL</v>
          </cell>
          <cell r="B8579" t="str">
            <v>YZ-ZQ16103</v>
          </cell>
        </row>
        <row r="8580">
          <cell r="A8580" t="str">
            <v>YZ-ZQ1617-BH-2XL</v>
          </cell>
          <cell r="B8580" t="str">
            <v>YZ-ZQ1617</v>
          </cell>
        </row>
        <row r="8581">
          <cell r="A8581" t="str">
            <v>YZ-ZQ1617-BH-3XL</v>
          </cell>
          <cell r="B8581" t="str">
            <v>YZ-ZQ1617</v>
          </cell>
        </row>
        <row r="8582">
          <cell r="A8582" t="str">
            <v>YZ-ZQ1617-BH-4XL</v>
          </cell>
          <cell r="B8582" t="str">
            <v>YZ-ZQ1617</v>
          </cell>
        </row>
        <row r="8583">
          <cell r="A8583" t="str">
            <v>YZ-ZQ1617-BH-L</v>
          </cell>
          <cell r="B8583" t="str">
            <v>YZ-ZQ1617</v>
          </cell>
        </row>
        <row r="8584">
          <cell r="A8584" t="str">
            <v>YZ-ZQ1617-BH-M</v>
          </cell>
          <cell r="B8584" t="str">
            <v>YZ-ZQ1617</v>
          </cell>
        </row>
        <row r="8585">
          <cell r="A8585" t="str">
            <v>YZ-ZQ1617-BH-XL</v>
          </cell>
          <cell r="B8585" t="str">
            <v>YZ-ZQ1617</v>
          </cell>
        </row>
        <row r="8586">
          <cell r="A8586" t="str">
            <v>YZ-ZQ1617K02XL</v>
          </cell>
          <cell r="B8586" t="str">
            <v>YZ-ZQ1617</v>
          </cell>
        </row>
        <row r="8587">
          <cell r="A8587" t="str">
            <v>YZ-ZQ1617K03XL</v>
          </cell>
          <cell r="B8587" t="str">
            <v>YZ-ZQ1617</v>
          </cell>
        </row>
        <row r="8588">
          <cell r="A8588" t="str">
            <v>YZ-ZQ1617K0L</v>
          </cell>
          <cell r="B8588" t="str">
            <v>YZ-ZQ1617</v>
          </cell>
        </row>
        <row r="8589">
          <cell r="A8589" t="str">
            <v>YZ-ZQ1617K0M</v>
          </cell>
          <cell r="B8589" t="str">
            <v>YZ-ZQ1617</v>
          </cell>
        </row>
        <row r="8590">
          <cell r="A8590" t="str">
            <v>YZ-ZQ1617K0XL</v>
          </cell>
          <cell r="B8590" t="str">
            <v>YZ-ZQ1617</v>
          </cell>
        </row>
        <row r="8591">
          <cell r="A8591" t="str">
            <v>YZ-ZQ1617-KH-2XL</v>
          </cell>
          <cell r="B8591" t="str">
            <v>YZ-ZQ1617</v>
          </cell>
        </row>
        <row r="8592">
          <cell r="A8592" t="str">
            <v>YZ-ZQ1617-KH-3XL</v>
          </cell>
          <cell r="B8592" t="str">
            <v>YZ-ZQ1617</v>
          </cell>
        </row>
        <row r="8593">
          <cell r="A8593" t="str">
            <v>YZ-ZQ1617-KH-4XL</v>
          </cell>
          <cell r="B8593" t="str">
            <v>YZ-ZQ1617</v>
          </cell>
        </row>
        <row r="8594">
          <cell r="A8594" t="str">
            <v>YZ-ZQ1617-KH-L</v>
          </cell>
          <cell r="B8594" t="str">
            <v>YZ-ZQ1617</v>
          </cell>
        </row>
        <row r="8595">
          <cell r="A8595" t="str">
            <v>YZ-ZQ1617-KH-M</v>
          </cell>
          <cell r="B8595" t="str">
            <v>YZ-ZQ1617</v>
          </cell>
        </row>
        <row r="8596">
          <cell r="A8596" t="str">
            <v>YZ-ZQ1617-KH-XL</v>
          </cell>
          <cell r="B8596" t="str">
            <v>YZ-ZQ1617</v>
          </cell>
        </row>
        <row r="8597">
          <cell r="A8597" t="str">
            <v>YZ-ZQ1617R02XL</v>
          </cell>
          <cell r="B8597" t="str">
            <v>YZ-ZQ1617</v>
          </cell>
        </row>
        <row r="8598">
          <cell r="A8598" t="str">
            <v>YZ-ZQ1617R03XL</v>
          </cell>
          <cell r="B8598" t="str">
            <v>YZ-ZQ1617</v>
          </cell>
        </row>
        <row r="8599">
          <cell r="A8599" t="str">
            <v>YZ-ZQ1617R0L</v>
          </cell>
          <cell r="B8599" t="str">
            <v>YZ-ZQ1617</v>
          </cell>
        </row>
        <row r="8600">
          <cell r="A8600" t="str">
            <v>YZ-ZQ1617R0XL</v>
          </cell>
          <cell r="B8600" t="str">
            <v>YZ-ZQ1617</v>
          </cell>
        </row>
        <row r="8601">
          <cell r="A8601" t="str">
            <v>YZ-ZQ1617ZL2XL</v>
          </cell>
          <cell r="B8601" t="str">
            <v>YZ-ZQ1617</v>
          </cell>
        </row>
        <row r="8602">
          <cell r="A8602" t="str">
            <v>YZ-ZQ1617ZL3XL</v>
          </cell>
          <cell r="B8602" t="str">
            <v>YZ-ZQ1617</v>
          </cell>
        </row>
        <row r="8603">
          <cell r="A8603" t="str">
            <v>YZ-ZQ1617ZL4XL</v>
          </cell>
          <cell r="B8603" t="str">
            <v>YZ-ZQ1617</v>
          </cell>
        </row>
        <row r="8604">
          <cell r="A8604" t="str">
            <v>YZ-ZQ1617ZLL</v>
          </cell>
          <cell r="B8604" t="str">
            <v>YZ-ZQ1617</v>
          </cell>
        </row>
        <row r="8605">
          <cell r="A8605" t="str">
            <v>YZ-ZQ1617ZLM</v>
          </cell>
          <cell r="B8605" t="str">
            <v>YZ-ZQ1617</v>
          </cell>
        </row>
        <row r="8606">
          <cell r="A8606" t="str">
            <v>YZ-ZQ1617ZLXL</v>
          </cell>
          <cell r="B8606" t="str">
            <v>YZ-ZQ1617</v>
          </cell>
        </row>
        <row r="8607">
          <cell r="A8607" t="str">
            <v>YZ-ZQ16597B02XL</v>
          </cell>
          <cell r="B8607" t="str">
            <v>YZ-ZQ16597</v>
          </cell>
        </row>
        <row r="8608">
          <cell r="A8608" t="str">
            <v>YZ-ZQ16597B03XL</v>
          </cell>
          <cell r="B8608" t="str">
            <v>YZ-ZQ16597</v>
          </cell>
        </row>
        <row r="8609">
          <cell r="A8609" t="str">
            <v>YZ-ZQ16597B04XL</v>
          </cell>
          <cell r="B8609" t="str">
            <v>YZ-ZQ16597</v>
          </cell>
        </row>
        <row r="8610">
          <cell r="A8610" t="str">
            <v>YZ-ZQ16597B05XL</v>
          </cell>
          <cell r="B8610" t="str">
            <v>YZ-ZQ16597</v>
          </cell>
        </row>
        <row r="8611">
          <cell r="A8611" t="str">
            <v>YZ-ZQ16597B0L</v>
          </cell>
          <cell r="B8611" t="str">
            <v>YZ-ZQ16597</v>
          </cell>
        </row>
        <row r="8612">
          <cell r="A8612" t="str">
            <v>YZ-ZQ16597B0M</v>
          </cell>
          <cell r="B8612" t="str">
            <v>YZ-ZQ16597</v>
          </cell>
        </row>
        <row r="8613">
          <cell r="A8613" t="str">
            <v>YZ-ZQ16597B0XL</v>
          </cell>
          <cell r="B8613" t="str">
            <v>YZ-ZQ16597</v>
          </cell>
        </row>
        <row r="8614">
          <cell r="A8614" t="str">
            <v>YZ-ZQ16598R02XL</v>
          </cell>
          <cell r="B8614" t="str">
            <v>YZ-ZQ16598</v>
          </cell>
        </row>
        <row r="8615">
          <cell r="A8615" t="str">
            <v>YZ-ZQ16598R03XL</v>
          </cell>
          <cell r="B8615" t="str">
            <v>YZ-ZQ16598</v>
          </cell>
        </row>
        <row r="8616">
          <cell r="A8616" t="str">
            <v>YZ-ZQ16598R04XL</v>
          </cell>
          <cell r="B8616" t="str">
            <v>YZ-ZQ16598</v>
          </cell>
        </row>
        <row r="8617">
          <cell r="A8617" t="str">
            <v>YZ-ZQ16598R05XL</v>
          </cell>
          <cell r="B8617" t="str">
            <v>YZ-ZQ16598</v>
          </cell>
        </row>
        <row r="8618">
          <cell r="A8618" t="str">
            <v>YZ-ZQ16598R0L</v>
          </cell>
          <cell r="B8618" t="str">
            <v>YZ-ZQ16598</v>
          </cell>
        </row>
        <row r="8619">
          <cell r="A8619" t="str">
            <v>YZ-ZQ16598R0XL</v>
          </cell>
          <cell r="B8619" t="str">
            <v>YZ-ZQ16598</v>
          </cell>
        </row>
        <row r="8620">
          <cell r="A8620" t="str">
            <v>YZ-ZQ17009-G0-L</v>
          </cell>
          <cell r="B8620" t="str">
            <v>YZ-ZQ17009</v>
          </cell>
        </row>
        <row r="8621">
          <cell r="A8621" t="str">
            <v>YZ-ZQ17009-G0-M</v>
          </cell>
          <cell r="B8621" t="str">
            <v>YZ-ZQ17009</v>
          </cell>
        </row>
        <row r="8622">
          <cell r="A8622" t="str">
            <v>YZ-ZQ17009-G0-XL</v>
          </cell>
          <cell r="B8622" t="str">
            <v>YZ-ZQ17009</v>
          </cell>
        </row>
        <row r="8623">
          <cell r="A8623" t="str">
            <v>YZ-ZQ17009-K0-L</v>
          </cell>
          <cell r="B8623" t="str">
            <v>YZ-ZQ17009</v>
          </cell>
        </row>
        <row r="8624">
          <cell r="A8624" t="str">
            <v>YZ-ZQ17009-K0-M</v>
          </cell>
          <cell r="B8624" t="str">
            <v>YZ-ZQ17009</v>
          </cell>
        </row>
        <row r="8625">
          <cell r="A8625" t="str">
            <v>YZ-ZQ17009-K0-XL</v>
          </cell>
          <cell r="B8625" t="str">
            <v>YZ-ZQ17009</v>
          </cell>
        </row>
        <row r="8626">
          <cell r="A8626" t="str">
            <v>YZ-ZQ17009-R0-S</v>
          </cell>
          <cell r="B8626" t="str">
            <v>YZ-ZQ17009</v>
          </cell>
        </row>
        <row r="8627">
          <cell r="A8627" t="str">
            <v>YZ-ZQ1715-W0-L</v>
          </cell>
          <cell r="B8627" t="str">
            <v>YZ-ZQ1715</v>
          </cell>
        </row>
        <row r="8628">
          <cell r="A8628" t="str">
            <v>YZ-ZQ1715-W0-M</v>
          </cell>
          <cell r="B8628" t="str">
            <v>YZ-ZQ1715</v>
          </cell>
        </row>
        <row r="8629">
          <cell r="A8629" t="str">
            <v>YZ-ZQ1715-W0-S</v>
          </cell>
          <cell r="B8629" t="str">
            <v>YZ-ZQ1715</v>
          </cell>
        </row>
        <row r="8630">
          <cell r="A8630" t="str">
            <v>YZ-ZQ1715-W0-XL</v>
          </cell>
          <cell r="B8630" t="str">
            <v>YZ-ZQ1715</v>
          </cell>
        </row>
        <row r="8631">
          <cell r="A8631" t="str">
            <v>YZ-ZQ1732-B0-L</v>
          </cell>
          <cell r="B8631" t="str">
            <v>YZ-ZQ1732</v>
          </cell>
        </row>
        <row r="8632">
          <cell r="A8632" t="str">
            <v>YZ-ZQ1732-B0-M</v>
          </cell>
          <cell r="B8632" t="str">
            <v>YZ-ZQ1732</v>
          </cell>
        </row>
        <row r="8633">
          <cell r="A8633" t="str">
            <v>YZ-ZQ1732-B0-S</v>
          </cell>
          <cell r="B8633" t="str">
            <v>YZ-ZQ1732</v>
          </cell>
        </row>
        <row r="8634">
          <cell r="A8634" t="str">
            <v>YZ-ZQ1732-B0-XL</v>
          </cell>
          <cell r="B8634" t="str">
            <v>YZ-ZQ1732</v>
          </cell>
        </row>
        <row r="8635">
          <cell r="A8635" t="str">
            <v>YZ-ZQ1732-K0-L</v>
          </cell>
          <cell r="B8635" t="str">
            <v>YZ-ZQ1732</v>
          </cell>
        </row>
        <row r="8636">
          <cell r="A8636" t="str">
            <v>YZ-ZQ1732-K0-M</v>
          </cell>
          <cell r="B8636" t="str">
            <v>YZ-ZQ1732</v>
          </cell>
        </row>
        <row r="8637">
          <cell r="A8637" t="str">
            <v>YZ-ZQ1732-K0-S</v>
          </cell>
          <cell r="B8637" t="str">
            <v>YZ-ZQ1732</v>
          </cell>
        </row>
        <row r="8638">
          <cell r="A8638" t="str">
            <v>YZ-ZQ1732-K0-XL</v>
          </cell>
          <cell r="B8638" t="str">
            <v>YZ-ZQ1732</v>
          </cell>
        </row>
        <row r="8639">
          <cell r="A8639" t="str">
            <v>YZ-ZQ1732-R0-L</v>
          </cell>
          <cell r="B8639" t="str">
            <v>YZ-ZQ1732</v>
          </cell>
        </row>
        <row r="8640">
          <cell r="A8640" t="str">
            <v>YZ-ZQ1732-R0-M</v>
          </cell>
          <cell r="B8640" t="str">
            <v>YZ-ZQ1732</v>
          </cell>
        </row>
        <row r="8641">
          <cell r="A8641" t="str">
            <v>YZ-ZQ1732-R0-S</v>
          </cell>
          <cell r="B8641" t="str">
            <v>YZ-ZQ1732</v>
          </cell>
        </row>
        <row r="8642">
          <cell r="A8642" t="str">
            <v>YZ-ZQ1732-R0-XL</v>
          </cell>
          <cell r="B8642" t="str">
            <v>YZ-ZQ1732</v>
          </cell>
        </row>
        <row r="8643">
          <cell r="A8643" t="str">
            <v>YZ-ZQ1733-K0-2XL</v>
          </cell>
          <cell r="B8643" t="str">
            <v>YZ-ZQ1733</v>
          </cell>
        </row>
        <row r="8644">
          <cell r="A8644" t="str">
            <v>YZ-ZQ1733-K0-3XL</v>
          </cell>
          <cell r="B8644" t="str">
            <v>YZ-ZQ1733</v>
          </cell>
        </row>
        <row r="8645">
          <cell r="A8645" t="str">
            <v>YZ-ZQ1733-K0-L</v>
          </cell>
          <cell r="B8645" t="str">
            <v>YZ-ZQ1733</v>
          </cell>
        </row>
        <row r="8646">
          <cell r="A8646" t="str">
            <v>YZ-ZQ1733-K0-M</v>
          </cell>
          <cell r="B8646" t="str">
            <v>YZ-ZQ1733</v>
          </cell>
        </row>
        <row r="8647">
          <cell r="A8647" t="str">
            <v>YZ-ZQ1733-K0-S</v>
          </cell>
          <cell r="B8647" t="str">
            <v>YZ-ZQ1733</v>
          </cell>
        </row>
        <row r="8648">
          <cell r="A8648" t="str">
            <v>YZ-ZQ1733-K0-XL</v>
          </cell>
          <cell r="B8648" t="str">
            <v>YZ-ZQ1733</v>
          </cell>
        </row>
        <row r="8649">
          <cell r="A8649" t="str">
            <v>YZ-ZQ1733-NB-2XL</v>
          </cell>
          <cell r="B8649" t="str">
            <v>YZ-ZQ1733</v>
          </cell>
        </row>
        <row r="8650">
          <cell r="A8650" t="str">
            <v>YZ-ZQ1733-NB-3XL</v>
          </cell>
          <cell r="B8650" t="str">
            <v>YZ-ZQ1733</v>
          </cell>
        </row>
        <row r="8651">
          <cell r="A8651" t="str">
            <v>YZ-ZQ1733-NB-L</v>
          </cell>
          <cell r="B8651" t="str">
            <v>YZ-ZQ1733</v>
          </cell>
        </row>
        <row r="8652">
          <cell r="A8652" t="str">
            <v>YZ-ZQ1733-NB-M</v>
          </cell>
          <cell r="B8652" t="str">
            <v>YZ-ZQ1733</v>
          </cell>
        </row>
        <row r="8653">
          <cell r="A8653" t="str">
            <v>YZ-ZQ1733-NB-S</v>
          </cell>
          <cell r="B8653" t="str">
            <v>YZ-ZQ1733</v>
          </cell>
        </row>
        <row r="8654">
          <cell r="A8654" t="str">
            <v>YZ-ZQ1733-NB-XL</v>
          </cell>
          <cell r="B8654" t="str">
            <v>YZ-ZQ1733</v>
          </cell>
        </row>
        <row r="8655">
          <cell r="A8655" t="str">
            <v>YZ-ZQ1733-R0-2XL</v>
          </cell>
          <cell r="B8655" t="str">
            <v>YZ-ZQ1733</v>
          </cell>
        </row>
        <row r="8656">
          <cell r="A8656" t="str">
            <v>YZ-ZQ1733-R0-3XL</v>
          </cell>
          <cell r="B8656" t="str">
            <v>YZ-ZQ1733</v>
          </cell>
        </row>
        <row r="8657">
          <cell r="A8657" t="str">
            <v>YZ-ZQ1733-R0-L</v>
          </cell>
          <cell r="B8657" t="str">
            <v>YZ-ZQ1733</v>
          </cell>
        </row>
        <row r="8658">
          <cell r="A8658" t="str">
            <v>YZ-ZQ1733-R0-M</v>
          </cell>
          <cell r="B8658" t="str">
            <v>YZ-ZQ1733</v>
          </cell>
        </row>
        <row r="8659">
          <cell r="A8659" t="str">
            <v>YZ-ZQ1733-R0-S</v>
          </cell>
          <cell r="B8659" t="str">
            <v>YZ-ZQ1733</v>
          </cell>
        </row>
        <row r="8660">
          <cell r="A8660" t="str">
            <v>YZ-ZQ1733-R0-XL</v>
          </cell>
          <cell r="B8660" t="str">
            <v>YZ-ZQ1733</v>
          </cell>
        </row>
        <row r="8661">
          <cell r="A8661" t="str">
            <v>YZ-ZQ1733-SB-2XL</v>
          </cell>
          <cell r="B8661" t="str">
            <v>YZ-ZQ1733</v>
          </cell>
        </row>
        <row r="8662">
          <cell r="A8662" t="str">
            <v>YZ-ZQ1733-SB-3XL</v>
          </cell>
          <cell r="B8662" t="str">
            <v>YZ-ZQ1733</v>
          </cell>
        </row>
        <row r="8663">
          <cell r="A8663" t="str">
            <v>YZ-ZQ1733-SB-L</v>
          </cell>
          <cell r="B8663" t="str">
            <v>YZ-ZQ1733</v>
          </cell>
        </row>
        <row r="8664">
          <cell r="A8664" t="str">
            <v>YZ-ZQ1733-SB-M</v>
          </cell>
          <cell r="B8664" t="str">
            <v>YZ-ZQ1733</v>
          </cell>
        </row>
        <row r="8665">
          <cell r="A8665" t="str">
            <v>YZ-ZQ1733-SB-S</v>
          </cell>
          <cell r="B8665" t="str">
            <v>YZ-ZQ1733</v>
          </cell>
        </row>
        <row r="8666">
          <cell r="A8666" t="str">
            <v>YZ-ZQ1733-SB-XL</v>
          </cell>
          <cell r="B8666" t="str">
            <v>YZ-ZQ1733</v>
          </cell>
        </row>
        <row r="8667">
          <cell r="A8667" t="str">
            <v>YZ-ZQ17845-K0-2X</v>
          </cell>
          <cell r="B8667" t="str">
            <v>YZ-ZQ17845</v>
          </cell>
        </row>
        <row r="8668">
          <cell r="A8668" t="str">
            <v>YZ-ZQ17845-K0-3X</v>
          </cell>
          <cell r="B8668" t="str">
            <v>YZ-ZQ17845</v>
          </cell>
        </row>
        <row r="8669">
          <cell r="A8669" t="str">
            <v>YZ-ZQ17845-K0-4X</v>
          </cell>
          <cell r="B8669" t="str">
            <v>YZ-ZQ17845</v>
          </cell>
        </row>
        <row r="8670">
          <cell r="A8670" t="str">
            <v>YZ-ZQ17845-K0-5X</v>
          </cell>
          <cell r="B8670" t="str">
            <v>YZ-ZQ17845</v>
          </cell>
        </row>
        <row r="8671">
          <cell r="A8671" t="str">
            <v>YZ-ZQ17845-K0-L</v>
          </cell>
          <cell r="B8671" t="str">
            <v>YZ-ZQ17845</v>
          </cell>
        </row>
        <row r="8672">
          <cell r="A8672" t="str">
            <v>YZ-ZQ17845-K0-XL</v>
          </cell>
          <cell r="B8672" t="str">
            <v>YZ-ZQ17845</v>
          </cell>
        </row>
        <row r="8673">
          <cell r="A8673" t="str">
            <v>YZ-ZQ17958P0-2XL</v>
          </cell>
          <cell r="B8673" t="str">
            <v>YZ-ZQ17958</v>
          </cell>
        </row>
        <row r="8674">
          <cell r="A8674" t="str">
            <v>YZ-ZQ17958P0-3XL</v>
          </cell>
          <cell r="B8674" t="str">
            <v>YZ-ZQ17958</v>
          </cell>
        </row>
        <row r="8675">
          <cell r="A8675" t="str">
            <v>YZ-ZQ17958P0-4XL</v>
          </cell>
          <cell r="B8675" t="str">
            <v>YZ-ZQ17958</v>
          </cell>
        </row>
        <row r="8676">
          <cell r="A8676" t="str">
            <v>YZ-ZQ17958P0-5XL</v>
          </cell>
          <cell r="B8676" t="str">
            <v>YZ-ZQ17958</v>
          </cell>
        </row>
        <row r="8677">
          <cell r="A8677" t="str">
            <v>YZ-ZQ17958P0-L</v>
          </cell>
          <cell r="B8677" t="str">
            <v>YZ-ZQ17958</v>
          </cell>
        </row>
        <row r="8678">
          <cell r="A8678" t="str">
            <v>YZ-ZQ17958P0-M</v>
          </cell>
          <cell r="B8678" t="str">
            <v>YZ-ZQ17958</v>
          </cell>
        </row>
        <row r="8679">
          <cell r="A8679" t="str">
            <v>YZ-ZQ17958P0-S</v>
          </cell>
          <cell r="B8679" t="str">
            <v>YZ-ZQ17958</v>
          </cell>
        </row>
        <row r="8680">
          <cell r="A8680" t="str">
            <v>YZ-ZQ17958P0-XL</v>
          </cell>
          <cell r="B8680" t="str">
            <v>YZ-ZQ17958</v>
          </cell>
        </row>
        <row r="8681">
          <cell r="A8681" t="str">
            <v>YZ-ZQ17984-R0-2X</v>
          </cell>
          <cell r="B8681" t="str">
            <v>YZ-ZQ17984</v>
          </cell>
        </row>
        <row r="8682">
          <cell r="A8682" t="str">
            <v>YZ-ZQ17984-R0-3X</v>
          </cell>
          <cell r="B8682" t="str">
            <v>YZ-ZQ17984</v>
          </cell>
        </row>
        <row r="8683">
          <cell r="A8683" t="str">
            <v>YZ-ZQ17984-R0-4X</v>
          </cell>
          <cell r="B8683" t="str">
            <v>YZ-ZQ17984</v>
          </cell>
        </row>
        <row r="8684">
          <cell r="A8684" t="str">
            <v>YZ-ZQ17984-R0-5X</v>
          </cell>
          <cell r="B8684" t="str">
            <v>YZ-ZQ17984</v>
          </cell>
        </row>
        <row r="8685">
          <cell r="A8685" t="str">
            <v>YZ-ZQ17984-R0-L</v>
          </cell>
          <cell r="B8685" t="str">
            <v>YZ-ZQ17984</v>
          </cell>
        </row>
        <row r="8686">
          <cell r="A8686" t="str">
            <v>YZ-ZQ17984-R0-XL</v>
          </cell>
          <cell r="B8686" t="str">
            <v>YZ-ZQ17984</v>
          </cell>
        </row>
        <row r="8687">
          <cell r="A8687" t="str">
            <v>YZ-ZQ17985-P0-2X</v>
          </cell>
          <cell r="B8687" t="str">
            <v>YZ-ZQ17985</v>
          </cell>
        </row>
        <row r="8688">
          <cell r="A8688" t="str">
            <v>YZ-ZQ17985-P0-3X</v>
          </cell>
          <cell r="B8688" t="str">
            <v>YZ-ZQ17985</v>
          </cell>
        </row>
        <row r="8689">
          <cell r="A8689" t="str">
            <v>YZ-ZQ17985-P0-4X</v>
          </cell>
          <cell r="B8689" t="str">
            <v>YZ-ZQ17985</v>
          </cell>
        </row>
        <row r="8690">
          <cell r="A8690" t="str">
            <v>YZ-ZQ17985-P0-5X</v>
          </cell>
          <cell r="B8690" t="str">
            <v>YZ-ZQ17985</v>
          </cell>
        </row>
        <row r="8691">
          <cell r="A8691" t="str">
            <v>YZ-ZQ17985-P0-L</v>
          </cell>
          <cell r="B8691" t="str">
            <v>YZ-ZQ17985</v>
          </cell>
        </row>
        <row r="8692">
          <cell r="A8692" t="str">
            <v>YZ-ZQ17985-P0-M</v>
          </cell>
          <cell r="B8692" t="str">
            <v>YZ-ZQ17985</v>
          </cell>
        </row>
        <row r="8693">
          <cell r="A8693" t="str">
            <v>YZ-ZQ17985-P0-S</v>
          </cell>
          <cell r="B8693" t="str">
            <v>YZ-ZQ17985</v>
          </cell>
        </row>
        <row r="8694">
          <cell r="A8694" t="str">
            <v>YZ-ZQ17985-P0-XL</v>
          </cell>
          <cell r="B8694" t="str">
            <v>YZ-ZQ17985</v>
          </cell>
        </row>
        <row r="8695">
          <cell r="A8695" t="str">
            <v>YZ-ZQ17986W0-2XL</v>
          </cell>
          <cell r="B8695" t="str">
            <v>YZ-ZQ17986</v>
          </cell>
        </row>
        <row r="8696">
          <cell r="A8696" t="str">
            <v>YZ-ZQ17986W0-3XL</v>
          </cell>
          <cell r="B8696" t="str">
            <v>YZ-ZQ17986</v>
          </cell>
        </row>
        <row r="8697">
          <cell r="A8697" t="str">
            <v>YZ-ZQ17986W0-4XL</v>
          </cell>
          <cell r="B8697" t="str">
            <v>YZ-ZQ17986</v>
          </cell>
        </row>
        <row r="8698">
          <cell r="A8698" t="str">
            <v>YZ-ZQ17986W0-5XL</v>
          </cell>
          <cell r="B8698" t="str">
            <v>YZ-ZQ17986</v>
          </cell>
        </row>
        <row r="8699">
          <cell r="A8699" t="str">
            <v>YZ-ZQ17986W0-L</v>
          </cell>
          <cell r="B8699" t="str">
            <v>YZ-ZQ17986</v>
          </cell>
        </row>
        <row r="8700">
          <cell r="A8700" t="str">
            <v>YZ-ZQ17986W0-M</v>
          </cell>
          <cell r="B8700" t="str">
            <v>YZ-ZQ17986</v>
          </cell>
        </row>
        <row r="8701">
          <cell r="A8701" t="str">
            <v>YZ-ZQ17986W0-S</v>
          </cell>
          <cell r="B8701" t="str">
            <v>YZ-ZQ17986</v>
          </cell>
        </row>
        <row r="8702">
          <cell r="A8702" t="str">
            <v>YZ-ZQ17986W0-XL</v>
          </cell>
          <cell r="B8702" t="str">
            <v>YZ-ZQ17986</v>
          </cell>
        </row>
        <row r="8703">
          <cell r="A8703" t="str">
            <v>YZ-ZQ1803-K0-L</v>
          </cell>
          <cell r="B8703" t="str">
            <v>YZ-ZQ1803</v>
          </cell>
        </row>
        <row r="8704">
          <cell r="A8704" t="str">
            <v>YZ-ZQ1803-K0-M</v>
          </cell>
          <cell r="B8704" t="str">
            <v>YZ-ZQ1803</v>
          </cell>
        </row>
        <row r="8705">
          <cell r="A8705" t="str">
            <v>YZ-ZQ1803-K0-XL</v>
          </cell>
          <cell r="B8705" t="str">
            <v>YZ-ZQ1803</v>
          </cell>
        </row>
        <row r="8706">
          <cell r="A8706" t="str">
            <v>YZ-ZQ-18745K0-2X</v>
          </cell>
          <cell r="B8706" t="str">
            <v>YZ-ZQ-18745</v>
          </cell>
        </row>
        <row r="8707">
          <cell r="A8707" t="str">
            <v>YZ-ZQ18745-K0-3X</v>
          </cell>
          <cell r="B8707" t="str">
            <v>YZ-ZQ-18745</v>
          </cell>
        </row>
        <row r="8708">
          <cell r="A8708" t="str">
            <v>YZ-ZQ-18745K0-3X</v>
          </cell>
          <cell r="B8708" t="str">
            <v>YZ-ZQ-18745</v>
          </cell>
        </row>
        <row r="8709">
          <cell r="A8709" t="str">
            <v>YZ-ZQ-18745K0-L</v>
          </cell>
          <cell r="B8709" t="str">
            <v>YZ-ZQ-18745</v>
          </cell>
        </row>
        <row r="8710">
          <cell r="A8710" t="str">
            <v>YZ-ZQ18745-K0-M</v>
          </cell>
          <cell r="B8710" t="str">
            <v>YZ-ZQ-18745</v>
          </cell>
        </row>
        <row r="8711">
          <cell r="A8711" t="str">
            <v>YZ-ZQ-18745K0-M</v>
          </cell>
          <cell r="B8711" t="str">
            <v>YZ-ZQ-18745</v>
          </cell>
        </row>
        <row r="8712">
          <cell r="A8712" t="str">
            <v>YZ-ZQ18745-K0-S</v>
          </cell>
          <cell r="B8712" t="str">
            <v>YZ-ZQ-18745</v>
          </cell>
        </row>
        <row r="8713">
          <cell r="A8713" t="str">
            <v>YZ-ZQ-18745K0-S</v>
          </cell>
          <cell r="B8713" t="str">
            <v>YZ-ZQ-18745</v>
          </cell>
        </row>
        <row r="8714">
          <cell r="A8714" t="str">
            <v>YZ-ZQ18745-K0-XL</v>
          </cell>
          <cell r="B8714" t="str">
            <v>YZ-ZQ-18745</v>
          </cell>
        </row>
        <row r="8715">
          <cell r="A8715" t="str">
            <v>YZ-ZQ-18745K0-XL</v>
          </cell>
          <cell r="B8715" t="str">
            <v>YZ-ZQ-18745</v>
          </cell>
        </row>
        <row r="8716">
          <cell r="A8716" t="str">
            <v>YZ-ZQ18758-K0-2X</v>
          </cell>
          <cell r="B8716" t="str">
            <v>YZ-ZQ18758</v>
          </cell>
        </row>
        <row r="8717">
          <cell r="A8717" t="str">
            <v>YZ-ZQ18758-K0-3X</v>
          </cell>
          <cell r="B8717" t="str">
            <v>YZ-ZQ18758</v>
          </cell>
        </row>
        <row r="8718">
          <cell r="A8718" t="str">
            <v>YZ-ZQ18758-K0-4X</v>
          </cell>
          <cell r="B8718" t="str">
            <v>YZ-ZQ18758</v>
          </cell>
        </row>
        <row r="8719">
          <cell r="A8719" t="str">
            <v>YZ-ZQ18758-K0-5X</v>
          </cell>
          <cell r="B8719" t="str">
            <v>YZ-ZQ18758</v>
          </cell>
        </row>
        <row r="8720">
          <cell r="A8720" t="str">
            <v>YZ-ZQ18758-K0-L</v>
          </cell>
          <cell r="B8720" t="str">
            <v>YZ-ZQ18758</v>
          </cell>
        </row>
        <row r="8721">
          <cell r="A8721" t="str">
            <v>YZ-ZQ18758-K0-M</v>
          </cell>
          <cell r="B8721" t="str">
            <v>YZ-ZQ18758</v>
          </cell>
        </row>
        <row r="8722">
          <cell r="A8722" t="str">
            <v>YZ-ZQ18758-K0-S</v>
          </cell>
          <cell r="B8722" t="str">
            <v>YZ-ZQ18758</v>
          </cell>
        </row>
        <row r="8723">
          <cell r="A8723" t="str">
            <v>YZ-ZQ18758-K0-XL</v>
          </cell>
          <cell r="B8723" t="str">
            <v>YZ-ZQ18758</v>
          </cell>
        </row>
        <row r="8724">
          <cell r="A8724" t="str">
            <v>YZ-ZQ19758-K0-2XL</v>
          </cell>
          <cell r="B8724" t="str">
            <v>YZ-ZQ19758</v>
          </cell>
        </row>
        <row r="8725">
          <cell r="A8725" t="str">
            <v>YZ-ZQ19758-K0-3XL</v>
          </cell>
          <cell r="B8725" t="str">
            <v>YZ-ZQ19758</v>
          </cell>
        </row>
        <row r="8726">
          <cell r="A8726" t="str">
            <v>YZ-ZQ19758-K0-4XL</v>
          </cell>
          <cell r="B8726" t="str">
            <v>YZ-ZQ19758</v>
          </cell>
        </row>
        <row r="8727">
          <cell r="A8727" t="str">
            <v>YZ-ZQ19758-K0-5XL</v>
          </cell>
          <cell r="B8727" t="str">
            <v>YZ-ZQ19758</v>
          </cell>
        </row>
        <row r="8728">
          <cell r="A8728" t="str">
            <v>YZ-ZQ19758-K0-L</v>
          </cell>
          <cell r="B8728" t="str">
            <v>YZ-ZQ19758</v>
          </cell>
        </row>
        <row r="8729">
          <cell r="A8729" t="str">
            <v>YZ-ZQ19758-K0-M</v>
          </cell>
          <cell r="B8729" t="str">
            <v>YZ-ZQ19758</v>
          </cell>
        </row>
        <row r="8730">
          <cell r="A8730" t="str">
            <v>YZ-ZQ19758-K0-S</v>
          </cell>
          <cell r="B8730" t="str">
            <v>YZ-ZQ19758</v>
          </cell>
        </row>
        <row r="8731">
          <cell r="A8731" t="str">
            <v>YZ-ZQ19758-K0-XL</v>
          </cell>
          <cell r="B8731" t="str">
            <v>YZ-ZQ19758</v>
          </cell>
        </row>
        <row r="8732">
          <cell r="A8732" t="str">
            <v>YZ-ZQ298N02XL</v>
          </cell>
          <cell r="B8732" t="str">
            <v>YZ-ZQ298</v>
          </cell>
        </row>
        <row r="8733">
          <cell r="A8733" t="str">
            <v>YZ-ZQ298-N0-2XL</v>
          </cell>
          <cell r="B8733" t="str">
            <v>YZ-ZQ298</v>
          </cell>
        </row>
        <row r="8734">
          <cell r="A8734" t="str">
            <v>YZ-ZQ298N03XL</v>
          </cell>
          <cell r="B8734" t="str">
            <v>YZ-ZQ298</v>
          </cell>
        </row>
        <row r="8735">
          <cell r="A8735" t="str">
            <v>YZ-ZQ298N04XL</v>
          </cell>
          <cell r="B8735" t="str">
            <v>YZ-ZQ298</v>
          </cell>
        </row>
        <row r="8736">
          <cell r="A8736" t="str">
            <v>YZ-ZQ298N05XL</v>
          </cell>
          <cell r="B8736" t="str">
            <v>YZ-ZQ298</v>
          </cell>
        </row>
        <row r="8737">
          <cell r="A8737" t="str">
            <v>YZ-ZQ298N0XL</v>
          </cell>
          <cell r="B8737" t="str">
            <v>YZ-ZQ298</v>
          </cell>
        </row>
        <row r="8738">
          <cell r="A8738" t="str">
            <v>YZ-ZQ388-K0-L</v>
          </cell>
          <cell r="B8738" t="str">
            <v>YZ-ZQ388</v>
          </cell>
        </row>
        <row r="8739">
          <cell r="A8739" t="str">
            <v>YZ-ZQ45984K02XL</v>
          </cell>
          <cell r="B8739" t="str">
            <v>YZ-ZQ45984</v>
          </cell>
        </row>
        <row r="8740">
          <cell r="A8740" t="str">
            <v>YZ-ZQ45984K03XL</v>
          </cell>
          <cell r="B8740" t="str">
            <v>YZ-ZQ45984</v>
          </cell>
        </row>
        <row r="8741">
          <cell r="A8741" t="str">
            <v>YZ-ZQ45984K04XL</v>
          </cell>
          <cell r="B8741" t="str">
            <v>YZ-ZQ45984</v>
          </cell>
        </row>
        <row r="8742">
          <cell r="A8742" t="str">
            <v>YZ-ZQ45984K05XL</v>
          </cell>
          <cell r="B8742" t="str">
            <v>YZ-ZQ45984</v>
          </cell>
        </row>
        <row r="8743">
          <cell r="A8743" t="str">
            <v>YZ-ZQ45984K0L</v>
          </cell>
          <cell r="B8743" t="str">
            <v>YZ-ZQ45984</v>
          </cell>
        </row>
        <row r="8744">
          <cell r="A8744" t="str">
            <v>YZ-ZQ45984K0M</v>
          </cell>
          <cell r="B8744" t="str">
            <v>YZ-ZQ45984</v>
          </cell>
        </row>
        <row r="8745">
          <cell r="A8745" t="str">
            <v>YZ-ZQ45984K0XL</v>
          </cell>
          <cell r="B8745" t="str">
            <v>YZ-ZQ45984</v>
          </cell>
        </row>
        <row r="8746">
          <cell r="A8746" t="str">
            <v>YZ-ZQ47121-K0-L</v>
          </cell>
          <cell r="B8746" t="str">
            <v>YZ-ZQ47121</v>
          </cell>
        </row>
        <row r="8747">
          <cell r="A8747" t="str">
            <v>YZ-ZQ47121-K0-M</v>
          </cell>
          <cell r="B8747" t="str">
            <v>YZ-ZQ47121</v>
          </cell>
        </row>
        <row r="8748">
          <cell r="A8748" t="str">
            <v>YZ-ZQ47121-K0-S</v>
          </cell>
          <cell r="B8748" t="str">
            <v>YZ-ZQ47121</v>
          </cell>
        </row>
        <row r="8749">
          <cell r="A8749" t="str">
            <v>YZ-ZQ511K02XL</v>
          </cell>
          <cell r="B8749" t="str">
            <v>YZ-ZQ511</v>
          </cell>
        </row>
        <row r="8750">
          <cell r="A8750" t="str">
            <v>YZ-ZQ511K03XL</v>
          </cell>
          <cell r="B8750" t="str">
            <v>YZ-ZQ511</v>
          </cell>
        </row>
        <row r="8751">
          <cell r="A8751" t="str">
            <v>YZ-ZQ511K04XL</v>
          </cell>
          <cell r="B8751" t="str">
            <v>YZ-ZQ511</v>
          </cell>
        </row>
        <row r="8752">
          <cell r="A8752" t="str">
            <v>YZ-ZQ511K05XL</v>
          </cell>
          <cell r="B8752" t="str">
            <v>YZ-ZQ511</v>
          </cell>
        </row>
        <row r="8753">
          <cell r="A8753" t="str">
            <v>YZ-ZQ511K06XL</v>
          </cell>
          <cell r="B8753" t="str">
            <v>YZ-ZQ511</v>
          </cell>
        </row>
        <row r="8754">
          <cell r="A8754" t="str">
            <v>YZ-ZQ511K0L</v>
          </cell>
          <cell r="B8754" t="str">
            <v>YZ-ZQ511</v>
          </cell>
        </row>
        <row r="8755">
          <cell r="A8755" t="str">
            <v>YZ-ZQ511K0XL</v>
          </cell>
          <cell r="B8755" t="str">
            <v>YZ-ZQ511</v>
          </cell>
        </row>
        <row r="8756">
          <cell r="A8756" t="str">
            <v>YZ-ZQ511R22XL</v>
          </cell>
          <cell r="B8756" t="str">
            <v>YZ-ZQ511</v>
          </cell>
        </row>
        <row r="8757">
          <cell r="A8757" t="str">
            <v>YZ-ZQ511R23XL</v>
          </cell>
          <cell r="B8757" t="str">
            <v>YZ-ZQ511</v>
          </cell>
        </row>
        <row r="8758">
          <cell r="A8758" t="str">
            <v>YZ-ZQ511R24XL</v>
          </cell>
          <cell r="B8758" t="str">
            <v>YZ-ZQ511</v>
          </cell>
        </row>
        <row r="8759">
          <cell r="A8759" t="str">
            <v>YZ-ZQ511R25XL</v>
          </cell>
          <cell r="B8759" t="str">
            <v>YZ-ZQ511</v>
          </cell>
        </row>
        <row r="8760">
          <cell r="A8760" t="str">
            <v>YZ-ZQ511R2L</v>
          </cell>
          <cell r="B8760" t="str">
            <v>YZ-ZQ511</v>
          </cell>
        </row>
        <row r="8761">
          <cell r="A8761" t="str">
            <v>YZ-ZQ511R2XL</v>
          </cell>
          <cell r="B8761" t="str">
            <v>YZ-ZQ511</v>
          </cell>
        </row>
        <row r="8762">
          <cell r="A8762" t="str">
            <v>YZ-ZQ511Z22XL</v>
          </cell>
          <cell r="B8762" t="str">
            <v>YZ-ZQ511</v>
          </cell>
        </row>
        <row r="8763">
          <cell r="A8763" t="str">
            <v>YZ-ZQ511Z23XL</v>
          </cell>
          <cell r="B8763" t="str">
            <v>YZ-ZQ511</v>
          </cell>
        </row>
        <row r="8764">
          <cell r="A8764" t="str">
            <v>YZ-ZQ511Z2L</v>
          </cell>
          <cell r="B8764" t="str">
            <v>YZ-ZQ511</v>
          </cell>
        </row>
        <row r="8765">
          <cell r="A8765" t="str">
            <v>YZ-ZQ511Z2XL</v>
          </cell>
          <cell r="B8765" t="str">
            <v>YZ-ZQ511</v>
          </cell>
        </row>
        <row r="8766">
          <cell r="A8766" t="str">
            <v>YZ-ZQ565-R0-L</v>
          </cell>
          <cell r="B8766" t="str">
            <v>YZ-ZQ565</v>
          </cell>
        </row>
        <row r="8767">
          <cell r="A8767" t="str">
            <v>YZ-ZQ565-R0-M</v>
          </cell>
          <cell r="B8767" t="str">
            <v>YZ-ZQ565</v>
          </cell>
        </row>
        <row r="8768">
          <cell r="A8768" t="str">
            <v>YZ-ZQ565-R0-S</v>
          </cell>
          <cell r="B8768" t="str">
            <v>YZ-ZQ565</v>
          </cell>
        </row>
        <row r="8769">
          <cell r="A8769" t="str">
            <v>YZ-ZQ565-R0-XL</v>
          </cell>
          <cell r="B8769" t="str">
            <v>YZ-ZQ565</v>
          </cell>
        </row>
        <row r="8770">
          <cell r="A8770" t="str">
            <v>YZ-ZQ5839B03XL</v>
          </cell>
          <cell r="B8770" t="str">
            <v>YZ-ZQ5839</v>
          </cell>
        </row>
        <row r="8771">
          <cell r="A8771" t="str">
            <v>YZ-ZQ5839B05XL</v>
          </cell>
          <cell r="B8771" t="str">
            <v>YZ-ZQ5839</v>
          </cell>
        </row>
        <row r="8772">
          <cell r="A8772" t="str">
            <v>YZ-ZQ5839R24XL</v>
          </cell>
          <cell r="B8772" t="str">
            <v>YZ-ZQ5839</v>
          </cell>
        </row>
        <row r="8773">
          <cell r="A8773" t="str">
            <v>YZ-ZQ5839R25XL</v>
          </cell>
          <cell r="B8773" t="str">
            <v>YZ-ZQ5839</v>
          </cell>
        </row>
        <row r="8774">
          <cell r="A8774" t="str">
            <v>YZ-ZQ5999-Y0-2X</v>
          </cell>
          <cell r="B8774" t="str">
            <v>YZ-ZQ5999</v>
          </cell>
        </row>
        <row r="8775">
          <cell r="A8775" t="str">
            <v>YZ-ZQ5999-Y0-L</v>
          </cell>
          <cell r="B8775" t="str">
            <v>YZ-ZQ5999</v>
          </cell>
        </row>
        <row r="8776">
          <cell r="A8776" t="str">
            <v>YZ-ZQ5999-Y0-M</v>
          </cell>
          <cell r="B8776" t="str">
            <v>YZ-ZQ5999</v>
          </cell>
        </row>
        <row r="8777">
          <cell r="A8777" t="str">
            <v>YZ-ZQ5999-Y0-XL</v>
          </cell>
          <cell r="B8777" t="str">
            <v>YZ-ZQ5999</v>
          </cell>
        </row>
        <row r="8778">
          <cell r="A8778" t="str">
            <v>YZ-ZQ6189B046</v>
          </cell>
          <cell r="B8778" t="str">
            <v>YZ-ZQ6189</v>
          </cell>
        </row>
        <row r="8779">
          <cell r="A8779" t="str">
            <v>YZ-ZQ6189B048</v>
          </cell>
          <cell r="B8779" t="str">
            <v>YZ-ZQ6189</v>
          </cell>
        </row>
        <row r="8780">
          <cell r="A8780" t="str">
            <v>YZ-ZQ6189B050</v>
          </cell>
          <cell r="B8780" t="str">
            <v>YZ-ZQ6189</v>
          </cell>
        </row>
        <row r="8781">
          <cell r="A8781" t="str">
            <v>YZ-ZQ6189B052</v>
          </cell>
          <cell r="B8781" t="str">
            <v>YZ-ZQ6189</v>
          </cell>
        </row>
        <row r="8782">
          <cell r="A8782" t="str">
            <v>YZ-ZQ6189B054</v>
          </cell>
          <cell r="B8782" t="str">
            <v>YZ-ZQ6189</v>
          </cell>
        </row>
        <row r="8783">
          <cell r="A8783" t="str">
            <v>YZ-ZQ6189G046</v>
          </cell>
          <cell r="B8783" t="str">
            <v>YZ-ZQ6189</v>
          </cell>
        </row>
        <row r="8784">
          <cell r="A8784" t="str">
            <v>YZ-ZQ6189G048</v>
          </cell>
          <cell r="B8784" t="str">
            <v>YZ-ZQ6189</v>
          </cell>
        </row>
        <row r="8785">
          <cell r="A8785" t="str">
            <v>YZ-ZQ6189G050</v>
          </cell>
          <cell r="B8785" t="str">
            <v>YZ-ZQ6189</v>
          </cell>
        </row>
        <row r="8786">
          <cell r="A8786" t="str">
            <v>YZ-ZQ6189G052</v>
          </cell>
          <cell r="B8786" t="str">
            <v>YZ-ZQ6189</v>
          </cell>
        </row>
        <row r="8787">
          <cell r="A8787" t="str">
            <v>YZ-ZQ6189P048</v>
          </cell>
          <cell r="B8787" t="str">
            <v>YZ-ZQ6189</v>
          </cell>
        </row>
        <row r="8788">
          <cell r="A8788" t="str">
            <v>YZ-ZQ6189P050</v>
          </cell>
          <cell r="B8788" t="str">
            <v>YZ-ZQ6189</v>
          </cell>
        </row>
        <row r="8789">
          <cell r="A8789" t="str">
            <v>YZ-ZQ6189P052</v>
          </cell>
          <cell r="B8789" t="str">
            <v>YZ-ZQ6189</v>
          </cell>
        </row>
        <row r="8790">
          <cell r="A8790" t="str">
            <v>YZ-ZQ6189P054</v>
          </cell>
          <cell r="B8790" t="str">
            <v>YZ-ZQ6189</v>
          </cell>
        </row>
        <row r="8791">
          <cell r="A8791" t="str">
            <v>YZ-ZQ6189Y046</v>
          </cell>
          <cell r="B8791" t="str">
            <v>YZ-ZQ6189</v>
          </cell>
        </row>
        <row r="8792">
          <cell r="A8792" t="str">
            <v>YZ-ZQ6189Y048</v>
          </cell>
          <cell r="B8792" t="str">
            <v>YZ-ZQ6189</v>
          </cell>
        </row>
        <row r="8793">
          <cell r="A8793" t="str">
            <v>YZ-ZQ6189Y050</v>
          </cell>
          <cell r="B8793" t="str">
            <v>YZ-ZQ6189</v>
          </cell>
        </row>
        <row r="8794">
          <cell r="A8794" t="str">
            <v>YZ-ZQ6189Y052</v>
          </cell>
          <cell r="B8794" t="str">
            <v>YZ-ZQ6189</v>
          </cell>
        </row>
        <row r="8795">
          <cell r="A8795" t="str">
            <v>YZ-ZQ6189Y054</v>
          </cell>
          <cell r="B8795" t="str">
            <v>YZ-ZQ6189</v>
          </cell>
        </row>
        <row r="8796">
          <cell r="A8796" t="str">
            <v>YZ-ZQ6258B048</v>
          </cell>
          <cell r="B8796" t="str">
            <v>YZ-ZQ6258</v>
          </cell>
        </row>
        <row r="8797">
          <cell r="A8797" t="str">
            <v>YZ-ZQ6258B050</v>
          </cell>
          <cell r="B8797" t="str">
            <v>YZ-ZQ6258</v>
          </cell>
        </row>
        <row r="8798">
          <cell r="A8798" t="str">
            <v>YZ-ZQ6258B052</v>
          </cell>
          <cell r="B8798" t="str">
            <v>YZ-ZQ6258</v>
          </cell>
        </row>
        <row r="8799">
          <cell r="A8799" t="str">
            <v>YZ-ZQ6258K048</v>
          </cell>
          <cell r="B8799" t="str">
            <v>YZ-ZQ6258</v>
          </cell>
        </row>
        <row r="8800">
          <cell r="A8800" t="str">
            <v>YZ-ZQ6258K050</v>
          </cell>
          <cell r="B8800" t="str">
            <v>YZ-ZQ6258</v>
          </cell>
        </row>
        <row r="8801">
          <cell r="A8801" t="str">
            <v>YZ-ZQ6258K052</v>
          </cell>
          <cell r="B8801" t="str">
            <v>YZ-ZQ6258</v>
          </cell>
        </row>
        <row r="8802">
          <cell r="A8802" t="str">
            <v>YZ-ZQ6258R052</v>
          </cell>
          <cell r="B8802" t="str">
            <v>YZ-ZQ6258</v>
          </cell>
        </row>
        <row r="8803">
          <cell r="A8803" t="str">
            <v>YZ-ZQ6258T048</v>
          </cell>
          <cell r="B8803" t="str">
            <v>YZ-ZQ6258</v>
          </cell>
        </row>
        <row r="8804">
          <cell r="A8804" t="str">
            <v>YZ-ZQ6258T050</v>
          </cell>
          <cell r="B8804" t="str">
            <v>YZ-ZQ6258</v>
          </cell>
        </row>
        <row r="8805">
          <cell r="A8805" t="str">
            <v>YZ-ZQ6258T452</v>
          </cell>
          <cell r="B8805" t="str">
            <v>YZ-ZQ6258</v>
          </cell>
        </row>
        <row r="8806">
          <cell r="A8806" t="str">
            <v>YZ-ZQ6667G044</v>
          </cell>
          <cell r="B8806" t="str">
            <v>YZ-ZQ6667</v>
          </cell>
        </row>
        <row r="8807">
          <cell r="A8807" t="str">
            <v>YZ-ZQ6667G046</v>
          </cell>
          <cell r="B8807" t="str">
            <v>YZ-ZQ6667</v>
          </cell>
        </row>
        <row r="8808">
          <cell r="A8808" t="str">
            <v>YZ-ZQ6667G048</v>
          </cell>
          <cell r="B8808" t="str">
            <v>YZ-ZQ6667</v>
          </cell>
        </row>
        <row r="8809">
          <cell r="A8809" t="str">
            <v>YZ-ZQ6667G050</v>
          </cell>
          <cell r="B8809" t="str">
            <v>YZ-ZQ6667</v>
          </cell>
        </row>
        <row r="8810">
          <cell r="A8810" t="str">
            <v>YZ-ZQ6667G052</v>
          </cell>
          <cell r="B8810" t="str">
            <v>YZ-ZQ6667</v>
          </cell>
        </row>
        <row r="8811">
          <cell r="A8811" t="str">
            <v>YZ-ZQ6667G054</v>
          </cell>
          <cell r="B8811" t="str">
            <v>YZ-ZQ6667</v>
          </cell>
        </row>
        <row r="8812">
          <cell r="A8812" t="str">
            <v>YZ-ZQ6667R044</v>
          </cell>
          <cell r="B8812" t="str">
            <v>YZ-ZQ6667</v>
          </cell>
        </row>
        <row r="8813">
          <cell r="A8813" t="str">
            <v>YZ-ZQ6667R046</v>
          </cell>
          <cell r="B8813" t="str">
            <v>YZ-ZQ6667</v>
          </cell>
        </row>
        <row r="8814">
          <cell r="A8814" t="str">
            <v>YZ-ZQ6667R048</v>
          </cell>
          <cell r="B8814" t="str">
            <v>YZ-ZQ6667</v>
          </cell>
        </row>
        <row r="8815">
          <cell r="A8815" t="str">
            <v>YZ-ZQ6667R050</v>
          </cell>
          <cell r="B8815" t="str">
            <v>YZ-ZQ6667</v>
          </cell>
        </row>
        <row r="8816">
          <cell r="A8816" t="str">
            <v>YZ-ZQ6667R052</v>
          </cell>
          <cell r="B8816" t="str">
            <v>YZ-ZQ6667</v>
          </cell>
        </row>
        <row r="8817">
          <cell r="A8817" t="str">
            <v>YZ-ZQ6667R054</v>
          </cell>
          <cell r="B8817" t="str">
            <v>YZ-ZQ6667</v>
          </cell>
        </row>
        <row r="8818">
          <cell r="A8818" t="str">
            <v>YZ-ZQ6667ZL44</v>
          </cell>
          <cell r="B8818" t="str">
            <v>YZ-ZQ6667</v>
          </cell>
        </row>
        <row r="8819">
          <cell r="A8819" t="str">
            <v>YZ-ZQ6667ZL46</v>
          </cell>
          <cell r="B8819" t="str">
            <v>YZ-ZQ6667</v>
          </cell>
        </row>
        <row r="8820">
          <cell r="A8820" t="str">
            <v>YZ-ZQ6667ZL48</v>
          </cell>
          <cell r="B8820" t="str">
            <v>YZ-ZQ6667</v>
          </cell>
        </row>
        <row r="8821">
          <cell r="A8821" t="str">
            <v>YZ-ZQ6667ZL50</v>
          </cell>
          <cell r="B8821" t="str">
            <v>YZ-ZQ6667</v>
          </cell>
        </row>
        <row r="8822">
          <cell r="A8822" t="str">
            <v>YZ-ZQ6667ZL52</v>
          </cell>
          <cell r="B8822" t="str">
            <v>YZ-ZQ6667</v>
          </cell>
        </row>
        <row r="8823">
          <cell r="A8823" t="str">
            <v>YZ-ZQ6667ZL54</v>
          </cell>
          <cell r="B8823" t="str">
            <v>YZ-ZQ6667</v>
          </cell>
        </row>
        <row r="8824">
          <cell r="A8824" t="str">
            <v>YZ-ZQ6922-B0-L</v>
          </cell>
          <cell r="B8824" t="str">
            <v>YZ-ZQ6922</v>
          </cell>
        </row>
        <row r="8825">
          <cell r="A8825" t="str">
            <v>YZ-ZQ6922-B0-M</v>
          </cell>
          <cell r="B8825" t="str">
            <v>YZ-ZQ6922</v>
          </cell>
        </row>
        <row r="8826">
          <cell r="A8826" t="str">
            <v>YZ-ZQ6922-B0-S</v>
          </cell>
          <cell r="B8826" t="str">
            <v>YZ-ZQ6922</v>
          </cell>
        </row>
        <row r="8827">
          <cell r="A8827" t="str">
            <v>YZ-ZQ6922-B0-XL</v>
          </cell>
          <cell r="B8827" t="str">
            <v>YZ-ZQ6922</v>
          </cell>
        </row>
        <row r="8828">
          <cell r="A8828" t="str">
            <v>YZ-ZQ7777B014</v>
          </cell>
          <cell r="B8828" t="str">
            <v>YZ-ZQ7777</v>
          </cell>
        </row>
        <row r="8829">
          <cell r="A8829" t="str">
            <v>YZ-ZQ7777B016</v>
          </cell>
          <cell r="B8829" t="str">
            <v>YZ-ZQ7777</v>
          </cell>
        </row>
        <row r="8830">
          <cell r="A8830" t="str">
            <v>YZ-ZQ7777B018</v>
          </cell>
          <cell r="B8830" t="str">
            <v>YZ-ZQ7777</v>
          </cell>
        </row>
        <row r="8831">
          <cell r="A8831" t="str">
            <v>YZ-ZQ7777B020</v>
          </cell>
          <cell r="B8831" t="str">
            <v>YZ-ZQ7777</v>
          </cell>
        </row>
        <row r="8832">
          <cell r="A8832" t="str">
            <v>YZ-ZQ7777R012</v>
          </cell>
          <cell r="B8832" t="str">
            <v>YZ-ZQ7777</v>
          </cell>
        </row>
        <row r="8833">
          <cell r="A8833" t="str">
            <v>YZ-ZQ7777R014</v>
          </cell>
          <cell r="B8833" t="str">
            <v>YZ-ZQ7777</v>
          </cell>
        </row>
        <row r="8834">
          <cell r="A8834" t="str">
            <v>YZ-ZQ7777R016</v>
          </cell>
          <cell r="B8834" t="str">
            <v>YZ-ZQ7777</v>
          </cell>
        </row>
        <row r="8835">
          <cell r="A8835" t="str">
            <v>YZ-ZQ7777R018</v>
          </cell>
          <cell r="B8835" t="str">
            <v>YZ-ZQ7777</v>
          </cell>
        </row>
        <row r="8836">
          <cell r="A8836" t="str">
            <v>YZ-ZQ7777R020</v>
          </cell>
          <cell r="B8836" t="str">
            <v>YZ-ZQ7777</v>
          </cell>
        </row>
        <row r="8837">
          <cell r="A8837" t="str">
            <v>YZ-ZQ789K02XL</v>
          </cell>
          <cell r="B8837" t="str">
            <v>YZ-ZQ789</v>
          </cell>
        </row>
        <row r="8838">
          <cell r="A8838" t="str">
            <v>YZ-ZQ789K03XL</v>
          </cell>
          <cell r="B8838" t="str">
            <v>YZ-ZQ789</v>
          </cell>
        </row>
        <row r="8839">
          <cell r="A8839" t="str">
            <v>YZ-ZQ789K04XL</v>
          </cell>
          <cell r="B8839" t="str">
            <v>YZ-ZQ789</v>
          </cell>
        </row>
        <row r="8840">
          <cell r="A8840" t="str">
            <v>YZ-ZQ789K05XL</v>
          </cell>
          <cell r="B8840" t="str">
            <v>YZ-ZQ789</v>
          </cell>
        </row>
        <row r="8841">
          <cell r="A8841" t="str">
            <v>YZ-ZQ789K0L</v>
          </cell>
          <cell r="B8841" t="str">
            <v>YZ-ZQ789</v>
          </cell>
        </row>
        <row r="8842">
          <cell r="A8842" t="str">
            <v>YZ-ZQ789K0XL</v>
          </cell>
          <cell r="B8842" t="str">
            <v>YZ-ZQ789</v>
          </cell>
        </row>
        <row r="8843">
          <cell r="A8843" t="str">
            <v>YZ-ZQ8639-W0-L</v>
          </cell>
          <cell r="B8843" t="str">
            <v>YZ-ZQ8639</v>
          </cell>
        </row>
        <row r="8844">
          <cell r="A8844" t="str">
            <v>YZ-ZQ8639-W0-M</v>
          </cell>
          <cell r="B8844" t="str">
            <v>YZ-ZQ8639</v>
          </cell>
        </row>
        <row r="8845">
          <cell r="A8845" t="str">
            <v>YZ-ZQ8639-W0-S</v>
          </cell>
          <cell r="B8845" t="str">
            <v>YZ-ZQ8639</v>
          </cell>
        </row>
        <row r="8846">
          <cell r="A8846" t="str">
            <v>YZ-ZQ8699-K0-2X</v>
          </cell>
          <cell r="B8846" t="str">
            <v>YZ-ZQ8699</v>
          </cell>
        </row>
        <row r="8847">
          <cell r="A8847" t="str">
            <v>YZ-ZQ8699-K0-2X-GM</v>
          </cell>
          <cell r="B8847" t="str">
            <v>YZ-ZQ8699</v>
          </cell>
        </row>
        <row r="8848">
          <cell r="A8848" t="str">
            <v>YZ-ZQ8699-K0-3X</v>
          </cell>
          <cell r="B8848" t="str">
            <v>YZ-ZQ8699</v>
          </cell>
        </row>
        <row r="8849">
          <cell r="A8849" t="str">
            <v>YZ-ZQ8699-K0-3X-GM</v>
          </cell>
          <cell r="B8849" t="str">
            <v>YZ-ZQ8699</v>
          </cell>
        </row>
        <row r="8850">
          <cell r="A8850" t="str">
            <v>YZ-ZQ8699-K0-L</v>
          </cell>
          <cell r="B8850" t="str">
            <v>YZ-ZQ8699</v>
          </cell>
        </row>
        <row r="8851">
          <cell r="A8851" t="str">
            <v>YZ-ZQ8699-K0-L-GM</v>
          </cell>
          <cell r="B8851" t="str">
            <v>YZ-ZQ8699</v>
          </cell>
        </row>
        <row r="8852">
          <cell r="A8852" t="str">
            <v>YZ-ZQ8699-K0-XL</v>
          </cell>
          <cell r="B8852" t="str">
            <v>YZ-ZQ8699</v>
          </cell>
        </row>
        <row r="8853">
          <cell r="A8853" t="str">
            <v>YZ-ZQ8867-B0-L</v>
          </cell>
          <cell r="B8853" t="str">
            <v>YZ-ZQ8867</v>
          </cell>
        </row>
        <row r="8854">
          <cell r="A8854" t="str">
            <v>YZ-ZQ8867-B0-M</v>
          </cell>
          <cell r="B8854" t="str">
            <v>YZ-ZQ8867</v>
          </cell>
        </row>
        <row r="8855">
          <cell r="A8855" t="str">
            <v>YZ-ZQ8867-B0-S</v>
          </cell>
          <cell r="B8855" t="str">
            <v>YZ-ZQ8867</v>
          </cell>
        </row>
        <row r="8856">
          <cell r="A8856" t="str">
            <v>YZ-ZQ8867-B0-XL</v>
          </cell>
          <cell r="B8856" t="str">
            <v>YZ-ZQ8867</v>
          </cell>
        </row>
        <row r="8857">
          <cell r="A8857" t="str">
            <v>YZ-ZQA100-B0-L</v>
          </cell>
          <cell r="B8857" t="str">
            <v>YZ-ZQA100</v>
          </cell>
        </row>
        <row r="8858">
          <cell r="A8858" t="str">
            <v>YZ-ZQA100-B0-M</v>
          </cell>
          <cell r="B8858" t="str">
            <v>YZ-ZQA100</v>
          </cell>
        </row>
        <row r="8859">
          <cell r="A8859" t="str">
            <v>YZ-ZQA100-B0-S</v>
          </cell>
          <cell r="B8859" t="str">
            <v>YZ-ZQA100</v>
          </cell>
        </row>
        <row r="8860">
          <cell r="A8860" t="str">
            <v>YZ-ZQA100-B0-XL</v>
          </cell>
          <cell r="B8860" t="str">
            <v>YZ-ZQA100</v>
          </cell>
        </row>
        <row r="8861">
          <cell r="A8861" t="str">
            <v>YZ-ZQA100-G0-2XL</v>
          </cell>
          <cell r="B8861" t="str">
            <v>YZ-ZQA100</v>
          </cell>
        </row>
        <row r="8862">
          <cell r="A8862" t="str">
            <v>YZ-ZQA100-G0-L</v>
          </cell>
          <cell r="B8862" t="str">
            <v>YZ-ZQA100</v>
          </cell>
        </row>
        <row r="8863">
          <cell r="A8863" t="str">
            <v>YZ-ZQA100-G0-M</v>
          </cell>
          <cell r="B8863" t="str">
            <v>YZ-ZQA100</v>
          </cell>
        </row>
        <row r="8864">
          <cell r="A8864" t="str">
            <v>YZ-ZQA100-G0-XL</v>
          </cell>
          <cell r="B8864" t="str">
            <v>YZ-ZQA100</v>
          </cell>
        </row>
        <row r="8865">
          <cell r="A8865" t="str">
            <v>YZ-ZQA10-B0-2XL</v>
          </cell>
          <cell r="B8865" t="str">
            <v>YZ-ZQA10</v>
          </cell>
        </row>
        <row r="8866">
          <cell r="A8866" t="str">
            <v>YZ-ZQA10-B0-3XL</v>
          </cell>
          <cell r="B8866" t="str">
            <v>YZ-ZQA10</v>
          </cell>
        </row>
        <row r="8867">
          <cell r="A8867" t="str">
            <v>YZ-ZQA10-B0-L</v>
          </cell>
          <cell r="B8867" t="str">
            <v>YZ-ZQA10</v>
          </cell>
        </row>
        <row r="8868">
          <cell r="A8868" t="str">
            <v>YZ-ZQA10-B0-XL</v>
          </cell>
          <cell r="B8868" t="str">
            <v>YZ-ZQA10</v>
          </cell>
        </row>
        <row r="8869">
          <cell r="A8869" t="str">
            <v>YZ-ZQA31-K0-L</v>
          </cell>
          <cell r="B8869" t="str">
            <v>YZ-ZQA31</v>
          </cell>
        </row>
        <row r="8870">
          <cell r="A8870" t="str">
            <v>YZ-ZQA31-K0-M</v>
          </cell>
          <cell r="B8870" t="str">
            <v>YZ-ZQA31</v>
          </cell>
        </row>
        <row r="8871">
          <cell r="A8871" t="str">
            <v>YZ-ZQA31-K0-XL</v>
          </cell>
          <cell r="B8871" t="str">
            <v>YZ-ZQA31</v>
          </cell>
        </row>
        <row r="8872">
          <cell r="A8872" t="str">
            <v>YZ-ZQA31-ZL-L</v>
          </cell>
          <cell r="B8872" t="str">
            <v>YZ-ZQA31</v>
          </cell>
        </row>
        <row r="8873">
          <cell r="A8873" t="str">
            <v>YZ-ZQA31-ZL-M</v>
          </cell>
          <cell r="B8873" t="str">
            <v>YZ-ZQA31</v>
          </cell>
        </row>
        <row r="8874">
          <cell r="A8874" t="str">
            <v>YZ-ZQA31-ZL-XL</v>
          </cell>
          <cell r="B8874" t="str">
            <v>YZ-ZQA31</v>
          </cell>
        </row>
        <row r="8875">
          <cell r="A8875" t="str">
            <v>YZ-ZQadn1601-B1-L</v>
          </cell>
          <cell r="B8875" t="str">
            <v>YZ-ZQadn1601</v>
          </cell>
        </row>
        <row r="8876">
          <cell r="A8876" t="str">
            <v>YZ-ZQadn1601-B1-M</v>
          </cell>
          <cell r="B8876" t="str">
            <v>YZ-ZQadn1601</v>
          </cell>
        </row>
        <row r="8877">
          <cell r="A8877" t="str">
            <v>YZ-ZQadn1601-B1-S</v>
          </cell>
          <cell r="B8877" t="str">
            <v>YZ-ZQadn1601</v>
          </cell>
        </row>
        <row r="8878">
          <cell r="A8878" t="str">
            <v>YZ-ZQadn1601-B1-XL</v>
          </cell>
          <cell r="B8878" t="str">
            <v>YZ-ZQadn1601</v>
          </cell>
        </row>
        <row r="8879">
          <cell r="A8879" t="str">
            <v>YZ-ZQBL03-B0-2XL</v>
          </cell>
          <cell r="B8879" t="str">
            <v>YZ-ZQBL03</v>
          </cell>
        </row>
        <row r="8880">
          <cell r="A8880" t="str">
            <v>YZ-ZQBL03-B0-3XL</v>
          </cell>
          <cell r="B8880" t="str">
            <v>YZ-ZQBL03</v>
          </cell>
        </row>
        <row r="8881">
          <cell r="A8881" t="str">
            <v>YZ-ZQBL03-B0-L</v>
          </cell>
          <cell r="B8881" t="str">
            <v>YZ-ZQBL03</v>
          </cell>
        </row>
        <row r="8882">
          <cell r="A8882" t="str">
            <v>YZ-ZQBL03-B0-M</v>
          </cell>
          <cell r="B8882" t="str">
            <v>YZ-ZQBL03</v>
          </cell>
        </row>
        <row r="8883">
          <cell r="A8883" t="str">
            <v>YZ-ZQBL03-B0-S</v>
          </cell>
          <cell r="B8883" t="str">
            <v>YZ-ZQBL03</v>
          </cell>
        </row>
        <row r="8884">
          <cell r="A8884" t="str">
            <v>YZ-ZQBL03-B0-XL</v>
          </cell>
          <cell r="B8884" t="str">
            <v>YZ-ZQBL03</v>
          </cell>
        </row>
        <row r="8885">
          <cell r="A8885" t="str">
            <v>YZ-ZQBL03-K0-2X</v>
          </cell>
          <cell r="B8885" t="str">
            <v>YZ-ZQBL03</v>
          </cell>
        </row>
        <row r="8886">
          <cell r="A8886" t="str">
            <v>YZ-ZQBL03-K0-3X</v>
          </cell>
          <cell r="B8886" t="str">
            <v>YZ-ZQBL03</v>
          </cell>
        </row>
        <row r="8887">
          <cell r="A8887" t="str">
            <v>YZ-ZQBL03-K0-L</v>
          </cell>
          <cell r="B8887" t="str">
            <v>YZ-ZQBL03</v>
          </cell>
        </row>
        <row r="8888">
          <cell r="A8888" t="str">
            <v>YZ-ZQBL03-K0-M</v>
          </cell>
          <cell r="B8888" t="str">
            <v>YZ-ZQBL03</v>
          </cell>
        </row>
        <row r="8889">
          <cell r="A8889" t="str">
            <v>YZ-ZQBL03-K0-S</v>
          </cell>
          <cell r="B8889" t="str">
            <v>YZ-ZQBL03</v>
          </cell>
        </row>
        <row r="8890">
          <cell r="A8890" t="str">
            <v>YZ-ZQBL03-K0-XL</v>
          </cell>
          <cell r="B8890" t="str">
            <v>YZ-ZQBL03</v>
          </cell>
        </row>
        <row r="8891">
          <cell r="A8891" t="str">
            <v>YZ-ZQBL03-R2-2XL</v>
          </cell>
          <cell r="B8891" t="str">
            <v>YZ-ZQBL03</v>
          </cell>
        </row>
        <row r="8892">
          <cell r="A8892" t="str">
            <v>YZ-ZQBL03-R2-3XL</v>
          </cell>
          <cell r="B8892" t="str">
            <v>YZ-ZQBL03</v>
          </cell>
        </row>
        <row r="8893">
          <cell r="A8893" t="str">
            <v>YZ-ZQBL03-R2-L</v>
          </cell>
          <cell r="B8893" t="str">
            <v>YZ-ZQBL03</v>
          </cell>
        </row>
        <row r="8894">
          <cell r="A8894" t="str">
            <v>YZ-ZQBL03-R2-M</v>
          </cell>
          <cell r="B8894" t="str">
            <v>YZ-ZQBL03</v>
          </cell>
        </row>
        <row r="8895">
          <cell r="A8895" t="str">
            <v>YZ-ZQBL03-R2-S</v>
          </cell>
          <cell r="B8895" t="str">
            <v>YZ-ZQBL03</v>
          </cell>
        </row>
        <row r="8896">
          <cell r="A8896" t="str">
            <v>YZ-ZQBL03-R2-XL</v>
          </cell>
          <cell r="B8896" t="str">
            <v>YZ-ZQBL03</v>
          </cell>
        </row>
        <row r="8897">
          <cell r="A8897" t="str">
            <v>YZ-ZQF5802B04XL</v>
          </cell>
          <cell r="B8897" t="str">
            <v>YZ-ZQF5802</v>
          </cell>
        </row>
        <row r="8898">
          <cell r="A8898" t="str">
            <v>YZ-ZQF5802B05XL</v>
          </cell>
          <cell r="B8898" t="str">
            <v>YZ-ZQF5802</v>
          </cell>
        </row>
        <row r="8899">
          <cell r="A8899" t="str">
            <v>YZ-ZQF5802G04XL</v>
          </cell>
          <cell r="B8899" t="str">
            <v>YZ-ZQF5802</v>
          </cell>
        </row>
        <row r="8900">
          <cell r="A8900" t="str">
            <v>YZ-ZQF5802G05XL</v>
          </cell>
          <cell r="B8900" t="str">
            <v>YZ-ZQF5802</v>
          </cell>
        </row>
        <row r="8901">
          <cell r="A8901" t="str">
            <v>YZ-ZQFT1816-O0-2X</v>
          </cell>
          <cell r="B8901" t="str">
            <v>YZ-ZQFT1816</v>
          </cell>
        </row>
        <row r="8902">
          <cell r="A8902" t="str">
            <v>YZ-ZQFT1816-O0-3X</v>
          </cell>
          <cell r="B8902" t="str">
            <v>YZ-ZQFT1816</v>
          </cell>
        </row>
        <row r="8903">
          <cell r="A8903" t="str">
            <v>YZ-ZQFT1816-O0-4X</v>
          </cell>
          <cell r="B8903" t="str">
            <v>YZ-ZQFT1816</v>
          </cell>
        </row>
        <row r="8904">
          <cell r="A8904" t="str">
            <v>YZ-ZQFT1816-O0-5X</v>
          </cell>
          <cell r="B8904" t="str">
            <v>YZ-ZQFT1816</v>
          </cell>
        </row>
        <row r="8905">
          <cell r="A8905" t="str">
            <v>YZ-ZQFT1816-O0-L</v>
          </cell>
          <cell r="B8905" t="str">
            <v>YZ-ZQFT1816</v>
          </cell>
        </row>
        <row r="8906">
          <cell r="A8906" t="str">
            <v>YZ-ZQFT1816-O0-M</v>
          </cell>
          <cell r="B8906" t="str">
            <v>YZ-ZQFT1816</v>
          </cell>
        </row>
        <row r="8907">
          <cell r="A8907" t="str">
            <v>YZ-ZQFT1816-O0-S</v>
          </cell>
          <cell r="B8907" t="str">
            <v>YZ-ZQFT1816</v>
          </cell>
        </row>
        <row r="8908">
          <cell r="A8908" t="str">
            <v>YZ-ZQFT1816-O0-XL</v>
          </cell>
          <cell r="B8908" t="str">
            <v>YZ-ZQFT1816</v>
          </cell>
        </row>
        <row r="8909">
          <cell r="A8909" t="str">
            <v>YZ-ZQFT1816-Y0-2X</v>
          </cell>
          <cell r="B8909" t="str">
            <v>YZ-ZQFT1816</v>
          </cell>
        </row>
        <row r="8910">
          <cell r="A8910" t="str">
            <v>YZ-ZQFT1816-Y0-3X</v>
          </cell>
          <cell r="B8910" t="str">
            <v>YZ-ZQFT1816</v>
          </cell>
        </row>
        <row r="8911">
          <cell r="A8911" t="str">
            <v>YZ-ZQFT1816-Y0-4X</v>
          </cell>
          <cell r="B8911" t="str">
            <v>YZ-ZQFT1816</v>
          </cell>
        </row>
        <row r="8912">
          <cell r="A8912" t="str">
            <v>YZ-ZQFT1816-Y0-5X</v>
          </cell>
          <cell r="B8912" t="str">
            <v>YZ-ZQFT1816</v>
          </cell>
        </row>
        <row r="8913">
          <cell r="A8913" t="str">
            <v>YZ-ZQFT1816-Y0-L</v>
          </cell>
          <cell r="B8913" t="str">
            <v>YZ-ZQFT1816</v>
          </cell>
        </row>
        <row r="8914">
          <cell r="A8914" t="str">
            <v>YZ-ZQFT1816-Y0-M</v>
          </cell>
          <cell r="B8914" t="str">
            <v>YZ-ZQFT1816</v>
          </cell>
        </row>
        <row r="8915">
          <cell r="A8915" t="str">
            <v>YZ-ZQFT1816-Y0-S</v>
          </cell>
          <cell r="B8915" t="str">
            <v>YZ-ZQFT1816</v>
          </cell>
        </row>
        <row r="8916">
          <cell r="A8916" t="str">
            <v>YZ-ZQFT1816-Y0-XL</v>
          </cell>
          <cell r="B8916" t="str">
            <v>YZ-ZQFT1816</v>
          </cell>
        </row>
        <row r="8917">
          <cell r="A8917" t="str">
            <v>YZ-ZQGB01-B0-2XL</v>
          </cell>
          <cell r="B8917" t="str">
            <v>YZ-ZQGB01</v>
          </cell>
        </row>
        <row r="8918">
          <cell r="A8918" t="str">
            <v>YZ-ZQGB01-B0-L</v>
          </cell>
          <cell r="B8918" t="str">
            <v>YZ-ZQGB01</v>
          </cell>
        </row>
        <row r="8919">
          <cell r="A8919" t="str">
            <v>YZ-ZQGB01-B0-M</v>
          </cell>
          <cell r="B8919" t="str">
            <v>YZ-ZQGB01</v>
          </cell>
        </row>
        <row r="8920">
          <cell r="A8920" t="str">
            <v>YZ-ZQGB01-B0-S</v>
          </cell>
          <cell r="B8920" t="str">
            <v>YZ-ZQGB01</v>
          </cell>
        </row>
        <row r="8921">
          <cell r="A8921" t="str">
            <v>YZ-ZQGB01-B0-XL</v>
          </cell>
          <cell r="B8921" t="str">
            <v>YZ-ZQGB01</v>
          </cell>
        </row>
        <row r="8922">
          <cell r="A8922" t="str">
            <v>YZ-ZQGB01-BD-2XL</v>
          </cell>
          <cell r="B8922" t="str">
            <v>YZ-ZQGB01</v>
          </cell>
        </row>
        <row r="8923">
          <cell r="A8923" t="str">
            <v>YZ-ZQGB01-BD-L</v>
          </cell>
          <cell r="B8923" t="str">
            <v>YZ-ZQGB01</v>
          </cell>
        </row>
        <row r="8924">
          <cell r="A8924" t="str">
            <v>YZ-ZQGB01-BD-M</v>
          </cell>
          <cell r="B8924" t="str">
            <v>YZ-ZQGB01</v>
          </cell>
        </row>
        <row r="8925">
          <cell r="A8925" t="str">
            <v>YZ-ZQGB01-BD-XL</v>
          </cell>
          <cell r="B8925" t="str">
            <v>YZ-ZQGB01</v>
          </cell>
        </row>
        <row r="8926">
          <cell r="A8926" t="str">
            <v>YZ-ZQGB01-K0-2XL</v>
          </cell>
          <cell r="B8926" t="str">
            <v>YZ-ZQGB01</v>
          </cell>
        </row>
        <row r="8927">
          <cell r="A8927" t="str">
            <v>YZ-ZQGB01-K0-L</v>
          </cell>
          <cell r="B8927" t="str">
            <v>YZ-ZQGB01</v>
          </cell>
        </row>
        <row r="8928">
          <cell r="A8928" t="str">
            <v>YZ-ZQGB01-K0-M</v>
          </cell>
          <cell r="B8928" t="str">
            <v>YZ-ZQGB01</v>
          </cell>
        </row>
        <row r="8929">
          <cell r="A8929" t="str">
            <v>YZ-ZQGB01-K0-XL</v>
          </cell>
          <cell r="B8929" t="str">
            <v>YZ-ZQGB01</v>
          </cell>
        </row>
        <row r="8930">
          <cell r="A8930" t="str">
            <v>YZ-ZQGB01-W0-2XL</v>
          </cell>
          <cell r="B8930" t="str">
            <v>YZ-ZQGB01</v>
          </cell>
        </row>
        <row r="8931">
          <cell r="A8931" t="str">
            <v>YZ-ZQGB01-W0-L</v>
          </cell>
          <cell r="B8931" t="str">
            <v>YZ-ZQGB01</v>
          </cell>
        </row>
        <row r="8932">
          <cell r="A8932" t="str">
            <v>YZ-ZQGB01-W0-M</v>
          </cell>
          <cell r="B8932" t="str">
            <v>YZ-ZQGB01</v>
          </cell>
        </row>
        <row r="8933">
          <cell r="A8933" t="str">
            <v>YZ-ZQGB01-W0-XL</v>
          </cell>
          <cell r="B8933" t="str">
            <v>YZ-ZQGB01</v>
          </cell>
        </row>
        <row r="8934">
          <cell r="A8934" t="str">
            <v>YZ-ZQGB01-Y0-2XL</v>
          </cell>
          <cell r="B8934" t="str">
            <v>YZ-ZQGB01</v>
          </cell>
        </row>
        <row r="8935">
          <cell r="A8935" t="str">
            <v>YZ-ZQGB01-Y0-M</v>
          </cell>
          <cell r="B8935" t="str">
            <v>YZ-ZQGB01</v>
          </cell>
        </row>
        <row r="8936">
          <cell r="A8936" t="str">
            <v>YZ-ZQGB01-Y0S</v>
          </cell>
          <cell r="B8936" t="str">
            <v>YZ-ZQGB01</v>
          </cell>
        </row>
        <row r="8937">
          <cell r="A8937" t="str">
            <v>YZ-ZQGB01-Y0-S</v>
          </cell>
          <cell r="B8937" t="str">
            <v>YZ-ZQGB01</v>
          </cell>
        </row>
        <row r="8938">
          <cell r="A8938" t="str">
            <v>YZ-ZQGB01-Y0-XL</v>
          </cell>
          <cell r="B8938" t="str">
            <v>YZ-ZQGB01</v>
          </cell>
        </row>
        <row r="8939">
          <cell r="A8939" t="str">
            <v>YZ-ZQGB02-B0-L</v>
          </cell>
          <cell r="B8939" t="str">
            <v>YZ-ZQGB02</v>
          </cell>
        </row>
        <row r="8940">
          <cell r="A8940" t="str">
            <v>YZ-ZQGB02-B0-M</v>
          </cell>
          <cell r="B8940" t="str">
            <v>YZ-ZQGB02</v>
          </cell>
        </row>
        <row r="8941">
          <cell r="A8941" t="str">
            <v>YZ-ZQGB02-B0-S</v>
          </cell>
          <cell r="B8941" t="str">
            <v>YZ-ZQGB02</v>
          </cell>
        </row>
        <row r="8942">
          <cell r="A8942" t="str">
            <v>YZ-ZQGB02-B0-XL</v>
          </cell>
          <cell r="B8942" t="str">
            <v>YZ-ZQGB02</v>
          </cell>
        </row>
        <row r="8943">
          <cell r="A8943" t="str">
            <v>YZ-ZQHL02-G0-L</v>
          </cell>
          <cell r="B8943" t="str">
            <v>YZ-ZQHL02</v>
          </cell>
        </row>
        <row r="8944">
          <cell r="A8944" t="str">
            <v>YZ-ZQHL02-G0-L-GM</v>
          </cell>
          <cell r="B8944" t="str">
            <v>YZ-ZQHL02</v>
          </cell>
        </row>
        <row r="8945">
          <cell r="A8945" t="str">
            <v>YZ-ZQHL02-G0-M</v>
          </cell>
          <cell r="B8945" t="str">
            <v>YZ-ZQHL02</v>
          </cell>
        </row>
        <row r="8946">
          <cell r="A8946" t="str">
            <v>YZ-ZQHL02-G0-M-GM</v>
          </cell>
          <cell r="B8946" t="str">
            <v>YZ-ZQHL02</v>
          </cell>
        </row>
        <row r="8947">
          <cell r="A8947" t="str">
            <v>YZ-ZQHL02-G0-S</v>
          </cell>
          <cell r="B8947" t="str">
            <v>YZ-ZQHL02</v>
          </cell>
        </row>
        <row r="8948">
          <cell r="A8948" t="str">
            <v>YZ-ZQHL02-G0-S-GM</v>
          </cell>
          <cell r="B8948" t="str">
            <v>YZ-ZQHL02</v>
          </cell>
        </row>
        <row r="8949">
          <cell r="A8949" t="str">
            <v>YZ-ZQHL02-G0-XL</v>
          </cell>
          <cell r="B8949" t="str">
            <v>YZ-ZQHL02</v>
          </cell>
        </row>
        <row r="8950">
          <cell r="A8950" t="str">
            <v>YZ-ZQLC18-BS-2X</v>
          </cell>
          <cell r="B8950" t="str">
            <v>YZ-ZQLC18</v>
          </cell>
        </row>
        <row r="8951">
          <cell r="A8951" t="str">
            <v>YZ-ZQLC18-BS-L</v>
          </cell>
          <cell r="B8951" t="str">
            <v>YZ-ZQLC18</v>
          </cell>
        </row>
        <row r="8952">
          <cell r="A8952" t="str">
            <v>YZ-ZQLC18-BS-XL</v>
          </cell>
          <cell r="B8952" t="str">
            <v>YZ-ZQLC18</v>
          </cell>
        </row>
        <row r="8953">
          <cell r="A8953" t="str">
            <v>YZ-ZQLC18-KS-2X</v>
          </cell>
          <cell r="B8953" t="str">
            <v>YZ-ZQLC18</v>
          </cell>
        </row>
        <row r="8954">
          <cell r="A8954" t="str">
            <v>YZ-ZQLC18-KS-XL</v>
          </cell>
          <cell r="B8954" t="str">
            <v>YZ-ZQLC18</v>
          </cell>
        </row>
        <row r="8955">
          <cell r="A8955" t="str">
            <v>YZ-ZQLS062-K0-2XL</v>
          </cell>
          <cell r="B8955" t="str">
            <v>YZ-ZQLS062</v>
          </cell>
        </row>
        <row r="8956">
          <cell r="A8956" t="str">
            <v>YZ-ZQLS062-K0-3XL</v>
          </cell>
          <cell r="B8956" t="str">
            <v>YZ-ZQLS062</v>
          </cell>
        </row>
        <row r="8957">
          <cell r="A8957" t="str">
            <v>YZ-ZQLS062-K0-L</v>
          </cell>
          <cell r="B8957" t="str">
            <v>YZ-ZQLS062</v>
          </cell>
        </row>
        <row r="8958">
          <cell r="A8958" t="str">
            <v>YZ-ZQLS062-K0-M</v>
          </cell>
          <cell r="B8958" t="str">
            <v>YZ-ZQLS062</v>
          </cell>
        </row>
        <row r="8959">
          <cell r="A8959" t="str">
            <v>YZ-ZQLS062-K0-S</v>
          </cell>
          <cell r="B8959" t="str">
            <v>YZ-ZQLS062</v>
          </cell>
        </row>
        <row r="8960">
          <cell r="A8960" t="str">
            <v>YZ-ZQLS062-K0-XL</v>
          </cell>
          <cell r="B8960" t="str">
            <v>YZ-ZQLS062</v>
          </cell>
        </row>
        <row r="8961">
          <cell r="A8961" t="str">
            <v>YZ-ZQLS1353-K0-2X</v>
          </cell>
          <cell r="B8961" t="str">
            <v>YZ-ZQLS1353</v>
          </cell>
        </row>
        <row r="8962">
          <cell r="A8962" t="str">
            <v>YZ-ZQLS1353-K0-3X</v>
          </cell>
          <cell r="B8962" t="str">
            <v>YZ-ZQLS1353</v>
          </cell>
        </row>
        <row r="8963">
          <cell r="A8963" t="str">
            <v>YZ-ZQLS1353-K0-XL</v>
          </cell>
          <cell r="B8963" t="str">
            <v>YZ-ZQLS1353</v>
          </cell>
        </row>
        <row r="8964">
          <cell r="A8964" t="str">
            <v>YZ-ZQMICAIK02XL</v>
          </cell>
          <cell r="B8964" t="str">
            <v>YZ-ZQMICAI</v>
          </cell>
        </row>
        <row r="8965">
          <cell r="A8965" t="str">
            <v>YZ-ZQMICAIK03XL</v>
          </cell>
          <cell r="B8965" t="str">
            <v>YZ-ZQMICAI</v>
          </cell>
        </row>
        <row r="8966">
          <cell r="A8966" t="str">
            <v>YZ-ZQMICAIK04XL</v>
          </cell>
          <cell r="B8966" t="str">
            <v>YZ-ZQMICAI</v>
          </cell>
        </row>
        <row r="8967">
          <cell r="A8967" t="str">
            <v>YZ-ZQMICAIK05XL</v>
          </cell>
          <cell r="B8967" t="str">
            <v>YZ-ZQMICAI</v>
          </cell>
        </row>
        <row r="8968">
          <cell r="A8968" t="str">
            <v>YZ-ZQMICAIK0L</v>
          </cell>
          <cell r="B8968" t="str">
            <v>YZ-ZQMICAI</v>
          </cell>
        </row>
        <row r="8969">
          <cell r="A8969" t="str">
            <v>YZ-ZQMICAIK0M</v>
          </cell>
          <cell r="B8969" t="str">
            <v>YZ-ZQMICAI</v>
          </cell>
        </row>
        <row r="8970">
          <cell r="A8970" t="str">
            <v>YZ-ZQMICAIK0XL</v>
          </cell>
          <cell r="B8970" t="str">
            <v>YZ-ZQMICAI</v>
          </cell>
        </row>
        <row r="8971">
          <cell r="A8971" t="str">
            <v>YZ-ZQMS02-K0-L</v>
          </cell>
          <cell r="B8971" t="str">
            <v>YZ-ZQMS02</v>
          </cell>
        </row>
        <row r="8972">
          <cell r="A8972" t="str">
            <v>YZ-ZQMS02-K0-M</v>
          </cell>
          <cell r="B8972" t="str">
            <v>YZ-ZQMS02</v>
          </cell>
        </row>
        <row r="8973">
          <cell r="A8973" t="str">
            <v>YZ-ZQMS02-K0-S</v>
          </cell>
          <cell r="B8973" t="str">
            <v>YZ-ZQMS02</v>
          </cell>
        </row>
        <row r="8974">
          <cell r="A8974" t="str">
            <v>YZ-ZQN9002-B0-3X</v>
          </cell>
          <cell r="B8974" t="str">
            <v>YZ-ZQN9002</v>
          </cell>
        </row>
        <row r="8975">
          <cell r="A8975" t="str">
            <v>YZ-ZQN9002-G0-2X</v>
          </cell>
          <cell r="B8975" t="str">
            <v>YZ-ZQN9002</v>
          </cell>
        </row>
        <row r="8976">
          <cell r="A8976" t="str">
            <v>YZ-ZQN9002-G0-4X</v>
          </cell>
          <cell r="B8976" t="str">
            <v>YZ-ZQN9002</v>
          </cell>
        </row>
        <row r="8977">
          <cell r="A8977" t="str">
            <v>YZ-ZQN9002-G0-5X</v>
          </cell>
          <cell r="B8977" t="str">
            <v>YZ-ZQN9002</v>
          </cell>
        </row>
        <row r="8978">
          <cell r="A8978" t="str">
            <v>YZ-ZQN9002-G0-L</v>
          </cell>
          <cell r="B8978" t="str">
            <v>YZ-ZQN9002</v>
          </cell>
        </row>
        <row r="8979">
          <cell r="A8979" t="str">
            <v>YZ-ZQN9002-G0-XL</v>
          </cell>
          <cell r="B8979" t="str">
            <v>YZ-ZQN9002</v>
          </cell>
        </row>
        <row r="8980">
          <cell r="A8980" t="str">
            <v>YZ-ZQN9002-ND-3X</v>
          </cell>
          <cell r="B8980" t="str">
            <v>YZ-ZQN9002</v>
          </cell>
        </row>
        <row r="8981">
          <cell r="A8981" t="str">
            <v>YZ-ZQN9002-ND-4X</v>
          </cell>
          <cell r="B8981" t="str">
            <v>YZ-ZQN9002</v>
          </cell>
        </row>
        <row r="8982">
          <cell r="A8982" t="str">
            <v>YZ-ZQN9002-ND-5X</v>
          </cell>
          <cell r="B8982" t="str">
            <v>YZ-ZQN9002</v>
          </cell>
        </row>
        <row r="8983">
          <cell r="A8983" t="str">
            <v>YZ-ZQN9002-TL-L</v>
          </cell>
          <cell r="B8983" t="str">
            <v>YZ-ZQN9002</v>
          </cell>
        </row>
        <row r="8984">
          <cell r="A8984" t="str">
            <v>YZ-ZQN9002-TL-XL</v>
          </cell>
          <cell r="B8984" t="str">
            <v>YZ-ZQN9002</v>
          </cell>
        </row>
        <row r="8985">
          <cell r="A8985" t="str">
            <v>YZ-ZQN9003-B0-2X</v>
          </cell>
          <cell r="B8985" t="str">
            <v>YZ-ZQN9003</v>
          </cell>
        </row>
        <row r="8986">
          <cell r="A8986" t="str">
            <v>YZ-ZQN9003-B0-4X</v>
          </cell>
          <cell r="B8986" t="str">
            <v>YZ-ZQN9003</v>
          </cell>
        </row>
        <row r="8987">
          <cell r="A8987" t="str">
            <v>YZ-ZQN9003-B0-L</v>
          </cell>
          <cell r="B8987" t="str">
            <v>YZ-ZQN9003</v>
          </cell>
        </row>
        <row r="8988">
          <cell r="A8988" t="str">
            <v>YZ-ZQN9003-B0-M</v>
          </cell>
          <cell r="B8988" t="str">
            <v>YZ-ZQN9003</v>
          </cell>
        </row>
        <row r="8989">
          <cell r="A8989" t="str">
            <v>YZ-ZQN9003-K0-4X</v>
          </cell>
          <cell r="B8989" t="str">
            <v>YZ-ZQN9003</v>
          </cell>
        </row>
        <row r="8990">
          <cell r="A8990" t="str">
            <v>YZ-ZQN9003-K0-L</v>
          </cell>
          <cell r="B8990" t="str">
            <v>YZ-ZQN9003</v>
          </cell>
        </row>
        <row r="8991">
          <cell r="A8991" t="str">
            <v>YZ-ZQN9003-ZL-4X</v>
          </cell>
          <cell r="B8991" t="str">
            <v>YZ-ZQN9003</v>
          </cell>
        </row>
        <row r="8992">
          <cell r="A8992" t="str">
            <v>YZ-ZQN9003-ZL-L</v>
          </cell>
          <cell r="B8992" t="str">
            <v>YZ-ZQN9003</v>
          </cell>
        </row>
        <row r="8993">
          <cell r="A8993" t="str">
            <v>YZ-ZQN9076-G3-2X</v>
          </cell>
          <cell r="B8993" t="str">
            <v>YZ-ZQN9076</v>
          </cell>
        </row>
        <row r="8994">
          <cell r="A8994" t="str">
            <v>YZ-ZQN9076-G3-3X</v>
          </cell>
          <cell r="B8994" t="str">
            <v>YZ-ZQN9076</v>
          </cell>
        </row>
        <row r="8995">
          <cell r="A8995" t="str">
            <v>YZ-ZQN9076-H1-3X</v>
          </cell>
          <cell r="B8995" t="str">
            <v>YZ-ZQN9076</v>
          </cell>
        </row>
        <row r="8996">
          <cell r="A8996" t="str">
            <v>YZ-ZQN9200-K0-2X</v>
          </cell>
          <cell r="B8996" t="str">
            <v>YZ-ZQN9200</v>
          </cell>
        </row>
        <row r="8997">
          <cell r="A8997" t="str">
            <v>YZ-ZQN9200-K0-3X</v>
          </cell>
          <cell r="B8997" t="str">
            <v>YZ-ZQN9200</v>
          </cell>
        </row>
        <row r="8998">
          <cell r="A8998" t="str">
            <v>YZ-ZQN9200-K0-4X</v>
          </cell>
          <cell r="B8998" t="str">
            <v>YZ-ZQN9200</v>
          </cell>
        </row>
        <row r="8999">
          <cell r="A8999" t="str">
            <v>YZ-ZQN9200-K0-L</v>
          </cell>
          <cell r="B8999" t="str">
            <v>YZ-ZQN9200</v>
          </cell>
        </row>
        <row r="9000">
          <cell r="A9000" t="str">
            <v>YZ-ZQN9200-K0-M</v>
          </cell>
          <cell r="B9000" t="str">
            <v>YZ-ZQN9200</v>
          </cell>
        </row>
        <row r="9001">
          <cell r="A9001" t="str">
            <v>YZ-ZQN9200-K0-XL</v>
          </cell>
          <cell r="B9001" t="str">
            <v>YZ-ZQN9200</v>
          </cell>
        </row>
        <row r="9002">
          <cell r="A9002" t="str">
            <v>YZ-ZQNA16121E02XL</v>
          </cell>
          <cell r="B9002" t="str">
            <v>YZ-ZQNA16121</v>
          </cell>
        </row>
        <row r="9003">
          <cell r="A9003" t="str">
            <v>YZ-ZQNA16121E03XL</v>
          </cell>
          <cell r="B9003" t="str">
            <v>YZ-ZQNA16121</v>
          </cell>
        </row>
        <row r="9004">
          <cell r="A9004" t="str">
            <v>YZ-ZQNA16121E0L</v>
          </cell>
          <cell r="B9004" t="str">
            <v>YZ-ZQNA16121</v>
          </cell>
        </row>
        <row r="9005">
          <cell r="A9005" t="str">
            <v>YZ-ZQNA16121E0XL</v>
          </cell>
          <cell r="B9005" t="str">
            <v>YZ-ZQNA16121</v>
          </cell>
        </row>
        <row r="9006">
          <cell r="A9006" t="str">
            <v>YZ-ZQNA16121R02XL</v>
          </cell>
          <cell r="B9006" t="str">
            <v>YZ-ZQNA16121</v>
          </cell>
        </row>
        <row r="9007">
          <cell r="A9007" t="str">
            <v>YZ-ZQNA16121R03XL</v>
          </cell>
          <cell r="B9007" t="str">
            <v>YZ-ZQNA16121</v>
          </cell>
        </row>
        <row r="9008">
          <cell r="A9008" t="str">
            <v>YZ-ZQNA16121R0L</v>
          </cell>
          <cell r="B9008" t="str">
            <v>YZ-ZQNA16121</v>
          </cell>
        </row>
        <row r="9009">
          <cell r="A9009" t="str">
            <v>YZ-ZQNA16121R0XL</v>
          </cell>
          <cell r="B9009" t="str">
            <v>YZ-ZQNA16121</v>
          </cell>
        </row>
        <row r="9010">
          <cell r="A9010" t="str">
            <v>YZ-ZQNA161244-Y0-2XL</v>
          </cell>
          <cell r="B9010" t="str">
            <v>YZ-ZQNA16124</v>
          </cell>
        </row>
        <row r="9011">
          <cell r="A9011" t="str">
            <v>YZ-ZQNA161244-Y0-L</v>
          </cell>
          <cell r="B9011" t="str">
            <v>YZ-ZQNA16124</v>
          </cell>
        </row>
        <row r="9012">
          <cell r="A9012" t="str">
            <v>YZ-ZQNA161244-Y0-XL</v>
          </cell>
          <cell r="B9012" t="str">
            <v>YZ-ZQNA16124</v>
          </cell>
        </row>
        <row r="9013">
          <cell r="A9013" t="str">
            <v>YZ-ZQOM388-K0-2XL</v>
          </cell>
          <cell r="B9013" t="str">
            <v>YZ-ZQOM388</v>
          </cell>
        </row>
        <row r="9014">
          <cell r="A9014" t="str">
            <v>YZ-ZQOM388-K0-L</v>
          </cell>
          <cell r="B9014" t="str">
            <v>YZ-ZQOM388</v>
          </cell>
        </row>
        <row r="9015">
          <cell r="A9015" t="str">
            <v>YZ-ZQOM388-K0-M</v>
          </cell>
          <cell r="B9015" t="str">
            <v>YZ-ZQOM388</v>
          </cell>
        </row>
        <row r="9016">
          <cell r="A9016" t="str">
            <v>YZ-ZQOM388-K0-S</v>
          </cell>
          <cell r="B9016" t="str">
            <v>YZ-ZQOM388</v>
          </cell>
        </row>
        <row r="9017">
          <cell r="A9017" t="str">
            <v>YZ-ZQOM388-K0-XL</v>
          </cell>
          <cell r="B9017" t="str">
            <v>YZ-ZQOM388</v>
          </cell>
        </row>
        <row r="9018">
          <cell r="A9018" t="str">
            <v>YZ-ZQOM388-W0-2XL</v>
          </cell>
          <cell r="B9018" t="str">
            <v>YZ-ZQOM388</v>
          </cell>
        </row>
        <row r="9019">
          <cell r="A9019" t="str">
            <v>YZ-ZQOM388-W0-L</v>
          </cell>
          <cell r="B9019" t="str">
            <v>YZ-ZQOM388</v>
          </cell>
        </row>
        <row r="9020">
          <cell r="A9020" t="str">
            <v>YZ-ZQOM388-W0-M</v>
          </cell>
          <cell r="B9020" t="str">
            <v>YZ-ZQOM388</v>
          </cell>
        </row>
        <row r="9021">
          <cell r="A9021" t="str">
            <v>YZ-ZQOM388-W0-S</v>
          </cell>
          <cell r="B9021" t="str">
            <v>YZ-ZQOM388</v>
          </cell>
        </row>
        <row r="9022">
          <cell r="A9022" t="str">
            <v>YZ-ZQOM388-W0-XL</v>
          </cell>
          <cell r="B9022" t="str">
            <v>YZ-ZQOM388</v>
          </cell>
        </row>
        <row r="9023">
          <cell r="A9023" t="str">
            <v>YZ-ZQQ9217-K0-2X</v>
          </cell>
          <cell r="B9023" t="str">
            <v>YZ-ZQQ9217</v>
          </cell>
        </row>
        <row r="9024">
          <cell r="A9024" t="str">
            <v>YZ-ZQQ9217-K0-2X-GM</v>
          </cell>
          <cell r="B9024" t="str">
            <v>YZ-ZQQ9217</v>
          </cell>
        </row>
        <row r="9025">
          <cell r="A9025" t="str">
            <v>YZ-ZQQ9217-K0-3X</v>
          </cell>
          <cell r="B9025" t="str">
            <v>YZ-ZQQ9217</v>
          </cell>
        </row>
        <row r="9026">
          <cell r="A9026" t="str">
            <v>YZ-ZQQ9217-K0-4X</v>
          </cell>
          <cell r="B9026" t="str">
            <v>YZ-ZQQ9217</v>
          </cell>
        </row>
        <row r="9027">
          <cell r="A9027" t="str">
            <v>YZ-ZQQ9217-K0-4X-GM</v>
          </cell>
          <cell r="B9027" t="str">
            <v>YZ-ZQQ9217</v>
          </cell>
        </row>
        <row r="9028">
          <cell r="A9028" t="str">
            <v>YZ-ZQQ9217-K0-5X</v>
          </cell>
          <cell r="B9028" t="str">
            <v>YZ-ZQQ9217</v>
          </cell>
        </row>
        <row r="9029">
          <cell r="A9029" t="str">
            <v>YZ-ZQQ9217-K0-5X-GM</v>
          </cell>
          <cell r="B9029" t="str">
            <v>YZ-ZQQ9217</v>
          </cell>
        </row>
        <row r="9030">
          <cell r="A9030" t="str">
            <v>YZ-ZQQ9217-K0-L</v>
          </cell>
          <cell r="B9030" t="str">
            <v>YZ-ZQQ9217</v>
          </cell>
        </row>
        <row r="9031">
          <cell r="A9031" t="str">
            <v>YZ-ZQQ9217-K0-M</v>
          </cell>
          <cell r="B9031" t="str">
            <v>YZ-ZQQ9217</v>
          </cell>
        </row>
        <row r="9032">
          <cell r="A9032" t="str">
            <v>YZ-ZQQ9217-K0-S</v>
          </cell>
          <cell r="B9032" t="str">
            <v>YZ-ZQQ9217</v>
          </cell>
        </row>
        <row r="9033">
          <cell r="A9033" t="str">
            <v>YZ-ZQQ9217-K0-XL</v>
          </cell>
          <cell r="B9033" t="str">
            <v>YZ-ZQQ9217</v>
          </cell>
        </row>
        <row r="9034">
          <cell r="A9034" t="str">
            <v>YZ-ZQQ9217-K0-XL-GM</v>
          </cell>
          <cell r="B9034" t="str">
            <v>YZ-ZQQ9217</v>
          </cell>
        </row>
        <row r="9035">
          <cell r="A9035" t="str">
            <v>YZ-ZQQ9227-K0-2X</v>
          </cell>
          <cell r="B9035" t="str">
            <v>YZ-ZQQ9227</v>
          </cell>
        </row>
        <row r="9036">
          <cell r="A9036" t="str">
            <v>YZ-ZQQ9227-K0-3X</v>
          </cell>
          <cell r="B9036" t="str">
            <v>YZ-ZQQ9227</v>
          </cell>
        </row>
        <row r="9037">
          <cell r="A9037" t="str">
            <v>YZ-ZQQ9227-K0-4X</v>
          </cell>
          <cell r="B9037" t="str">
            <v>YZ-ZQQ9227</v>
          </cell>
        </row>
        <row r="9038">
          <cell r="A9038" t="str">
            <v>YZ-ZQQ9227-K0-5X</v>
          </cell>
          <cell r="B9038" t="str">
            <v>YZ-ZQQ9227</v>
          </cell>
        </row>
        <row r="9039">
          <cell r="A9039" t="str">
            <v>YZ-ZQQ9227-K0-L</v>
          </cell>
          <cell r="B9039" t="str">
            <v>YZ-ZQQ9227</v>
          </cell>
        </row>
        <row r="9040">
          <cell r="A9040" t="str">
            <v>YZ-ZQQ9227-K0-M</v>
          </cell>
          <cell r="B9040" t="str">
            <v>YZ-ZQQ9227</v>
          </cell>
        </row>
        <row r="9041">
          <cell r="A9041" t="str">
            <v>YZ-ZQQ9227-K0-S</v>
          </cell>
          <cell r="B9041" t="str">
            <v>YZ-ZQQ9227</v>
          </cell>
        </row>
        <row r="9042">
          <cell r="A9042" t="str">
            <v>YZ-ZQQ9227-K0-XL</v>
          </cell>
          <cell r="B9042" t="str">
            <v>YZ-ZQQ9227</v>
          </cell>
        </row>
        <row r="9043">
          <cell r="A9043" t="str">
            <v>YZ-ZQSG16116-K0-2XL</v>
          </cell>
          <cell r="B9043" t="str">
            <v>YZ-ZQSG16116</v>
          </cell>
        </row>
        <row r="9044">
          <cell r="A9044" t="str">
            <v>YZ-ZQSG16116-K0-3XL</v>
          </cell>
          <cell r="B9044" t="str">
            <v>YZ-ZQSG16116</v>
          </cell>
        </row>
        <row r="9045">
          <cell r="A9045" t="str">
            <v>YZ-ZQSG16116-K0-L</v>
          </cell>
          <cell r="B9045" t="str">
            <v>YZ-ZQSG16116</v>
          </cell>
        </row>
        <row r="9046">
          <cell r="A9046" t="str">
            <v>YZ-ZQSG16116-K0-XL</v>
          </cell>
          <cell r="B9046" t="str">
            <v>YZ-ZQSG16116</v>
          </cell>
        </row>
        <row r="9047">
          <cell r="A9047" t="str">
            <v>YZ-ZQSG16121E02XL</v>
          </cell>
          <cell r="B9047" t="str">
            <v>YZ-ZQSG16121</v>
          </cell>
        </row>
        <row r="9048">
          <cell r="A9048" t="str">
            <v>YZ-ZQSG16121E03XL</v>
          </cell>
          <cell r="B9048" t="str">
            <v>YZ-ZQSG16121</v>
          </cell>
        </row>
        <row r="9049">
          <cell r="A9049" t="str">
            <v>YZ-ZQSG16121E0L</v>
          </cell>
          <cell r="B9049" t="str">
            <v>YZ-ZQSG16121</v>
          </cell>
        </row>
        <row r="9050">
          <cell r="A9050" t="str">
            <v>YZ-ZQSG16121E0XL</v>
          </cell>
          <cell r="B9050" t="str">
            <v>YZ-ZQSG16121</v>
          </cell>
        </row>
        <row r="9051">
          <cell r="A9051" t="str">
            <v>YZ-ZQSG16121R02XL</v>
          </cell>
          <cell r="B9051" t="str">
            <v>YZ-ZQSG16121</v>
          </cell>
        </row>
        <row r="9052">
          <cell r="A9052" t="str">
            <v>YZ-ZQSG16121R03XL</v>
          </cell>
          <cell r="B9052" t="str">
            <v>YZ-ZQSG16121</v>
          </cell>
        </row>
        <row r="9053">
          <cell r="A9053" t="str">
            <v>YZ-ZQSG16121R0L</v>
          </cell>
          <cell r="B9053" t="str">
            <v>YZ-ZQSG16121</v>
          </cell>
        </row>
        <row r="9054">
          <cell r="A9054" t="str">
            <v>YZ-ZQSG16121R0XL</v>
          </cell>
          <cell r="B9054" t="str">
            <v>YZ-ZQSG16121</v>
          </cell>
        </row>
        <row r="9055">
          <cell r="A9055" t="str">
            <v>YZ-ZQSG161244-Y0-2XL</v>
          </cell>
          <cell r="B9055" t="str">
            <v>YZ-ZQSG161244</v>
          </cell>
        </row>
        <row r="9056">
          <cell r="A9056" t="str">
            <v>YZ-ZQSG161244-Y0-3XL</v>
          </cell>
          <cell r="B9056" t="str">
            <v>YZ-ZQSG161244</v>
          </cell>
        </row>
        <row r="9057">
          <cell r="A9057" t="str">
            <v>YZ-ZQSG161244-Y0-L</v>
          </cell>
          <cell r="B9057" t="str">
            <v>YZ-ZQSG161244</v>
          </cell>
        </row>
        <row r="9058">
          <cell r="A9058" t="str">
            <v>YZ-ZQSG161244-Y0-XL</v>
          </cell>
          <cell r="B9058" t="str">
            <v>YZ-ZQSG161244</v>
          </cell>
        </row>
        <row r="9059">
          <cell r="A9059" t="str">
            <v>YZ-ZQSG16124Y02XL</v>
          </cell>
          <cell r="B9059" t="str">
            <v>YZ-ZQSG16124</v>
          </cell>
        </row>
        <row r="9060">
          <cell r="A9060" t="str">
            <v>YZ-ZQSG16124Y03XL</v>
          </cell>
          <cell r="B9060" t="str">
            <v>YZ-ZQSG16124</v>
          </cell>
        </row>
        <row r="9061">
          <cell r="A9061" t="str">
            <v>YZ-ZQSG16124Y0L</v>
          </cell>
          <cell r="B9061" t="str">
            <v>YZ-ZQSG16124</v>
          </cell>
        </row>
        <row r="9062">
          <cell r="A9062" t="str">
            <v>YZ-ZQSG16124Y0XL</v>
          </cell>
          <cell r="B9062" t="str">
            <v>YZ-ZQSG16124</v>
          </cell>
        </row>
        <row r="9063">
          <cell r="A9063" t="str">
            <v>YZ-ZQTWA1-K0-2X</v>
          </cell>
          <cell r="B9063" t="str">
            <v>YZ-ZQTWA1</v>
          </cell>
        </row>
        <row r="9064">
          <cell r="A9064" t="str">
            <v>YZ-ZQTWA1-K0-3X</v>
          </cell>
          <cell r="B9064" t="str">
            <v>YZ-ZQTWA1</v>
          </cell>
        </row>
        <row r="9065">
          <cell r="A9065" t="str">
            <v>YZ-ZQTWA1-K0-4X</v>
          </cell>
          <cell r="B9065" t="str">
            <v>YZ-ZQTWA1</v>
          </cell>
        </row>
        <row r="9066">
          <cell r="A9066" t="str">
            <v>YZ-ZQTWA1-K0-5X</v>
          </cell>
          <cell r="B9066" t="str">
            <v>YZ-ZQTWA1</v>
          </cell>
        </row>
        <row r="9067">
          <cell r="A9067" t="str">
            <v>YZ-ZQTWA1-K0-L</v>
          </cell>
          <cell r="B9067" t="str">
            <v>YZ-ZQTWA1</v>
          </cell>
        </row>
        <row r="9068">
          <cell r="A9068" t="str">
            <v>YZ-ZQTWA1-K0-M</v>
          </cell>
          <cell r="B9068" t="str">
            <v>YZ-ZQTWA1</v>
          </cell>
        </row>
        <row r="9069">
          <cell r="A9069" t="str">
            <v>YZ-ZQTWA1-K0-S</v>
          </cell>
          <cell r="B9069" t="str">
            <v>YZ-ZQTWA1</v>
          </cell>
        </row>
        <row r="9070">
          <cell r="A9070" t="str">
            <v>YZ-ZQTWA1-K0-XL</v>
          </cell>
          <cell r="B9070" t="str">
            <v>YZ-ZQTWA1</v>
          </cell>
        </row>
        <row r="9071">
          <cell r="A9071" t="str">
            <v>YZ-ZQXZ345-G0-L</v>
          </cell>
          <cell r="B9071" t="str">
            <v>YZ-ZQXZ345</v>
          </cell>
        </row>
        <row r="9072">
          <cell r="A9072" t="str">
            <v>YZ-ZQXZ345-G0-M</v>
          </cell>
          <cell r="B9072" t="str">
            <v>YZ-ZQXZ345</v>
          </cell>
        </row>
        <row r="9073">
          <cell r="A9073" t="str">
            <v>YZ-ZQXZ345-G0-S</v>
          </cell>
          <cell r="B9073" t="str">
            <v>YZ-ZQXZ345</v>
          </cell>
        </row>
        <row r="9074">
          <cell r="A9074" t="str">
            <v>YZ-ZQXZ345-G0-XL</v>
          </cell>
          <cell r="B9074" t="str">
            <v>YZ-ZQXZ345</v>
          </cell>
        </row>
        <row r="9075">
          <cell r="A9075" t="str">
            <v>YZ-ZQZY456-R0-L</v>
          </cell>
          <cell r="B9075" t="str">
            <v>YZ-ZQZY456</v>
          </cell>
        </row>
        <row r="9076">
          <cell r="A9076" t="str">
            <v>YZ-ZQZY456-R0-M</v>
          </cell>
          <cell r="B9076" t="str">
            <v>YZ-ZQZY456</v>
          </cell>
        </row>
        <row r="9077">
          <cell r="A9077" t="str">
            <v>YZ-ZQZY456-R0-S</v>
          </cell>
          <cell r="B9077" t="str">
            <v>YZ-ZQZY456</v>
          </cell>
        </row>
        <row r="9078">
          <cell r="A9078" t="str">
            <v>ZS-CF2112-BK-L</v>
          </cell>
          <cell r="B9078" t="str">
            <v>ZS-CF2112</v>
          </cell>
        </row>
        <row r="9079">
          <cell r="A9079" t="str">
            <v>ZS-CF2112-CO-M</v>
          </cell>
          <cell r="B9079" t="str">
            <v>ZS-CF2112</v>
          </cell>
        </row>
        <row r="9080">
          <cell r="A9080" t="str">
            <v>ZS-CF2112-CO-XL</v>
          </cell>
          <cell r="B9080" t="str">
            <v>ZS-CF2112</v>
          </cell>
        </row>
        <row r="9081">
          <cell r="A9081" t="str">
            <v>ZS-CF2112-OR-L</v>
          </cell>
          <cell r="B9081" t="str">
            <v>ZS-CF2112</v>
          </cell>
        </row>
        <row r="9082">
          <cell r="A9082" t="str">
            <v>ZS-JY2300-BL-JM</v>
          </cell>
          <cell r="B9082" t="str">
            <v>ZS-JY2300</v>
          </cell>
        </row>
        <row r="9083">
          <cell r="A9083" t="str">
            <v>ZS-JY2300-ZL-JM</v>
          </cell>
          <cell r="B9083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3408</v>
          </cell>
          <cell r="C2">
            <v>550</v>
          </cell>
          <cell r="D2">
            <v>324</v>
          </cell>
          <cell r="E2">
            <v>13</v>
          </cell>
          <cell r="F2">
            <v>337</v>
          </cell>
          <cell r="G2">
            <v>42</v>
          </cell>
          <cell r="H2">
            <v>62</v>
          </cell>
          <cell r="I2">
            <v>50</v>
          </cell>
          <cell r="J2">
            <v>942</v>
          </cell>
          <cell r="K2">
            <v>240</v>
          </cell>
          <cell r="L2">
            <v>499</v>
          </cell>
          <cell r="M2">
            <v>296</v>
          </cell>
        </row>
        <row r="3">
          <cell r="A3" t="str">
            <v>LYQ-HM1205-BR-M</v>
          </cell>
          <cell r="B3">
            <v>2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1</v>
          </cell>
          <cell r="J3">
            <v>3</v>
          </cell>
          <cell r="K3">
            <v>1</v>
          </cell>
          <cell r="L3">
            <v>0</v>
          </cell>
          <cell r="M3">
            <v>0</v>
          </cell>
        </row>
        <row r="4">
          <cell r="A4" t="str">
            <v>LYQ-HM1205-W0-S</v>
          </cell>
          <cell r="B4">
            <v>2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4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LYQ-ZQ1880-ZL-L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LYQ-ZQ3550-E0-5X</v>
          </cell>
          <cell r="B6">
            <v>0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2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LYQ-ZQ3550-PI-3X</v>
          </cell>
          <cell r="B7">
            <v>9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LYQ-ZQ3550-E0-3X</v>
          </cell>
          <cell r="B8">
            <v>0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LYQ-ZQ3550-E0-M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LYQ-ZQ3550-E0-2X</v>
          </cell>
          <cell r="B10">
            <v>2</v>
          </cell>
          <cell r="C10">
            <v>0</v>
          </cell>
          <cell r="D10">
            <v>5</v>
          </cell>
          <cell r="E10">
            <v>0</v>
          </cell>
          <cell r="F10">
            <v>5</v>
          </cell>
          <cell r="G10">
            <v>1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LYQ-ZQ3550-PI-5X</v>
          </cell>
          <cell r="B11">
            <v>7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LYQ-ZQD390-G0-S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1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YZ-CLD072-K0-XXL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1</v>
          </cell>
          <cell r="M13">
            <v>0</v>
          </cell>
        </row>
        <row r="14">
          <cell r="A14" t="str">
            <v>YZ-CLD072-K0-XL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YZ-HM111-K0-L</v>
          </cell>
          <cell r="B15">
            <v>32</v>
          </cell>
          <cell r="C15">
            <v>6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YZ-HM111-K0-XL</v>
          </cell>
          <cell r="B16">
            <v>53</v>
          </cell>
          <cell r="C16">
            <v>13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1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YZ-HM1727-Pi-M</v>
          </cell>
          <cell r="B17">
            <v>108</v>
          </cell>
          <cell r="C17">
            <v>56</v>
          </cell>
          <cell r="D17">
            <v>29</v>
          </cell>
          <cell r="E17">
            <v>0</v>
          </cell>
          <cell r="F17">
            <v>29</v>
          </cell>
          <cell r="G17">
            <v>2</v>
          </cell>
          <cell r="H17">
            <v>3</v>
          </cell>
          <cell r="I17">
            <v>1</v>
          </cell>
          <cell r="J17">
            <v>18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YZ-HM1728-ZL-M</v>
          </cell>
          <cell r="B18">
            <v>22</v>
          </cell>
          <cell r="C18">
            <v>5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YZ-HM1727-Pi-2XL</v>
          </cell>
          <cell r="B19">
            <v>31</v>
          </cell>
          <cell r="C19">
            <v>20</v>
          </cell>
          <cell r="D19">
            <v>25</v>
          </cell>
          <cell r="E19">
            <v>0</v>
          </cell>
          <cell r="F19">
            <v>25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YZ-HM1727-Pi-3XL</v>
          </cell>
          <cell r="B20">
            <v>2</v>
          </cell>
          <cell r="C20">
            <v>6</v>
          </cell>
          <cell r="D20">
            <v>30</v>
          </cell>
          <cell r="E20">
            <v>0</v>
          </cell>
          <cell r="F20">
            <v>30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YZ-HM1727-Pi-L</v>
          </cell>
          <cell r="B21">
            <v>80</v>
          </cell>
          <cell r="C21">
            <v>51</v>
          </cell>
          <cell r="D21">
            <v>0</v>
          </cell>
          <cell r="E21">
            <v>0</v>
          </cell>
          <cell r="F21">
            <v>0</v>
          </cell>
          <cell r="G21">
            <v>3</v>
          </cell>
          <cell r="H21">
            <v>3</v>
          </cell>
          <cell r="I21">
            <v>5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YZ-HM1727-Pi-XL</v>
          </cell>
          <cell r="B22">
            <v>134</v>
          </cell>
          <cell r="C22">
            <v>33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4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YZ-HM241-G0-L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0</v>
          </cell>
        </row>
        <row r="24">
          <cell r="A24" t="str">
            <v>YZ-HM17845-YH-XL</v>
          </cell>
          <cell r="B24">
            <v>1</v>
          </cell>
          <cell r="C24">
            <v>3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YZ-HM1728-ZL-L</v>
          </cell>
          <cell r="B25">
            <v>25</v>
          </cell>
          <cell r="C25">
            <v>5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YZ-HM1757-K0-S</v>
          </cell>
          <cell r="B26">
            <v>0</v>
          </cell>
          <cell r="C26">
            <v>1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YZ-HM1727-Pi-S</v>
          </cell>
          <cell r="B27">
            <v>38</v>
          </cell>
          <cell r="C27">
            <v>20</v>
          </cell>
          <cell r="D27">
            <v>31</v>
          </cell>
          <cell r="E27">
            <v>0</v>
          </cell>
          <cell r="F27">
            <v>31</v>
          </cell>
          <cell r="G27">
            <v>1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YZ-HM1727-Pi-5XL</v>
          </cell>
          <cell r="B28">
            <v>11</v>
          </cell>
          <cell r="C28">
            <v>2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YZ-HM2508-R0-M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1</v>
          </cell>
          <cell r="L29">
            <v>0</v>
          </cell>
          <cell r="M29">
            <v>0</v>
          </cell>
        </row>
        <row r="30">
          <cell r="A30" t="str">
            <v>YZ-HM241-ZL-XL</v>
          </cell>
          <cell r="B30">
            <v>6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0</v>
          </cell>
          <cell r="J30">
            <v>0</v>
          </cell>
          <cell r="K30">
            <v>1</v>
          </cell>
          <cell r="L30">
            <v>3</v>
          </cell>
          <cell r="M30">
            <v>0</v>
          </cell>
        </row>
        <row r="31">
          <cell r="A31" t="str">
            <v>YZ-HMBKN17015-OR-XL</v>
          </cell>
          <cell r="B31">
            <v>30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1</v>
          </cell>
          <cell r="J31">
            <v>1</v>
          </cell>
          <cell r="K31">
            <v>1</v>
          </cell>
          <cell r="L31">
            <v>27</v>
          </cell>
          <cell r="M31">
            <v>0</v>
          </cell>
        </row>
        <row r="32">
          <cell r="A32" t="str">
            <v>YZ-JY2526-R0-2XL</v>
          </cell>
          <cell r="B32">
            <v>15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2</v>
          </cell>
          <cell r="K32">
            <v>2</v>
          </cell>
          <cell r="L32">
            <v>9</v>
          </cell>
          <cell r="M32">
            <v>0</v>
          </cell>
        </row>
        <row r="33">
          <cell r="A33" t="str">
            <v>YZ-SUBL03-K0-L</v>
          </cell>
          <cell r="B33">
            <v>13</v>
          </cell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</v>
          </cell>
          <cell r="H33">
            <v>3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YZ-SUBL03-K0-S</v>
          </cell>
          <cell r="B34">
            <v>103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YZ-SUZQ388-W0-XS</v>
          </cell>
          <cell r="B35">
            <v>9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YZ-SUZQ388-W0-M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YZ-SUZQ388-W0-S</v>
          </cell>
          <cell r="B37">
            <v>2</v>
          </cell>
          <cell r="C37">
            <v>1</v>
          </cell>
          <cell r="D37">
            <v>5</v>
          </cell>
          <cell r="E37">
            <v>0</v>
          </cell>
          <cell r="F37">
            <v>5</v>
          </cell>
          <cell r="G37">
            <v>0</v>
          </cell>
          <cell r="H37">
            <v>0</v>
          </cell>
          <cell r="I37">
            <v>2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YZ-SUZQ388-W0-L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2</v>
          </cell>
          <cell r="I38">
            <v>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YZ-SUZQ388-K0-XL</v>
          </cell>
          <cell r="B39">
            <v>15</v>
          </cell>
          <cell r="C39">
            <v>2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YZ-SUZQ388-W0-XL</v>
          </cell>
          <cell r="B40">
            <v>11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YZ-SUZQ388-K0-L</v>
          </cell>
          <cell r="B41">
            <v>0</v>
          </cell>
          <cell r="C41">
            <v>3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YZ-SUZQ388-K0-M</v>
          </cell>
          <cell r="B42">
            <v>0</v>
          </cell>
          <cell r="C42">
            <v>10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YZ-SUZQBL03-B0-2X</v>
          </cell>
          <cell r="B43">
            <v>0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YZ-SUZQBL03-R2-3X</v>
          </cell>
          <cell r="B44">
            <v>0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YZ-SUZQBL03-K0-S</v>
          </cell>
          <cell r="B45">
            <v>0</v>
          </cell>
          <cell r="C45">
            <v>1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YZ-SUZQBL03-B0-XL</v>
          </cell>
          <cell r="B46">
            <v>0</v>
          </cell>
          <cell r="C46">
            <v>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YZ-ZQ1519-K0-5X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3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YZ-ZQ1521BFXL</v>
          </cell>
          <cell r="B48">
            <v>0</v>
          </cell>
          <cell r="C48">
            <v>0</v>
          </cell>
          <cell r="D48">
            <v>5</v>
          </cell>
          <cell r="E48">
            <v>0</v>
          </cell>
          <cell r="F48">
            <v>5</v>
          </cell>
          <cell r="G48">
            <v>1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YZ-ZQ1521GW4XL</v>
          </cell>
          <cell r="B49">
            <v>0</v>
          </cell>
          <cell r="C49">
            <v>0</v>
          </cell>
          <cell r="D49">
            <v>5</v>
          </cell>
          <cell r="E49">
            <v>0</v>
          </cell>
          <cell r="F49">
            <v>5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YZ-ZQ1521KF2XL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1</v>
          </cell>
          <cell r="H50">
            <v>0</v>
          </cell>
          <cell r="I50">
            <v>0</v>
          </cell>
          <cell r="J50">
            <v>5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YZ-ZQ1521RF2XL</v>
          </cell>
          <cell r="B51">
            <v>10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1</v>
          </cell>
          <cell r="H51">
            <v>0</v>
          </cell>
          <cell r="I51">
            <v>1</v>
          </cell>
          <cell r="J51">
            <v>1</v>
          </cell>
          <cell r="K51">
            <v>1</v>
          </cell>
          <cell r="L51">
            <v>0</v>
          </cell>
          <cell r="M51">
            <v>0</v>
          </cell>
        </row>
        <row r="52">
          <cell r="A52" t="str">
            <v>YZ-ZQ1521KF3XL</v>
          </cell>
          <cell r="B52">
            <v>2</v>
          </cell>
          <cell r="C52">
            <v>1</v>
          </cell>
          <cell r="D52">
            <v>0</v>
          </cell>
          <cell r="E52">
            <v>5</v>
          </cell>
          <cell r="F52">
            <v>5</v>
          </cell>
          <cell r="G52">
            <v>1</v>
          </cell>
          <cell r="H52">
            <v>0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YZ-ZQ1521WP5XL</v>
          </cell>
          <cell r="B53">
            <v>0</v>
          </cell>
          <cell r="C53">
            <v>1</v>
          </cell>
          <cell r="D53">
            <v>10</v>
          </cell>
          <cell r="E53">
            <v>0</v>
          </cell>
          <cell r="F53">
            <v>10</v>
          </cell>
          <cell r="G53">
            <v>1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YZ-ZQ1521KF5XL</v>
          </cell>
          <cell r="B54">
            <v>2</v>
          </cell>
          <cell r="C54">
            <v>5</v>
          </cell>
          <cell r="D54">
            <v>16</v>
          </cell>
          <cell r="E54">
            <v>0</v>
          </cell>
          <cell r="F54">
            <v>16</v>
          </cell>
          <cell r="G54">
            <v>0</v>
          </cell>
          <cell r="H54">
            <v>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YZ-ZQ1521GW2XL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1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YZ-ZQ1521RM5XL</v>
          </cell>
          <cell r="B56">
            <v>0</v>
          </cell>
          <cell r="C56">
            <v>3</v>
          </cell>
          <cell r="D56">
            <v>3</v>
          </cell>
          <cell r="E56">
            <v>0</v>
          </cell>
          <cell r="F56">
            <v>3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YZ-ZQ1521RFXL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0</v>
          </cell>
          <cell r="I57">
            <v>0</v>
          </cell>
          <cell r="J57">
            <v>3</v>
          </cell>
          <cell r="K57">
            <v>0</v>
          </cell>
          <cell r="L57">
            <v>1</v>
          </cell>
          <cell r="M57">
            <v>1</v>
          </cell>
        </row>
        <row r="58">
          <cell r="A58" t="str">
            <v>YZ-ZQ1521GF2XL</v>
          </cell>
          <cell r="B58">
            <v>3</v>
          </cell>
          <cell r="C58">
            <v>2</v>
          </cell>
          <cell r="D58">
            <v>0</v>
          </cell>
          <cell r="E58">
            <v>0</v>
          </cell>
          <cell r="F58">
            <v>0</v>
          </cell>
          <cell r="G58">
            <v>1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YZ-ZQ15827W0XL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1</v>
          </cell>
          <cell r="H59">
            <v>0</v>
          </cell>
          <cell r="I59">
            <v>0</v>
          </cell>
          <cell r="J59">
            <v>2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YZ-ZQ16598R0L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3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YZ-ZQBL03-B0-3XL</v>
          </cell>
          <cell r="B61">
            <v>8</v>
          </cell>
          <cell r="C61">
            <v>2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YZ-ZQ789K0XL</v>
          </cell>
          <cell r="B62">
            <v>8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1</v>
          </cell>
          <cell r="H62">
            <v>0</v>
          </cell>
          <cell r="I62">
            <v>0</v>
          </cell>
          <cell r="J62">
            <v>1</v>
          </cell>
          <cell r="K62">
            <v>0</v>
          </cell>
          <cell r="L62">
            <v>1</v>
          </cell>
          <cell r="M62">
            <v>6</v>
          </cell>
        </row>
        <row r="63">
          <cell r="A63" t="str">
            <v>YZ-ZQBL03-B0-2XL</v>
          </cell>
          <cell r="B63">
            <v>8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YZ-ZQ789K05XL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</v>
          </cell>
          <cell r="H64">
            <v>0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2</v>
          </cell>
        </row>
        <row r="65">
          <cell r="A65" t="str">
            <v>YZ-ZQ789K04XL</v>
          </cell>
          <cell r="B65">
            <v>2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1</v>
          </cell>
          <cell r="K65">
            <v>0</v>
          </cell>
          <cell r="L65">
            <v>1</v>
          </cell>
          <cell r="M65">
            <v>0</v>
          </cell>
        </row>
        <row r="66">
          <cell r="A66" t="str">
            <v>YZ-ZQBL03-R2-2XL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2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YZ-ZQBL03-K0-XL</v>
          </cell>
          <cell r="B67">
            <v>0</v>
          </cell>
          <cell r="C67">
            <v>14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YZ-ZQFT1816-O0-L</v>
          </cell>
          <cell r="B68">
            <v>0</v>
          </cell>
          <cell r="C68">
            <v>4</v>
          </cell>
          <cell r="D68">
            <v>15</v>
          </cell>
          <cell r="E68">
            <v>0</v>
          </cell>
          <cell r="F68">
            <v>15</v>
          </cell>
          <cell r="G68">
            <v>0</v>
          </cell>
          <cell r="H68">
            <v>2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YZ-ZQFT1816-Y0-M</v>
          </cell>
          <cell r="B69">
            <v>9</v>
          </cell>
          <cell r="C69">
            <v>2</v>
          </cell>
          <cell r="D69">
            <v>5</v>
          </cell>
          <cell r="E69">
            <v>0</v>
          </cell>
          <cell r="F69">
            <v>5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YZ-ZQBL03-K0-S</v>
          </cell>
          <cell r="B70">
            <v>0</v>
          </cell>
          <cell r="C70">
            <v>5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YZ-ZQBL03-B0-S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YZ-ZQBL03-K0-3X</v>
          </cell>
          <cell r="B72">
            <v>7</v>
          </cell>
          <cell r="C72">
            <v>2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YZ-ZQBL03-R2-S</v>
          </cell>
          <cell r="B73">
            <v>1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YZ-ZQBL03-K0-M</v>
          </cell>
          <cell r="B74">
            <v>1</v>
          </cell>
          <cell r="C74">
            <v>21</v>
          </cell>
          <cell r="D74">
            <v>0</v>
          </cell>
          <cell r="E74">
            <v>0</v>
          </cell>
          <cell r="F74">
            <v>0</v>
          </cell>
          <cell r="G74">
            <v>3</v>
          </cell>
          <cell r="H74">
            <v>3</v>
          </cell>
          <cell r="I74">
            <v>2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YZ-ZQBL03-K0-L</v>
          </cell>
          <cell r="B75">
            <v>0</v>
          </cell>
          <cell r="C75">
            <v>18</v>
          </cell>
          <cell r="D75">
            <v>0</v>
          </cell>
          <cell r="E75">
            <v>0</v>
          </cell>
          <cell r="F75">
            <v>0</v>
          </cell>
          <cell r="G75">
            <v>2</v>
          </cell>
          <cell r="H75">
            <v>1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YZ-ZQMICAIK02XL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2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YZ-ZQBL03-R2-XL</v>
          </cell>
          <cell r="B77">
            <v>1</v>
          </cell>
          <cell r="C77">
            <v>3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2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YZ-ZQBL03-K0-2X</v>
          </cell>
          <cell r="B78">
            <v>17</v>
          </cell>
          <cell r="C78">
            <v>15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YZ-ZQBL03-R2-3XL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YZ-ZQFT1816-O0-5X</v>
          </cell>
          <cell r="B80">
            <v>2</v>
          </cell>
          <cell r="C80">
            <v>1</v>
          </cell>
          <cell r="D80">
            <v>3</v>
          </cell>
          <cell r="E80">
            <v>0</v>
          </cell>
          <cell r="F80">
            <v>3</v>
          </cell>
          <cell r="G80">
            <v>0</v>
          </cell>
          <cell r="H80">
            <v>0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YZ-ZQFT1816-Y0-4X</v>
          </cell>
          <cell r="B81">
            <v>0</v>
          </cell>
          <cell r="C81">
            <v>2</v>
          </cell>
          <cell r="D81">
            <v>6</v>
          </cell>
          <cell r="E81">
            <v>0</v>
          </cell>
          <cell r="F81">
            <v>6</v>
          </cell>
          <cell r="G81">
            <v>0</v>
          </cell>
          <cell r="H81">
            <v>2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YZ-ZQFT1816-O0-3X</v>
          </cell>
          <cell r="B82">
            <v>6</v>
          </cell>
          <cell r="C82">
            <v>2</v>
          </cell>
          <cell r="D82">
            <v>3</v>
          </cell>
          <cell r="E82">
            <v>0</v>
          </cell>
          <cell r="F82">
            <v>3</v>
          </cell>
          <cell r="G82">
            <v>0</v>
          </cell>
          <cell r="H82">
            <v>1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YZ-ZQQ9227-K0-2X</v>
          </cell>
          <cell r="B83">
            <v>2</v>
          </cell>
          <cell r="C83">
            <v>3</v>
          </cell>
          <cell r="D83">
            <v>0</v>
          </cell>
          <cell r="E83">
            <v>1</v>
          </cell>
          <cell r="F83">
            <v>1</v>
          </cell>
          <cell r="G83">
            <v>1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YZ-ZQSG16121E02XL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YZ-ZQQ9217-K0-3X</v>
          </cell>
          <cell r="B85">
            <v>2</v>
          </cell>
          <cell r="C85">
            <v>3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YZ-HM688-K0-L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3</v>
          </cell>
        </row>
        <row r="87">
          <cell r="A87" t="str">
            <v>YZ-HM17845-YH-M</v>
          </cell>
          <cell r="B87">
            <v>8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</v>
          </cell>
          <cell r="K87">
            <v>1</v>
          </cell>
          <cell r="L87">
            <v>0</v>
          </cell>
          <cell r="M87">
            <v>0</v>
          </cell>
        </row>
        <row r="88">
          <cell r="A88" t="str">
            <v>YZ-ZQ6189G046</v>
          </cell>
          <cell r="B88">
            <v>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5</v>
          </cell>
        </row>
        <row r="89">
          <cell r="A89" t="str">
            <v>YZ-ZQ15827W05XL</v>
          </cell>
          <cell r="B89">
            <v>7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3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LYQ-ZQPC01-P0-S</v>
          </cell>
          <cell r="B90">
            <v>3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3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LYQ-LY064-K0-4XL</v>
          </cell>
          <cell r="B91">
            <v>3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2</v>
          </cell>
          <cell r="M91">
            <v>0</v>
          </cell>
        </row>
        <row r="92">
          <cell r="A92" t="str">
            <v>YZ-ZQadn1601-B1-XL</v>
          </cell>
          <cell r="B92">
            <v>5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4</v>
          </cell>
          <cell r="M92">
            <v>0</v>
          </cell>
        </row>
        <row r="93">
          <cell r="A93" t="str">
            <v>LYQ-ZQ2973-W1-S</v>
          </cell>
          <cell r="B93">
            <v>11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9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YZ-CFAM005-LABUGR-S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1</v>
          </cell>
        </row>
        <row r="95">
          <cell r="A95" t="str">
            <v>LYQ-ZQ2973-KQ-S</v>
          </cell>
          <cell r="B95">
            <v>8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8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LYQ-1001-P0-XS</v>
          </cell>
          <cell r="B96">
            <v>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4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YZ-ZQ17986W0-S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YZ-JY5694-K0-L</v>
          </cell>
          <cell r="B98">
            <v>5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2</v>
          </cell>
        </row>
        <row r="99">
          <cell r="A99" t="str">
            <v>YZ-HM5263-R0-S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2</v>
          </cell>
          <cell r="M99">
            <v>0</v>
          </cell>
        </row>
        <row r="100">
          <cell r="A100" t="str">
            <v>YZ-ZQ19758-K0-L</v>
          </cell>
          <cell r="B100">
            <v>10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1</v>
          </cell>
          <cell r="L100">
            <v>7</v>
          </cell>
          <cell r="M100">
            <v>0</v>
          </cell>
        </row>
        <row r="101">
          <cell r="A101" t="str">
            <v>LYQ-ZQ3550-PI-XL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YZ-HM5263-R0-L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1</v>
          </cell>
          <cell r="M102">
            <v>0</v>
          </cell>
        </row>
        <row r="103">
          <cell r="A103" t="str">
            <v>YZ-SUZQ187-K0-3X</v>
          </cell>
          <cell r="B103">
            <v>7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YZ-ZQ15827W0L</v>
          </cell>
          <cell r="B104">
            <v>6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6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LYQ-CSM048-G0-S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A106" t="str">
            <v>YZ-ZQ7777R012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1</v>
          </cell>
        </row>
        <row r="107">
          <cell r="A107" t="str">
            <v>YZ-ZQ1617K0XL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LYQ-ZQ2973-E0-S</v>
          </cell>
          <cell r="B108">
            <v>8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YZ-ZQ6189G052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4</v>
          </cell>
        </row>
        <row r="110">
          <cell r="A110" t="str">
            <v>YZ-HM7035-DJG0-M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LYQ-ZQ1117-G7-L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5</v>
          </cell>
          <cell r="L111">
            <v>0</v>
          </cell>
          <cell r="M111">
            <v>0</v>
          </cell>
        </row>
        <row r="112">
          <cell r="A112" t="str">
            <v>LYQ-1001-B0-M</v>
          </cell>
          <cell r="B112">
            <v>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7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YZ-HM17077-PI-L</v>
          </cell>
          <cell r="B113">
            <v>4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3</v>
          </cell>
          <cell r="M113">
            <v>0</v>
          </cell>
        </row>
        <row r="114">
          <cell r="A114" t="str">
            <v>YZ-HM241-ZL-S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YZ-SUZQBL03-K0-3X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YZ-HMBKN30-K0YH-M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2</v>
          </cell>
        </row>
        <row r="117">
          <cell r="A117" t="str">
            <v>YZ-HM5263-W0-L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1</v>
          </cell>
        </row>
        <row r="118">
          <cell r="A118" t="str">
            <v>YZ-HMBKN30-B0YH-S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1</v>
          </cell>
        </row>
        <row r="119">
          <cell r="A119" t="str">
            <v>YZ-HM241-DS-L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1</v>
          </cell>
          <cell r="M119">
            <v>0</v>
          </cell>
        </row>
        <row r="120">
          <cell r="A120" t="str">
            <v>YZ-HMBKN30-K0YH-L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1</v>
          </cell>
        </row>
        <row r="121">
          <cell r="A121" t="str">
            <v>YZ-ZQ15827R2S</v>
          </cell>
          <cell r="B121">
            <v>9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5</v>
          </cell>
          <cell r="K121">
            <v>0</v>
          </cell>
          <cell r="L121">
            <v>1</v>
          </cell>
          <cell r="M121">
            <v>3</v>
          </cell>
        </row>
        <row r="122">
          <cell r="A122" t="str">
            <v>YZ-ZQ1733-SB-XL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2</v>
          </cell>
          <cell r="M122">
            <v>0</v>
          </cell>
        </row>
        <row r="123">
          <cell r="A123" t="str">
            <v>YZ-ZQ1733-K0-XL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YZ-HM7889-B0-1X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3</v>
          </cell>
        </row>
        <row r="125">
          <cell r="A125" t="str">
            <v>MZ-JY1616-KH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4</v>
          </cell>
          <cell r="L125">
            <v>0</v>
          </cell>
          <cell r="M125">
            <v>0</v>
          </cell>
        </row>
        <row r="126">
          <cell r="A126" t="str">
            <v>LYQ-1001-R0-XS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2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YZ-CLNK78-K0-M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3</v>
          </cell>
          <cell r="M127">
            <v>0</v>
          </cell>
        </row>
        <row r="128">
          <cell r="A128" t="str">
            <v>YZ-ZQ1733-NB-2XL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YZ-ZQ1521RM2XL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</v>
          </cell>
          <cell r="K129">
            <v>0</v>
          </cell>
          <cell r="L129">
            <v>2</v>
          </cell>
          <cell r="M129">
            <v>1</v>
          </cell>
        </row>
        <row r="130">
          <cell r="A130" t="str">
            <v>LYQ-ZQ2973-W1-L</v>
          </cell>
          <cell r="B130">
            <v>6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6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YZ-ZQ15921-B0-L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3</v>
          </cell>
        </row>
        <row r="132">
          <cell r="A132" t="str">
            <v>YZ-HM17077-K0-L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4</v>
          </cell>
          <cell r="M132">
            <v>0</v>
          </cell>
        </row>
        <row r="133">
          <cell r="A133" t="str">
            <v>YZ-JY2526-R0-3XL</v>
          </cell>
          <cell r="B133">
            <v>18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17</v>
          </cell>
          <cell r="M133">
            <v>1</v>
          </cell>
        </row>
        <row r="134">
          <cell r="A134" t="str">
            <v>YZ-ZQ15827R2M</v>
          </cell>
          <cell r="B134">
            <v>12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11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YZ-ZQ15921-B0-2X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2</v>
          </cell>
          <cell r="K135">
            <v>0</v>
          </cell>
          <cell r="L135">
            <v>2</v>
          </cell>
          <cell r="M135">
            <v>0</v>
          </cell>
        </row>
        <row r="136">
          <cell r="A136" t="str">
            <v>YZ-HM7035-DJG0-L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LYQ-ZQS1741-G7-XL</v>
          </cell>
          <cell r="B137">
            <v>4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</v>
          </cell>
          <cell r="K137">
            <v>2</v>
          </cell>
          <cell r="L137">
            <v>0</v>
          </cell>
          <cell r="M137">
            <v>0</v>
          </cell>
        </row>
        <row r="138">
          <cell r="A138" t="str">
            <v>LYQ-1001-P0-L</v>
          </cell>
          <cell r="B138">
            <v>13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13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YZ-HMBKN30-WR-XL</v>
          </cell>
          <cell r="B139">
            <v>3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A140" t="str">
            <v>LYQ-ZQ2973-ZL-L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YZ-HM1683-G0-48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2</v>
          </cell>
        </row>
        <row r="142">
          <cell r="A142" t="str">
            <v>YZ-ZQadn1601-B1-S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LYQ-ZQTN2611-BD-4X</v>
          </cell>
          <cell r="B143">
            <v>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LYQ-ZQ8200-K0-XL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WJ-ZQ650-C3</v>
          </cell>
          <cell r="B145">
            <v>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4</v>
          </cell>
          <cell r="L145">
            <v>0</v>
          </cell>
          <cell r="M145">
            <v>0</v>
          </cell>
        </row>
        <row r="146">
          <cell r="A146" t="str">
            <v>LYQ-ZQPC01-BD-M</v>
          </cell>
          <cell r="B146">
            <v>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5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YZ-ZQ19758-K0-M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</v>
          </cell>
        </row>
        <row r="148">
          <cell r="A148" t="str">
            <v>LYQ-1001-P0-M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3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LYQ-ZQ2973-P0-2XL</v>
          </cell>
          <cell r="B149">
            <v>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4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LYQ-ZQ2973-ZL-XL</v>
          </cell>
          <cell r="B150">
            <v>5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5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YZ-HMBKN967-B0-L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4</v>
          </cell>
        </row>
        <row r="152">
          <cell r="A152" t="str">
            <v>LYQ-ZQLC00-K0-XL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LYQ-ZQLP01-P0-M</v>
          </cell>
          <cell r="B153">
            <v>5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1</v>
          </cell>
          <cell r="K153">
            <v>2</v>
          </cell>
          <cell r="L153">
            <v>2</v>
          </cell>
          <cell r="M153">
            <v>0</v>
          </cell>
        </row>
        <row r="154">
          <cell r="A154" t="str">
            <v>YZ-ZQ17958P0-5XL</v>
          </cell>
          <cell r="B154">
            <v>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1</v>
          </cell>
          <cell r="M154">
            <v>0</v>
          </cell>
        </row>
        <row r="155">
          <cell r="A155" t="str">
            <v>YZ-ZQ17986W0-M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2</v>
          </cell>
        </row>
        <row r="156">
          <cell r="A156" t="str">
            <v>LYQ-LY064-K0-M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YZ-ZQ1732-B0-XL</v>
          </cell>
          <cell r="B157">
            <v>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A158" t="str">
            <v>WJ-ZQ650-C8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2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YZ-ZQ19758-K0-4XL</v>
          </cell>
          <cell r="B159">
            <v>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1</v>
          </cell>
        </row>
        <row r="160">
          <cell r="A160" t="str">
            <v>LYQ-ZQPC01-BD-XXL</v>
          </cell>
          <cell r="B160">
            <v>10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10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LYQ-ZQ8200-K0-L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YZ-ZQ1521GWXL</v>
          </cell>
          <cell r="B162">
            <v>21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22</v>
          </cell>
        </row>
        <row r="163">
          <cell r="A163" t="str">
            <v>YZ-ZQ1617-BH-3XL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YZ-ZQ6189B046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2</v>
          </cell>
        </row>
        <row r="165">
          <cell r="A165" t="str">
            <v>YZ-ZQ0707-G0-XL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3</v>
          </cell>
          <cell r="M165">
            <v>0</v>
          </cell>
        </row>
        <row r="166">
          <cell r="A166" t="str">
            <v>LYQ-ZQ1117-K0-XL</v>
          </cell>
          <cell r="B166">
            <v>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5</v>
          </cell>
          <cell r="L166">
            <v>0</v>
          </cell>
          <cell r="M166">
            <v>0</v>
          </cell>
        </row>
        <row r="167">
          <cell r="A167" t="str">
            <v>LYQ-ZQTN2611-BD-2X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3</v>
          </cell>
          <cell r="L167">
            <v>0</v>
          </cell>
          <cell r="M167">
            <v>0</v>
          </cell>
        </row>
        <row r="168">
          <cell r="A168" t="str">
            <v>LYQ-1001-Z0-S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3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YZ-ZQ15827W02XL</v>
          </cell>
          <cell r="B169">
            <v>6</v>
          </cell>
          <cell r="C169">
            <v>2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3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LYQ-HM1205-K0-S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3</v>
          </cell>
          <cell r="L170">
            <v>0</v>
          </cell>
          <cell r="M170">
            <v>0</v>
          </cell>
        </row>
        <row r="171">
          <cell r="A171" t="str">
            <v>YZ-ZQZY456-R0-S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4</v>
          </cell>
          <cell r="M171">
            <v>0</v>
          </cell>
        </row>
        <row r="172">
          <cell r="A172" t="str">
            <v>YZ-HMBKN1715-R0-S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1</v>
          </cell>
          <cell r="M172">
            <v>1</v>
          </cell>
        </row>
        <row r="173">
          <cell r="A173" t="str">
            <v>LYQ-ZQ2973-K0-M</v>
          </cell>
          <cell r="B173">
            <v>10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9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LYQ-1001-N0-2XL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LYQ-1001-K0-S</v>
          </cell>
          <cell r="B175">
            <v>6</v>
          </cell>
          <cell r="C175">
            <v>1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6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YZ-ZQ1521WP3XL</v>
          </cell>
          <cell r="B176">
            <v>3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YZ-SUBL03-K0-M</v>
          </cell>
          <cell r="B177">
            <v>96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YZ-HMBKN30-B0YH-XL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3</v>
          </cell>
        </row>
        <row r="179">
          <cell r="A179" t="str">
            <v>LYQ-ZQ1117-G7-S</v>
          </cell>
          <cell r="B179">
            <v>6</v>
          </cell>
          <cell r="C179">
            <v>1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5</v>
          </cell>
          <cell r="K179">
            <v>1</v>
          </cell>
          <cell r="L179">
            <v>0</v>
          </cell>
          <cell r="M179">
            <v>0</v>
          </cell>
        </row>
        <row r="180">
          <cell r="A180" t="str">
            <v>YZ-ZQ15921-B0-XL</v>
          </cell>
          <cell r="B180">
            <v>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3</v>
          </cell>
          <cell r="M180">
            <v>0</v>
          </cell>
        </row>
        <row r="181">
          <cell r="A181" t="str">
            <v>YZ-ZQ1519-K0-L</v>
          </cell>
          <cell r="B181">
            <v>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LYQ-ZQ2973-KQ-L</v>
          </cell>
          <cell r="B182">
            <v>6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6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LYQ-ZQ1117-K0-2XL</v>
          </cell>
          <cell r="B183">
            <v>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6</v>
          </cell>
          <cell r="L183">
            <v>0</v>
          </cell>
          <cell r="M183">
            <v>0</v>
          </cell>
        </row>
        <row r="184">
          <cell r="A184" t="str">
            <v>YZ-ZQ15827W0M</v>
          </cell>
          <cell r="B184">
            <v>14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5</v>
          </cell>
          <cell r="K184">
            <v>0</v>
          </cell>
          <cell r="L184">
            <v>9</v>
          </cell>
          <cell r="M184">
            <v>0</v>
          </cell>
        </row>
        <row r="185">
          <cell r="A185" t="str">
            <v>LYQ-ZQ1117-E0-XL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LYQ-1001-N0-XS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YZ-ZQ47121-K0-L</v>
          </cell>
          <cell r="B187">
            <v>1</v>
          </cell>
          <cell r="C187">
            <v>1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1</v>
          </cell>
          <cell r="M187">
            <v>0</v>
          </cell>
        </row>
        <row r="188">
          <cell r="A188" t="str">
            <v>LYQ-1001-W0-XL</v>
          </cell>
          <cell r="B188">
            <v>7</v>
          </cell>
          <cell r="C188">
            <v>1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7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YZ-HMBKN30-PI-L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3</v>
          </cell>
        </row>
        <row r="190">
          <cell r="A190" t="str">
            <v>LYQ-CL6287-B0-L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3</v>
          </cell>
          <cell r="M190">
            <v>0</v>
          </cell>
        </row>
        <row r="191">
          <cell r="A191" t="str">
            <v>YZ-HM17077-B0-XL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2</v>
          </cell>
        </row>
        <row r="192">
          <cell r="A192" t="str">
            <v>YZ-HM1689-R0-54</v>
          </cell>
          <cell r="B192">
            <v>3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3</v>
          </cell>
        </row>
        <row r="193">
          <cell r="A193" t="str">
            <v>LYQ-ZQS1741-G7-L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3</v>
          </cell>
          <cell r="L193">
            <v>0</v>
          </cell>
          <cell r="M193">
            <v>0</v>
          </cell>
        </row>
        <row r="194">
          <cell r="A194" t="str">
            <v>LYQ-HM1205-BR-L</v>
          </cell>
          <cell r="B194">
            <v>8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5</v>
          </cell>
          <cell r="K194">
            <v>3</v>
          </cell>
          <cell r="L194">
            <v>0</v>
          </cell>
          <cell r="M194">
            <v>0</v>
          </cell>
        </row>
        <row r="195">
          <cell r="A195" t="str">
            <v>YZ-ZQ565-R0-XL</v>
          </cell>
          <cell r="B195">
            <v>8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</v>
          </cell>
          <cell r="L195">
            <v>6</v>
          </cell>
          <cell r="M195">
            <v>0</v>
          </cell>
        </row>
        <row r="196">
          <cell r="A196" t="str">
            <v>LYQ-CL61652-R6-M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LYQ-1001-G7-2XL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2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YZ-HM7040-ZL-XL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1</v>
          </cell>
          <cell r="M198">
            <v>0</v>
          </cell>
        </row>
        <row r="199">
          <cell r="A199" t="str">
            <v>LYQ-CL0045-Y0-L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1</v>
          </cell>
          <cell r="M199">
            <v>0</v>
          </cell>
        </row>
        <row r="200">
          <cell r="A200" t="str">
            <v>WT-ZQ921-K0-L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1</v>
          </cell>
          <cell r="L200">
            <v>0</v>
          </cell>
          <cell r="M200">
            <v>0</v>
          </cell>
        </row>
        <row r="201">
          <cell r="A201" t="str">
            <v>WJ-ZQ650-C9</v>
          </cell>
          <cell r="B201">
            <v>4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1</v>
          </cell>
          <cell r="L201">
            <v>3</v>
          </cell>
          <cell r="M201">
            <v>0</v>
          </cell>
        </row>
        <row r="202">
          <cell r="A202" t="str">
            <v>LYQ-ZQ2973-KQ-XL</v>
          </cell>
          <cell r="B202">
            <v>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YZ-ZQ16597B0M</v>
          </cell>
          <cell r="B203">
            <v>4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1</v>
          </cell>
          <cell r="L203">
            <v>3</v>
          </cell>
          <cell r="M203">
            <v>0</v>
          </cell>
        </row>
        <row r="204">
          <cell r="A204" t="str">
            <v>LYQ-ZQPC01-ZL-M</v>
          </cell>
          <cell r="B204">
            <v>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LYQ-1001-W0-M</v>
          </cell>
          <cell r="B205">
            <v>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YZ-CFAM005-LABUGR-L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YZ-ZQ1521RM3XL</v>
          </cell>
          <cell r="B207">
            <v>9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LYQ-HMQZZ-MOM-2XL</v>
          </cell>
          <cell r="B208">
            <v>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3</v>
          </cell>
          <cell r="M208">
            <v>0</v>
          </cell>
        </row>
        <row r="209">
          <cell r="A209" t="str">
            <v>LYQ-LY064-B0-3XL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2</v>
          </cell>
          <cell r="M209">
            <v>0</v>
          </cell>
        </row>
        <row r="210">
          <cell r="A210" t="str">
            <v>YZ-ZQ0707-PITW-M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YZ-HMBKN967-K0-L</v>
          </cell>
          <cell r="B211">
            <v>1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1</v>
          </cell>
        </row>
        <row r="212">
          <cell r="A212" t="str">
            <v>LYQ-ZQLP01-P0-S</v>
          </cell>
          <cell r="B212">
            <v>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1</v>
          </cell>
          <cell r="L212">
            <v>0</v>
          </cell>
          <cell r="M212">
            <v>0</v>
          </cell>
        </row>
        <row r="213">
          <cell r="A213" t="str">
            <v>LYQ-LY064-OR-4XL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</v>
          </cell>
          <cell r="K213">
            <v>0</v>
          </cell>
          <cell r="L213">
            <v>1</v>
          </cell>
          <cell r="M213">
            <v>0</v>
          </cell>
        </row>
        <row r="214">
          <cell r="A214" t="str">
            <v>LYQ-ZQPC01-E0-XL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2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YZ-HM111-YH-S</v>
          </cell>
          <cell r="B215">
            <v>4</v>
          </cell>
          <cell r="C215">
            <v>2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1</v>
          </cell>
          <cell r="K215">
            <v>0</v>
          </cell>
          <cell r="L215">
            <v>1</v>
          </cell>
          <cell r="M215">
            <v>0</v>
          </cell>
        </row>
        <row r="216">
          <cell r="A216" t="str">
            <v>WJ-ZQ650-C7</v>
          </cell>
          <cell r="B216">
            <v>6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3</v>
          </cell>
          <cell r="L216">
            <v>3</v>
          </cell>
          <cell r="M216">
            <v>0</v>
          </cell>
        </row>
        <row r="217">
          <cell r="A217" t="str">
            <v>LYQ-ZQPC01-P0-XXL</v>
          </cell>
          <cell r="B217">
            <v>3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LYQ-ZQ7900-W0-XXL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YZ-CL912-FB-XL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3</v>
          </cell>
          <cell r="M219">
            <v>0</v>
          </cell>
        </row>
        <row r="220">
          <cell r="A220" t="str">
            <v>YZ-ZQ1521GF5XL</v>
          </cell>
          <cell r="B220">
            <v>0</v>
          </cell>
          <cell r="C220">
            <v>6</v>
          </cell>
          <cell r="D220">
            <v>1</v>
          </cell>
          <cell r="E220">
            <v>0</v>
          </cell>
          <cell r="F220">
            <v>1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YZ-ZQ1521BLXL</v>
          </cell>
          <cell r="B221">
            <v>5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WJ-ZQ650-C11</v>
          </cell>
          <cell r="B222">
            <v>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4</v>
          </cell>
          <cell r="L222">
            <v>0</v>
          </cell>
          <cell r="M222">
            <v>0</v>
          </cell>
        </row>
        <row r="223">
          <cell r="A223" t="str">
            <v>LYQ-CSM048-GR1-XL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YZ-HM7889-B0-4X</v>
          </cell>
          <cell r="B224">
            <v>4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4</v>
          </cell>
          <cell r="M224">
            <v>0</v>
          </cell>
        </row>
        <row r="225">
          <cell r="A225" t="str">
            <v>YZ-ZQA100-B0-L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1</v>
          </cell>
        </row>
        <row r="226">
          <cell r="A226" t="str">
            <v>YZ-ZQ6667G044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LYQ-ZQ3550-E0-XL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YZ-ZQ15921-B0-M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2</v>
          </cell>
        </row>
        <row r="229">
          <cell r="A229" t="str">
            <v>MZ-JY1616-R0</v>
          </cell>
          <cell r="B229">
            <v>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2</v>
          </cell>
          <cell r="L229">
            <v>0</v>
          </cell>
          <cell r="M229">
            <v>0</v>
          </cell>
        </row>
        <row r="230">
          <cell r="A230" t="str">
            <v>YZ-HM17077-CO-M</v>
          </cell>
          <cell r="B230">
            <v>4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1</v>
          </cell>
          <cell r="L230">
            <v>2</v>
          </cell>
          <cell r="M230">
            <v>0</v>
          </cell>
        </row>
        <row r="231">
          <cell r="A231" t="str">
            <v>LYQ-1001-G7-S</v>
          </cell>
          <cell r="B231">
            <v>6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5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YZ-HM17845-YH-S</v>
          </cell>
          <cell r="B232">
            <v>11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2</v>
          </cell>
          <cell r="K232">
            <v>1</v>
          </cell>
          <cell r="L232">
            <v>5</v>
          </cell>
          <cell r="M232">
            <v>0</v>
          </cell>
        </row>
        <row r="233">
          <cell r="A233" t="str">
            <v>YZ-ZQ1521KF4XL</v>
          </cell>
          <cell r="B233">
            <v>5</v>
          </cell>
          <cell r="C233">
            <v>1</v>
          </cell>
          <cell r="D233">
            <v>8</v>
          </cell>
          <cell r="E233">
            <v>0</v>
          </cell>
          <cell r="F233">
            <v>8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YZ-HMBKN30-K0-M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4</v>
          </cell>
        </row>
        <row r="235">
          <cell r="A235" t="str">
            <v>LYQ-ZQ7900-W0-S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LYQ-CLBAH002-S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LYQ-1001New-P0-XS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4</v>
          </cell>
          <cell r="L237">
            <v>0</v>
          </cell>
          <cell r="M237">
            <v>0</v>
          </cell>
        </row>
        <row r="238">
          <cell r="A238" t="str">
            <v>YZ-HMBKN16024-G0-L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1</v>
          </cell>
          <cell r="M238">
            <v>0</v>
          </cell>
        </row>
        <row r="239">
          <cell r="A239" t="str">
            <v>YZ-ZQ6667ZL46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  <cell r="K239">
            <v>0</v>
          </cell>
          <cell r="L239">
            <v>4</v>
          </cell>
          <cell r="M239">
            <v>0</v>
          </cell>
        </row>
        <row r="240">
          <cell r="A240" t="str">
            <v>YZ-ZQ6667R050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LYQ-ZQS1741-W0-L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LYQ-ZQ8200-K0-M</v>
          </cell>
          <cell r="B242">
            <v>5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LYQ-ZQ2973-ZL-S</v>
          </cell>
          <cell r="B243">
            <v>6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LYQ-LY064-OR-M</v>
          </cell>
          <cell r="B244">
            <v>2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1</v>
          </cell>
        </row>
        <row r="245">
          <cell r="A245" t="str">
            <v>LYQ-ZQ1117-BD-XL</v>
          </cell>
          <cell r="B245">
            <v>5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5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LYQ-ZQ1117-BD-S</v>
          </cell>
          <cell r="B246">
            <v>4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4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YZ-ZQ15827BS4XL</v>
          </cell>
          <cell r="B247">
            <v>14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13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LYQ-CL6408NO-G0-L</v>
          </cell>
          <cell r="B248">
            <v>2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2</v>
          </cell>
          <cell r="M248">
            <v>0</v>
          </cell>
        </row>
        <row r="249">
          <cell r="A249" t="str">
            <v>LYQ-ZQ1117-KQ-S</v>
          </cell>
          <cell r="B249">
            <v>7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7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YZ-ZQ15827B02XL</v>
          </cell>
          <cell r="B250">
            <v>4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YZ-ZQ7777R018</v>
          </cell>
          <cell r="B251">
            <v>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2</v>
          </cell>
        </row>
        <row r="252">
          <cell r="A252" t="str">
            <v>YZ-CLNK78-BD-M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1</v>
          </cell>
          <cell r="K252">
            <v>0</v>
          </cell>
          <cell r="L252">
            <v>2</v>
          </cell>
          <cell r="M252">
            <v>0</v>
          </cell>
        </row>
        <row r="253">
          <cell r="A253" t="str">
            <v>YZ-ZQ1521RLXL</v>
          </cell>
          <cell r="B253">
            <v>11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4</v>
          </cell>
        </row>
        <row r="254">
          <cell r="A254" t="str">
            <v>LYQ-1001-Z0-XS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LYQ-HM1205-BR-XL</v>
          </cell>
          <cell r="B255">
            <v>5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5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YZ-ZQ15921-R0-L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YZ-HM241-G0-S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1</v>
          </cell>
        </row>
        <row r="258">
          <cell r="A258" t="str">
            <v>LYQ-CL6408SL-G0XL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2</v>
          </cell>
          <cell r="M258">
            <v>0</v>
          </cell>
        </row>
        <row r="259">
          <cell r="A259" t="str">
            <v>YZ-HM1683-BDZL-56</v>
          </cell>
          <cell r="B259">
            <v>5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4</v>
          </cell>
          <cell r="M259">
            <v>0</v>
          </cell>
        </row>
        <row r="260">
          <cell r="A260" t="str">
            <v>LYQ-ZQPC01-BD-L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3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LYQ-1001New-P0-L</v>
          </cell>
          <cell r="B261">
            <v>5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5</v>
          </cell>
          <cell r="L261">
            <v>0</v>
          </cell>
          <cell r="M261">
            <v>0</v>
          </cell>
        </row>
        <row r="262">
          <cell r="A262" t="str">
            <v>LYQ-ZQ3550-PI-L</v>
          </cell>
          <cell r="B262">
            <v>10</v>
          </cell>
          <cell r="C262">
            <v>1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YZ-CL912-BS-L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5</v>
          </cell>
          <cell r="M263">
            <v>0</v>
          </cell>
        </row>
        <row r="264">
          <cell r="A264" t="str">
            <v>YZ-SUBL03-K0-XS</v>
          </cell>
          <cell r="B264">
            <v>26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LYQ-CL6287-G7-M</v>
          </cell>
          <cell r="B265">
            <v>3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3</v>
          </cell>
          <cell r="M265">
            <v>0</v>
          </cell>
        </row>
        <row r="266">
          <cell r="A266" t="str">
            <v>YZ-HMVS-W0-S</v>
          </cell>
          <cell r="B266">
            <v>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2</v>
          </cell>
        </row>
        <row r="267">
          <cell r="A267" t="str">
            <v>YZ-ZQ17958P0-S</v>
          </cell>
          <cell r="B267">
            <v>4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4</v>
          </cell>
        </row>
        <row r="268">
          <cell r="A268" t="str">
            <v>YZ-JY7015-R0-L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1</v>
          </cell>
        </row>
        <row r="269">
          <cell r="A269" t="str">
            <v>YZ-CL0393-B0-XL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2</v>
          </cell>
        </row>
        <row r="270">
          <cell r="A270" t="str">
            <v>LYQ-1001-P0-XL</v>
          </cell>
          <cell r="B270">
            <v>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4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LYQ-ZQTN2611-PI-2X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5</v>
          </cell>
          <cell r="L271">
            <v>0</v>
          </cell>
          <cell r="M271">
            <v>0</v>
          </cell>
        </row>
        <row r="272">
          <cell r="A272" t="str">
            <v>LYQ-ZQ1117-BD-M</v>
          </cell>
          <cell r="B272">
            <v>6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6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LYQ-ZQPC01-B0-S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1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YZ-ZQFT1816-O0-M</v>
          </cell>
          <cell r="B274">
            <v>6</v>
          </cell>
          <cell r="C274">
            <v>1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YZ-ZQ1732-R0-L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YZ-HMBKN0193-W0-XL</v>
          </cell>
          <cell r="B276">
            <v>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3</v>
          </cell>
        </row>
        <row r="277">
          <cell r="A277" t="str">
            <v>YZ-HM174164-SY-4XL</v>
          </cell>
          <cell r="B277">
            <v>6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2</v>
          </cell>
          <cell r="K277">
            <v>1</v>
          </cell>
          <cell r="L277">
            <v>2</v>
          </cell>
          <cell r="M277">
            <v>0</v>
          </cell>
        </row>
        <row r="278">
          <cell r="A278" t="str">
            <v>LYQ-1001New-P0-S</v>
          </cell>
          <cell r="B278">
            <v>5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</v>
          </cell>
          <cell r="K278">
            <v>4</v>
          </cell>
          <cell r="L278">
            <v>0</v>
          </cell>
          <cell r="M278">
            <v>0</v>
          </cell>
        </row>
        <row r="279">
          <cell r="A279" t="str">
            <v>YZ-ZQ17985-P0-5X</v>
          </cell>
          <cell r="B279">
            <v>3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YZ-ZQ17845-K0-L</v>
          </cell>
          <cell r="B280">
            <v>1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YZ-ZQMICAIK03XL</v>
          </cell>
          <cell r="B281">
            <v>3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YZ-ZQ1521RF4XL</v>
          </cell>
          <cell r="B282">
            <v>15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YZ-ZQ298N0XL</v>
          </cell>
          <cell r="B283">
            <v>14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9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YZ-ZQ15827B0S</v>
          </cell>
          <cell r="B284">
            <v>11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5</v>
          </cell>
          <cell r="K284">
            <v>0</v>
          </cell>
          <cell r="L284">
            <v>3</v>
          </cell>
          <cell r="M284">
            <v>3</v>
          </cell>
        </row>
        <row r="285">
          <cell r="A285" t="str">
            <v>MZ-JY1616-CF</v>
          </cell>
          <cell r="B285">
            <v>1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1</v>
          </cell>
          <cell r="L285">
            <v>0</v>
          </cell>
          <cell r="M285">
            <v>0</v>
          </cell>
        </row>
        <row r="286">
          <cell r="A286" t="str">
            <v>LYQ-CL0045-Y0-XL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2</v>
          </cell>
          <cell r="M286">
            <v>0</v>
          </cell>
        </row>
        <row r="287">
          <cell r="A287" t="str">
            <v>WT-ZQ921-G7-4XL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1</v>
          </cell>
          <cell r="L287">
            <v>0</v>
          </cell>
          <cell r="M287">
            <v>0</v>
          </cell>
        </row>
        <row r="288">
          <cell r="A288" t="str">
            <v>LYQ-ZQ2973-BD-XL</v>
          </cell>
          <cell r="B288">
            <v>2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2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YZ-HM241-SH-XL</v>
          </cell>
          <cell r="B289">
            <v>1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1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LYQ-ZQ8200-FB-S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LYQ-HM1205-KH-XL</v>
          </cell>
          <cell r="B291">
            <v>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YZ-ZQ1521RM4XL</v>
          </cell>
          <cell r="B292">
            <v>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YZ-CLD072-W0-M</v>
          </cell>
          <cell r="B293">
            <v>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3</v>
          </cell>
          <cell r="M293">
            <v>0</v>
          </cell>
        </row>
        <row r="294">
          <cell r="A294" t="str">
            <v>YZ-ZQ6189P054</v>
          </cell>
          <cell r="B294">
            <v>5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1</v>
          </cell>
          <cell r="L294">
            <v>1</v>
          </cell>
          <cell r="M294">
            <v>2</v>
          </cell>
        </row>
        <row r="295">
          <cell r="A295" t="str">
            <v>YZ-ZQ15905-K0-S</v>
          </cell>
          <cell r="B295">
            <v>1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YZ-ZQ19758-K0-5XL</v>
          </cell>
          <cell r="B296">
            <v>2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1</v>
          </cell>
          <cell r="L296">
            <v>0</v>
          </cell>
          <cell r="M296">
            <v>1</v>
          </cell>
        </row>
        <row r="297">
          <cell r="A297" t="str">
            <v>LYQ-WH885-ZL-L</v>
          </cell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LYQ-ZQ3550-PI-S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YZ-ZQ15827B04XL</v>
          </cell>
          <cell r="B299">
            <v>6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YZ-HM1478-Wi-M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2</v>
          </cell>
          <cell r="M300">
            <v>0</v>
          </cell>
        </row>
        <row r="301">
          <cell r="A301" t="str">
            <v>SHJ-ZQLS01-B0-4XL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LYQ-HM1205-KH-L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YZ-HM1683-R0-52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YZ-ZQSG16121R03XL</v>
          </cell>
          <cell r="B304">
            <v>4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</v>
          </cell>
          <cell r="K304">
            <v>2</v>
          </cell>
          <cell r="L304">
            <v>0</v>
          </cell>
          <cell r="M304">
            <v>0</v>
          </cell>
        </row>
        <row r="305">
          <cell r="A305" t="str">
            <v>LYQ-ZQPC01-E0-M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LYQ-HM1205-BR-S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YZ-HM6175-B0-L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1</v>
          </cell>
        </row>
        <row r="308">
          <cell r="A308" t="str">
            <v>LYQ-CL0045-K0-XL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1</v>
          </cell>
          <cell r="M308">
            <v>0</v>
          </cell>
        </row>
        <row r="309">
          <cell r="A309" t="str">
            <v>YZ-HM111-B0-L</v>
          </cell>
          <cell r="B309">
            <v>7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YZ-HM1683-BDB0-50</v>
          </cell>
          <cell r="B310">
            <v>3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3</v>
          </cell>
          <cell r="M310">
            <v>0</v>
          </cell>
        </row>
        <row r="311">
          <cell r="A311" t="str">
            <v>YZ-ZQ6667ZL44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1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YZ-HM0047-P0-S</v>
          </cell>
          <cell r="B312">
            <v>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1</v>
          </cell>
        </row>
        <row r="313">
          <cell r="A313" t="str">
            <v>YZ-ZQ8867-B0-M</v>
          </cell>
          <cell r="B313">
            <v>7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2</v>
          </cell>
          <cell r="M313">
            <v>5</v>
          </cell>
        </row>
        <row r="314">
          <cell r="A314" t="str">
            <v>YZ-HM7035-DJG0-XL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YZ-HM1683-G0-56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1</v>
          </cell>
        </row>
        <row r="316">
          <cell r="A316" t="str">
            <v>YZ-HM5263-R0-M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1</v>
          </cell>
          <cell r="M316">
            <v>0</v>
          </cell>
        </row>
        <row r="317">
          <cell r="A317" t="str">
            <v>YZ-ZQ19758-K0-2XL</v>
          </cell>
          <cell r="B317">
            <v>4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2</v>
          </cell>
          <cell r="M317">
            <v>2</v>
          </cell>
        </row>
        <row r="318">
          <cell r="A318" t="str">
            <v>LYQ-HM1205-KH-M</v>
          </cell>
          <cell r="B318">
            <v>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YZ-ZQ1521WPXL</v>
          </cell>
          <cell r="B319">
            <v>4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LYQ-ZQ1117-C0-M</v>
          </cell>
          <cell r="B320">
            <v>4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</v>
          </cell>
          <cell r="L320">
            <v>0</v>
          </cell>
          <cell r="M320">
            <v>0</v>
          </cell>
        </row>
        <row r="321">
          <cell r="A321" t="str">
            <v>LYQ-CLBAH002-M</v>
          </cell>
          <cell r="B321">
            <v>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YZ-ZQ15921-R0-M</v>
          </cell>
          <cell r="B322">
            <v>3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3</v>
          </cell>
          <cell r="M322">
            <v>0</v>
          </cell>
        </row>
        <row r="323">
          <cell r="A323" t="str">
            <v>LYQ-1001-P0-S</v>
          </cell>
          <cell r="B323">
            <v>8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8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YZ-ZQ8867-B0-XL</v>
          </cell>
          <cell r="B324">
            <v>1</v>
          </cell>
          <cell r="C324">
            <v>1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LYQ-ZQ2W00-K0-M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LYQ-ZQ2973-W1-M</v>
          </cell>
          <cell r="B326">
            <v>11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11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LYQ-ZQ2973-G0-M</v>
          </cell>
          <cell r="B327">
            <v>13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YZ-ZQadn1601-B1-M</v>
          </cell>
          <cell r="B328">
            <v>7</v>
          </cell>
          <cell r="C328">
            <v>1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</row>
        <row r="329">
          <cell r="A329" t="str">
            <v>YZ-CL7042-R0-L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1</v>
          </cell>
          <cell r="M329">
            <v>0</v>
          </cell>
        </row>
        <row r="330">
          <cell r="A330" t="str">
            <v>LYQ-ZQ2973-ZL-2XL</v>
          </cell>
          <cell r="B330">
            <v>4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2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YZ-CLNK78-B6-L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2</v>
          </cell>
          <cell r="M331">
            <v>0</v>
          </cell>
        </row>
        <row r="332">
          <cell r="A332" t="str">
            <v>WJ-ZQ650-C1</v>
          </cell>
          <cell r="B332">
            <v>3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3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LYQ-ZQ2973-KQ-2XL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YZ-HM241-DS-2XL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YZ-ZQ16597B0XL</v>
          </cell>
          <cell r="B335">
            <v>18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1</v>
          </cell>
          <cell r="K335">
            <v>0</v>
          </cell>
          <cell r="L335">
            <v>17</v>
          </cell>
          <cell r="M335">
            <v>0</v>
          </cell>
        </row>
        <row r="336">
          <cell r="A336" t="str">
            <v>SHJ-ZQLS01-B0-XL</v>
          </cell>
          <cell r="B336">
            <v>9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5</v>
          </cell>
          <cell r="K336">
            <v>0</v>
          </cell>
          <cell r="L336">
            <v>4</v>
          </cell>
          <cell r="M336">
            <v>0</v>
          </cell>
        </row>
        <row r="337">
          <cell r="A337" t="str">
            <v>LYQ-1001-N0-S</v>
          </cell>
          <cell r="B337">
            <v>5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5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YZ-HM241-G0-2XL</v>
          </cell>
          <cell r="B338">
            <v>5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5</v>
          </cell>
          <cell r="M338">
            <v>0</v>
          </cell>
        </row>
        <row r="339">
          <cell r="A339" t="str">
            <v>YZ-ZQ6189B048</v>
          </cell>
          <cell r="B339">
            <v>3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3</v>
          </cell>
        </row>
        <row r="340">
          <cell r="A340" t="str">
            <v>YZ-HMBKN967-R0-L</v>
          </cell>
          <cell r="B340">
            <v>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1</v>
          </cell>
          <cell r="M340">
            <v>1</v>
          </cell>
        </row>
        <row r="341">
          <cell r="A341" t="str">
            <v>SHJ-ZQLS12-K0-XL</v>
          </cell>
          <cell r="B341">
            <v>25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24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YZ-HM7889-R0-1X</v>
          </cell>
          <cell r="B342">
            <v>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1</v>
          </cell>
          <cell r="M342">
            <v>0</v>
          </cell>
        </row>
        <row r="343">
          <cell r="A343" t="str">
            <v>YZ-ZQ6189B050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1</v>
          </cell>
        </row>
        <row r="344">
          <cell r="A344" t="str">
            <v>YZ-HMBKN30-ZL-XL</v>
          </cell>
          <cell r="B344">
            <v>3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1</v>
          </cell>
          <cell r="M344">
            <v>2</v>
          </cell>
        </row>
        <row r="345">
          <cell r="A345" t="str">
            <v>YZ-ZQ1617-BH-M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1</v>
          </cell>
          <cell r="M345">
            <v>0</v>
          </cell>
        </row>
        <row r="346">
          <cell r="A346" t="str">
            <v>YZ-ZQ1521GW5XL</v>
          </cell>
          <cell r="B346">
            <v>0</v>
          </cell>
          <cell r="C346">
            <v>2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LYQ-ZQS1741-K0-S</v>
          </cell>
          <cell r="B347">
            <v>7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5</v>
          </cell>
          <cell r="L347">
            <v>0</v>
          </cell>
          <cell r="M347">
            <v>0</v>
          </cell>
        </row>
        <row r="348">
          <cell r="A348" t="str">
            <v>LYQ-ZQS1741-G7-S</v>
          </cell>
          <cell r="B348">
            <v>5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5</v>
          </cell>
          <cell r="L348">
            <v>0</v>
          </cell>
          <cell r="M348">
            <v>0</v>
          </cell>
        </row>
        <row r="349">
          <cell r="A349" t="str">
            <v>LYQ-1001-Z0-L</v>
          </cell>
          <cell r="B349">
            <v>4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4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YZ-HM241-R0-XL</v>
          </cell>
          <cell r="B350">
            <v>6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1</v>
          </cell>
          <cell r="K350">
            <v>1</v>
          </cell>
          <cell r="L350">
            <v>1</v>
          </cell>
          <cell r="M350">
            <v>2</v>
          </cell>
        </row>
        <row r="351">
          <cell r="A351" t="str">
            <v>YZ-ZQQ9227-K0-S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YZ-HM17845-YH-L</v>
          </cell>
          <cell r="B352">
            <v>1</v>
          </cell>
          <cell r="C352">
            <v>1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LYQ-HMQZZ-MOM-S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2</v>
          </cell>
          <cell r="M353">
            <v>0</v>
          </cell>
        </row>
        <row r="354">
          <cell r="A354" t="str">
            <v>YZ-ZQ1521KFXL</v>
          </cell>
          <cell r="B354">
            <v>12</v>
          </cell>
          <cell r="C354">
            <v>1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5</v>
          </cell>
          <cell r="K354">
            <v>2</v>
          </cell>
          <cell r="L354">
            <v>0</v>
          </cell>
          <cell r="M354">
            <v>0</v>
          </cell>
        </row>
        <row r="355">
          <cell r="A355" t="str">
            <v>YZ-ZQ6189P052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1</v>
          </cell>
        </row>
        <row r="356">
          <cell r="A356" t="str">
            <v>LYQ-LY064-K0-2XL</v>
          </cell>
          <cell r="B356">
            <v>1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1</v>
          </cell>
        </row>
        <row r="357">
          <cell r="A357" t="str">
            <v>YZ-HM241-G0-XL</v>
          </cell>
          <cell r="B357">
            <v>1</v>
          </cell>
          <cell r="C357">
            <v>1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LYQ-ZQ2973-BD-L</v>
          </cell>
          <cell r="B358">
            <v>9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9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LYQ-ZQ2973-G0-XL</v>
          </cell>
          <cell r="B359">
            <v>10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10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YZ-ZQ1617K0M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A361" t="str">
            <v>YZ-HM111-B0-S</v>
          </cell>
          <cell r="B361">
            <v>9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LYQ-ZQ3550-PI-4X</v>
          </cell>
          <cell r="B362">
            <v>8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LYQ-ZQ1117-E0-M</v>
          </cell>
          <cell r="B363">
            <v>5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5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LYQ-1001-K0-XL</v>
          </cell>
          <cell r="B364">
            <v>8</v>
          </cell>
          <cell r="C364">
            <v>2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8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LYQ-ZQ3550-PI-M</v>
          </cell>
          <cell r="B365">
            <v>6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LYQ-ZQTN2611-PI-5X</v>
          </cell>
          <cell r="B366">
            <v>2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</row>
        <row r="367">
          <cell r="A367" t="str">
            <v>YZ-HMBKN30-PI-S</v>
          </cell>
          <cell r="B367">
            <v>2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2</v>
          </cell>
        </row>
        <row r="368">
          <cell r="A368" t="str">
            <v>YZ-HM6175-K0-M</v>
          </cell>
          <cell r="B368">
            <v>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2</v>
          </cell>
        </row>
        <row r="369">
          <cell r="A369" t="str">
            <v>YZ-HM241-R0-S</v>
          </cell>
          <cell r="B369">
            <v>3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1</v>
          </cell>
        </row>
        <row r="370">
          <cell r="A370" t="str">
            <v>YZ-ZQTWA1-K0-S</v>
          </cell>
          <cell r="B370">
            <v>4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4</v>
          </cell>
          <cell r="M370">
            <v>0</v>
          </cell>
        </row>
        <row r="371">
          <cell r="A371" t="str">
            <v>YZ-HM7889-R0-4X</v>
          </cell>
          <cell r="B371">
            <v>4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4</v>
          </cell>
          <cell r="M371">
            <v>0</v>
          </cell>
        </row>
        <row r="372">
          <cell r="A372" t="str">
            <v>YZ-HM241-DS-M</v>
          </cell>
          <cell r="B372">
            <v>4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3</v>
          </cell>
        </row>
        <row r="373">
          <cell r="A373" t="str">
            <v>LYQ-ZQ1117-K0-S</v>
          </cell>
          <cell r="B373">
            <v>9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9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YZ-CL060-XL</v>
          </cell>
          <cell r="B374">
            <v>2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2</v>
          </cell>
          <cell r="M374">
            <v>0</v>
          </cell>
        </row>
        <row r="375">
          <cell r="A375" t="str">
            <v>LYQ-LY064-B0-4XL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YZ-ZQ16597B0L</v>
          </cell>
          <cell r="B376">
            <v>6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1</v>
          </cell>
          <cell r="L376">
            <v>5</v>
          </cell>
          <cell r="M376">
            <v>0</v>
          </cell>
        </row>
        <row r="377">
          <cell r="A377" t="str">
            <v>YZ-ZQ6189B054</v>
          </cell>
          <cell r="B377">
            <v>3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3</v>
          </cell>
        </row>
        <row r="378">
          <cell r="A378" t="str">
            <v>LYQ-ZQ2973-W1-2XL</v>
          </cell>
          <cell r="B378">
            <v>7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5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LYQ-ZQS1741-K0-L</v>
          </cell>
          <cell r="B379">
            <v>4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1</v>
          </cell>
          <cell r="K379">
            <v>2</v>
          </cell>
          <cell r="L379">
            <v>0</v>
          </cell>
          <cell r="M379">
            <v>0</v>
          </cell>
        </row>
        <row r="380">
          <cell r="A380" t="str">
            <v>YZ-ZQ15921-P0-L</v>
          </cell>
          <cell r="B380">
            <v>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1</v>
          </cell>
          <cell r="M380">
            <v>0</v>
          </cell>
        </row>
        <row r="381">
          <cell r="A381" t="str">
            <v>YZ-CLD072-K0-3XL</v>
          </cell>
          <cell r="B381">
            <v>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1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LYQ-ZQPC01-BD-S</v>
          </cell>
          <cell r="B382">
            <v>3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3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YZ-ZQ112B0M</v>
          </cell>
          <cell r="B383">
            <v>9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2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LYQ-ZQ1117-C0-S</v>
          </cell>
          <cell r="B384">
            <v>6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4</v>
          </cell>
          <cell r="K384">
            <v>2</v>
          </cell>
          <cell r="L384">
            <v>0</v>
          </cell>
          <cell r="M384">
            <v>0</v>
          </cell>
        </row>
        <row r="385">
          <cell r="A385" t="str">
            <v>LYQ-ZQ1117-B0-S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2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YZ-HM7035-DJG0-S</v>
          </cell>
          <cell r="B386">
            <v>3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2</v>
          </cell>
          <cell r="L386">
            <v>0</v>
          </cell>
          <cell r="M386">
            <v>0</v>
          </cell>
        </row>
        <row r="387">
          <cell r="A387" t="str">
            <v>LYQ-ZQ8200-FB-XL</v>
          </cell>
          <cell r="B387">
            <v>10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4</v>
          </cell>
          <cell r="K387">
            <v>1</v>
          </cell>
          <cell r="L387">
            <v>3</v>
          </cell>
          <cell r="M387">
            <v>0</v>
          </cell>
        </row>
        <row r="388">
          <cell r="A388" t="str">
            <v>YZ-ZQ6189B052</v>
          </cell>
          <cell r="B388">
            <v>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2</v>
          </cell>
        </row>
        <row r="389">
          <cell r="A389" t="str">
            <v>YZ-ZQ6189Y046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5</v>
          </cell>
        </row>
        <row r="390">
          <cell r="A390" t="str">
            <v>LYQ-1001-B0-XS</v>
          </cell>
          <cell r="B390">
            <v>4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4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YZ-HM241-K0-2XL</v>
          </cell>
          <cell r="B391">
            <v>3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YZ-ZQ15827R2L</v>
          </cell>
          <cell r="B392">
            <v>10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LYQ-1001-N0-L</v>
          </cell>
          <cell r="B393">
            <v>6</v>
          </cell>
          <cell r="C393">
            <v>2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6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YZ-ZQXZ345-G0-XL</v>
          </cell>
          <cell r="B394">
            <v>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</row>
        <row r="395">
          <cell r="A395" t="str">
            <v>YZ-HM241-G0-3XL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YZ-ZQ15827W0S</v>
          </cell>
          <cell r="B396">
            <v>13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1</v>
          </cell>
          <cell r="K396">
            <v>0</v>
          </cell>
          <cell r="L396">
            <v>0</v>
          </cell>
          <cell r="M396">
            <v>10</v>
          </cell>
        </row>
        <row r="397">
          <cell r="A397" t="str">
            <v>YZ-ZQ1521RL3XL</v>
          </cell>
          <cell r="B397">
            <v>8</v>
          </cell>
          <cell r="C397">
            <v>1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3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LYQ-ZQ8200-K0-S</v>
          </cell>
          <cell r="B398">
            <v>14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6</v>
          </cell>
          <cell r="L398">
            <v>7</v>
          </cell>
          <cell r="M398">
            <v>0</v>
          </cell>
        </row>
        <row r="399">
          <cell r="A399" t="str">
            <v>LYQ-ZQ1117-C0-2XL</v>
          </cell>
          <cell r="B399">
            <v>4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4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WJ-ZQ650-C4</v>
          </cell>
          <cell r="B400">
            <v>4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4</v>
          </cell>
          <cell r="L400">
            <v>0</v>
          </cell>
          <cell r="M400">
            <v>0</v>
          </cell>
        </row>
        <row r="401">
          <cell r="A401" t="str">
            <v>LYQ-ZQS1741-G7-M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YZ-HM241-K0-L</v>
          </cell>
          <cell r="B402">
            <v>2</v>
          </cell>
          <cell r="C402">
            <v>2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YZ-ZQ16103ZL3XL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</v>
          </cell>
          <cell r="K403">
            <v>1</v>
          </cell>
          <cell r="L403">
            <v>0</v>
          </cell>
          <cell r="M403">
            <v>1</v>
          </cell>
        </row>
        <row r="404">
          <cell r="A404" t="str">
            <v>LYQ-CL6408NO-K0-L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</v>
          </cell>
          <cell r="M404">
            <v>0</v>
          </cell>
        </row>
        <row r="405">
          <cell r="A405" t="str">
            <v>YZ-HM6175-G0-M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1</v>
          </cell>
        </row>
        <row r="406">
          <cell r="A406" t="str">
            <v>YZ-HM1728-ZL-S-New</v>
          </cell>
          <cell r="B406">
            <v>7</v>
          </cell>
          <cell r="C406">
            <v>1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YZ-ZQ1733-SB-3XL</v>
          </cell>
          <cell r="B407">
            <v>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</row>
        <row r="408">
          <cell r="A408" t="str">
            <v>LYQ-ZQS1741-W0-XL</v>
          </cell>
          <cell r="B408">
            <v>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LYQ-1001-G7-XS</v>
          </cell>
          <cell r="B409">
            <v>6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6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YZ-HM688-K0-XL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2</v>
          </cell>
        </row>
        <row r="411">
          <cell r="A411" t="str">
            <v>YZ-HMBKN30-B0YH-M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2</v>
          </cell>
        </row>
        <row r="412">
          <cell r="A412" t="str">
            <v>YZ-ZQQ9227-K0-L</v>
          </cell>
          <cell r="B412">
            <v>0</v>
          </cell>
          <cell r="C412">
            <v>2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YZ-ZQ1733-NB-3XL</v>
          </cell>
          <cell r="B413">
            <v>1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1</v>
          </cell>
          <cell r="M413">
            <v>0</v>
          </cell>
        </row>
        <row r="414">
          <cell r="A414" t="str">
            <v>SHJ-ZQLS01-B0-2XL</v>
          </cell>
          <cell r="B414">
            <v>10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10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LYQ-1001New-P0-M</v>
          </cell>
          <cell r="B415">
            <v>5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5</v>
          </cell>
          <cell r="L415">
            <v>0</v>
          </cell>
          <cell r="M415">
            <v>0</v>
          </cell>
        </row>
        <row r="416">
          <cell r="A416" t="str">
            <v>LYQ-1001-G0-XS</v>
          </cell>
          <cell r="B416">
            <v>1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LYQ-ZQ2973-BD-S</v>
          </cell>
          <cell r="B417">
            <v>8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8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YZ-SUZQ9441-K0-2XL</v>
          </cell>
          <cell r="B418">
            <v>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YZ-ZQ1521RF3XL</v>
          </cell>
          <cell r="B419">
            <v>3</v>
          </cell>
          <cell r="C419">
            <v>1</v>
          </cell>
          <cell r="D419">
            <v>6</v>
          </cell>
          <cell r="E419">
            <v>0</v>
          </cell>
          <cell r="F419">
            <v>6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LYQ-1001-G0-S</v>
          </cell>
          <cell r="B420">
            <v>1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YZ-HMBKN0193-W0-XXL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0</v>
          </cell>
          <cell r="L421">
            <v>1</v>
          </cell>
          <cell r="M421">
            <v>0</v>
          </cell>
        </row>
        <row r="422">
          <cell r="A422" t="str">
            <v>YZ-HM7035-G0-L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YZ-CLNK78-W0-M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1</v>
          </cell>
          <cell r="M423">
            <v>0</v>
          </cell>
        </row>
        <row r="424">
          <cell r="A424" t="str">
            <v>LYQ-ZQ7900-W0-XL</v>
          </cell>
          <cell r="B424">
            <v>1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YZ-ZQ15827B0L</v>
          </cell>
          <cell r="B425">
            <v>8</v>
          </cell>
          <cell r="C425">
            <v>1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3</v>
          </cell>
          <cell r="K425">
            <v>0</v>
          </cell>
          <cell r="L425">
            <v>3</v>
          </cell>
          <cell r="M425">
            <v>0</v>
          </cell>
        </row>
        <row r="426">
          <cell r="A426" t="str">
            <v>YZ-ZQ1521WP4XL</v>
          </cell>
          <cell r="B426">
            <v>1</v>
          </cell>
          <cell r="C426">
            <v>1</v>
          </cell>
          <cell r="D426">
            <v>10</v>
          </cell>
          <cell r="E426">
            <v>0</v>
          </cell>
          <cell r="F426">
            <v>10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LYQ-1001-Z0-M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2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LYQ-ZQ1117-KQ-M</v>
          </cell>
          <cell r="B428">
            <v>3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3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YZ-ZQ15921-P0-M</v>
          </cell>
          <cell r="B429">
            <v>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0</v>
          </cell>
          <cell r="L429">
            <v>2</v>
          </cell>
          <cell r="M429">
            <v>0</v>
          </cell>
        </row>
        <row r="430">
          <cell r="A430" t="str">
            <v>YZ-HM1711-B0-XL</v>
          </cell>
          <cell r="B430">
            <v>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YZ-HM17077-K0-XL</v>
          </cell>
          <cell r="B431">
            <v>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2</v>
          </cell>
          <cell r="M431">
            <v>0</v>
          </cell>
        </row>
        <row r="432">
          <cell r="A432" t="str">
            <v>LYQ-ZQ2973-E0-M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LYQ-ZQ3550-E0-S</v>
          </cell>
          <cell r="B433">
            <v>7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YZ-CL912-W0-M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1</v>
          </cell>
          <cell r="M434">
            <v>0</v>
          </cell>
        </row>
        <row r="435">
          <cell r="A435" t="str">
            <v>YZ-HM241-R0-M</v>
          </cell>
          <cell r="B435">
            <v>10</v>
          </cell>
          <cell r="C435">
            <v>1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3</v>
          </cell>
          <cell r="K435">
            <v>0</v>
          </cell>
          <cell r="L435">
            <v>0</v>
          </cell>
          <cell r="M435">
            <v>7</v>
          </cell>
        </row>
        <row r="436">
          <cell r="A436" t="str">
            <v>YZ-CL060-L</v>
          </cell>
          <cell r="B436">
            <v>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2</v>
          </cell>
          <cell r="M436">
            <v>0</v>
          </cell>
        </row>
        <row r="437">
          <cell r="A437" t="str">
            <v>YZ-HMBKN30-WR-L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2</v>
          </cell>
        </row>
        <row r="438">
          <cell r="A438" t="str">
            <v>LYQ-ZQ1117-E0-2XL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2</v>
          </cell>
          <cell r="L438">
            <v>0</v>
          </cell>
          <cell r="M438">
            <v>0</v>
          </cell>
        </row>
        <row r="439">
          <cell r="A439" t="str">
            <v>YZ-ZQXZ345-G0-S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1</v>
          </cell>
          <cell r="M439">
            <v>0</v>
          </cell>
        </row>
        <row r="440">
          <cell r="A440" t="str">
            <v>YZ-SUZQBL03-B0-L</v>
          </cell>
          <cell r="B440">
            <v>1</v>
          </cell>
          <cell r="C440">
            <v>2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YZ-HMBKN1715-R0-M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1</v>
          </cell>
          <cell r="M441">
            <v>1</v>
          </cell>
        </row>
        <row r="442">
          <cell r="A442" t="str">
            <v>LYQ-1001-R0-S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1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YZ-HMBKN30-PI-XL</v>
          </cell>
          <cell r="B443">
            <v>3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3</v>
          </cell>
        </row>
        <row r="444">
          <cell r="A444" t="str">
            <v>YZ-ZQ6667G046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1</v>
          </cell>
          <cell r="M444">
            <v>0</v>
          </cell>
        </row>
        <row r="445">
          <cell r="A445" t="str">
            <v>LYQ-ZQ1117-C0-L</v>
          </cell>
          <cell r="B445">
            <v>6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1</v>
          </cell>
          <cell r="K445">
            <v>5</v>
          </cell>
          <cell r="L445">
            <v>0</v>
          </cell>
          <cell r="M445">
            <v>0</v>
          </cell>
        </row>
        <row r="446">
          <cell r="A446" t="str">
            <v>YZ-HM111-K0-S</v>
          </cell>
          <cell r="B446">
            <v>5</v>
          </cell>
          <cell r="C446">
            <v>4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YZ-HM174164-SY-XL</v>
          </cell>
          <cell r="B447">
            <v>4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1</v>
          </cell>
          <cell r="L447">
            <v>3</v>
          </cell>
          <cell r="M447">
            <v>0</v>
          </cell>
        </row>
        <row r="448">
          <cell r="A448" t="str">
            <v>YZ-HM111-K0-M</v>
          </cell>
          <cell r="B448">
            <v>48</v>
          </cell>
          <cell r="C448">
            <v>2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LYQ-ZQ2973-P0-L</v>
          </cell>
          <cell r="B449">
            <v>6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5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YZ-CL912-K0-S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2</v>
          </cell>
          <cell r="M450">
            <v>0</v>
          </cell>
        </row>
        <row r="451">
          <cell r="A451" t="str">
            <v>LYQ-LY064-G0-M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1</v>
          </cell>
          <cell r="L451">
            <v>0</v>
          </cell>
          <cell r="M451">
            <v>0</v>
          </cell>
        </row>
        <row r="452">
          <cell r="A452" t="str">
            <v>LYQ-LY064-G0-3XL</v>
          </cell>
          <cell r="B452">
            <v>5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2</v>
          </cell>
          <cell r="M452">
            <v>3</v>
          </cell>
        </row>
        <row r="453">
          <cell r="A453" t="str">
            <v>YZ-HM7889-B0-2X</v>
          </cell>
          <cell r="B453">
            <v>3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1</v>
          </cell>
          <cell r="K453">
            <v>0</v>
          </cell>
          <cell r="L453">
            <v>0</v>
          </cell>
          <cell r="M453">
            <v>2</v>
          </cell>
        </row>
        <row r="454">
          <cell r="A454" t="str">
            <v>LYQ-ZQ2973-P0-XL</v>
          </cell>
          <cell r="B454">
            <v>9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9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LYQ-LY064-K0-3XL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YZ-ZQ6189G050</v>
          </cell>
          <cell r="B456">
            <v>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1</v>
          </cell>
        </row>
        <row r="457">
          <cell r="A457" t="str">
            <v>YZ-CLD072-W0-L</v>
          </cell>
          <cell r="B457">
            <v>3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3</v>
          </cell>
          <cell r="M457">
            <v>0</v>
          </cell>
        </row>
        <row r="458">
          <cell r="A458" t="str">
            <v>LYQ-ZQ2973-E0-2XL</v>
          </cell>
          <cell r="B458">
            <v>4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4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YZ-HMBKN17015-OR-L</v>
          </cell>
          <cell r="B459">
            <v>43</v>
          </cell>
          <cell r="C459">
            <v>3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6</v>
          </cell>
          <cell r="K459">
            <v>2</v>
          </cell>
          <cell r="L459">
            <v>28</v>
          </cell>
          <cell r="M459">
            <v>0</v>
          </cell>
        </row>
        <row r="460">
          <cell r="A460" t="str">
            <v>LYQ-ZQ1117-G7-XL</v>
          </cell>
          <cell r="B460">
            <v>8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4</v>
          </cell>
          <cell r="K460">
            <v>4</v>
          </cell>
          <cell r="L460">
            <v>0</v>
          </cell>
          <cell r="M460">
            <v>0</v>
          </cell>
        </row>
        <row r="461">
          <cell r="A461" t="str">
            <v>LYQ-1001-R0-M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LYQ-ZQ2973-G0-S</v>
          </cell>
          <cell r="B462">
            <v>13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11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YZ-ZQ1521GW3XL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YZ-SUZQ9441-K0-M</v>
          </cell>
          <cell r="B464">
            <v>3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YZ-ZQ6189P050</v>
          </cell>
          <cell r="B465">
            <v>5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5</v>
          </cell>
        </row>
        <row r="466">
          <cell r="A466" t="str">
            <v>LYQ-1001-B0-L</v>
          </cell>
          <cell r="B466">
            <v>2</v>
          </cell>
          <cell r="C466">
            <v>1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2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LYQ-ZQ1117-G7-2XL</v>
          </cell>
          <cell r="B467">
            <v>4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4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YZ-ZQTWA1-K0-M</v>
          </cell>
          <cell r="B468">
            <v>2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1</v>
          </cell>
          <cell r="K468">
            <v>0</v>
          </cell>
          <cell r="L468">
            <v>1</v>
          </cell>
          <cell r="M468">
            <v>0</v>
          </cell>
        </row>
        <row r="469">
          <cell r="A469" t="str">
            <v>LYQ-LY064-G0-4XL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LYQ-ZQ1117-B0-XL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YZ-ZQ15827B0M</v>
          </cell>
          <cell r="B471">
            <v>15</v>
          </cell>
          <cell r="C471">
            <v>1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0</v>
          </cell>
          <cell r="L471">
            <v>13</v>
          </cell>
          <cell r="M471">
            <v>0</v>
          </cell>
        </row>
        <row r="472">
          <cell r="A472" t="str">
            <v>LYQ-ZQ2973-P0-S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LYQ-ZQ1117-B0-L</v>
          </cell>
          <cell r="B473">
            <v>2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2</v>
          </cell>
          <cell r="L473">
            <v>0</v>
          </cell>
          <cell r="M473">
            <v>0</v>
          </cell>
        </row>
        <row r="474">
          <cell r="A474" t="str">
            <v>LYQ-CL6408SL-K0XL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2</v>
          </cell>
          <cell r="M474">
            <v>0</v>
          </cell>
        </row>
        <row r="475">
          <cell r="A475" t="str">
            <v>LYQ-CSM048-K0-S</v>
          </cell>
          <cell r="B475">
            <v>3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1</v>
          </cell>
          <cell r="K475">
            <v>1</v>
          </cell>
          <cell r="L475">
            <v>0</v>
          </cell>
          <cell r="M475">
            <v>0</v>
          </cell>
        </row>
        <row r="476">
          <cell r="A476" t="str">
            <v>LYQ-ZQMB170005-K0-XL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2</v>
          </cell>
          <cell r="M476">
            <v>0</v>
          </cell>
        </row>
        <row r="477">
          <cell r="A477" t="str">
            <v>LYQ-ZQ3550-E0-4X</v>
          </cell>
          <cell r="B477">
            <v>0</v>
          </cell>
          <cell r="C477">
            <v>1</v>
          </cell>
          <cell r="D477">
            <v>15</v>
          </cell>
          <cell r="E477">
            <v>0</v>
          </cell>
          <cell r="F477">
            <v>15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YZ-ZQ15827B0XL</v>
          </cell>
          <cell r="B478">
            <v>4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4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YZ-HM241-SH-L</v>
          </cell>
          <cell r="B479">
            <v>8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1</v>
          </cell>
          <cell r="K479">
            <v>1</v>
          </cell>
          <cell r="L479">
            <v>0</v>
          </cell>
          <cell r="M479">
            <v>6</v>
          </cell>
        </row>
        <row r="480">
          <cell r="A480" t="str">
            <v>LYQ-CSM048-G0-L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LYQ-1001New-P0-XL</v>
          </cell>
          <cell r="B481">
            <v>5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5</v>
          </cell>
          <cell r="L481">
            <v>0</v>
          </cell>
          <cell r="M481">
            <v>0</v>
          </cell>
        </row>
        <row r="482">
          <cell r="A482" t="str">
            <v>YZ-ZQ298N05XL</v>
          </cell>
          <cell r="B482">
            <v>9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3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YZ-ZQ1197-KW-XL</v>
          </cell>
          <cell r="B483">
            <v>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2</v>
          </cell>
          <cell r="M483">
            <v>0</v>
          </cell>
        </row>
        <row r="484">
          <cell r="A484" t="str">
            <v>LYQ-1001-G7-M</v>
          </cell>
          <cell r="B484">
            <v>7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7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LYQ-ZQ2973-K0-2XL</v>
          </cell>
          <cell r="B485">
            <v>5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5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LYQ-ZQ1117-KQ-XL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1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LYQ-ZQPC01-P0-M</v>
          </cell>
          <cell r="B487">
            <v>4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3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YZ-HMBKN17015-OR-M</v>
          </cell>
          <cell r="B488">
            <v>21</v>
          </cell>
          <cell r="C488">
            <v>1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17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LYQ-1001-P0-2XL</v>
          </cell>
          <cell r="B489">
            <v>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5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YZ-ZQMS02-K0-M</v>
          </cell>
          <cell r="B490">
            <v>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3</v>
          </cell>
          <cell r="M490">
            <v>0</v>
          </cell>
        </row>
        <row r="491">
          <cell r="A491" t="str">
            <v>YZ-ZQ17986W0-5XL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LYQ-ZQTN2611-BD-3X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1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LYQ-CSM048-GR1-L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YZ-ZQFT1816-Y0-S</v>
          </cell>
          <cell r="B494">
            <v>8</v>
          </cell>
          <cell r="C494">
            <v>2</v>
          </cell>
          <cell r="D494">
            <v>5</v>
          </cell>
          <cell r="E494">
            <v>0</v>
          </cell>
          <cell r="F494">
            <v>5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YZ-ZQ1519-K0-S</v>
          </cell>
          <cell r="B495">
            <v>11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1</v>
          </cell>
          <cell r="K495">
            <v>2</v>
          </cell>
          <cell r="L495">
            <v>8</v>
          </cell>
          <cell r="M495">
            <v>0</v>
          </cell>
        </row>
        <row r="496">
          <cell r="A496" t="str">
            <v>YZ-HMBKN30-PI-M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1</v>
          </cell>
        </row>
        <row r="497">
          <cell r="A497" t="str">
            <v>SJ-HM1995-W0</v>
          </cell>
          <cell r="B497">
            <v>1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SHJ-ZQLS01-B0-3XL</v>
          </cell>
          <cell r="B498">
            <v>7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5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LYQ-1001-B0-XL</v>
          </cell>
          <cell r="B499">
            <v>10</v>
          </cell>
          <cell r="C499">
            <v>1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YZ-HM6175-R0-M</v>
          </cell>
          <cell r="B500">
            <v>2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2</v>
          </cell>
        </row>
        <row r="501">
          <cell r="A501" t="str">
            <v>YZ-HMSG001-G0-L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1</v>
          </cell>
          <cell r="L501">
            <v>0</v>
          </cell>
          <cell r="M501">
            <v>1</v>
          </cell>
        </row>
        <row r="502">
          <cell r="A502" t="str">
            <v>YZ-ZQXZ345-G0-L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</v>
          </cell>
          <cell r="M502">
            <v>0</v>
          </cell>
        </row>
        <row r="503">
          <cell r="A503" t="str">
            <v>YZ-SUZQ388-K0-XS</v>
          </cell>
          <cell r="B503">
            <v>9</v>
          </cell>
          <cell r="C503">
            <v>2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LYQ-ZQ1117-G7-M</v>
          </cell>
          <cell r="B504">
            <v>11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11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YZ-ZQ15827BSS</v>
          </cell>
          <cell r="B505">
            <v>13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5</v>
          </cell>
          <cell r="K505">
            <v>0</v>
          </cell>
          <cell r="L505">
            <v>1</v>
          </cell>
          <cell r="M505">
            <v>7</v>
          </cell>
        </row>
        <row r="506">
          <cell r="A506" t="str">
            <v>YZ-SUZQBL03-B0-M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LYQ-ZQ7900-W0-L</v>
          </cell>
          <cell r="B507">
            <v>1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LYQ-ZQ2973-W1-XL</v>
          </cell>
          <cell r="B508">
            <v>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3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LYQ-ZQPC01-ZL-XL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LYQ-ZQ456-E0-S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WJ-ZQ650-C5</v>
          </cell>
          <cell r="B511">
            <v>6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1</v>
          </cell>
          <cell r="L511">
            <v>4</v>
          </cell>
          <cell r="M511">
            <v>0</v>
          </cell>
        </row>
        <row r="512">
          <cell r="A512" t="str">
            <v>LYQ-1001-B0-2XL</v>
          </cell>
          <cell r="B512">
            <v>6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5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YZ-ZQ1519-K0-M</v>
          </cell>
          <cell r="B513">
            <v>6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6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YZ-HM241-K0-S</v>
          </cell>
          <cell r="B514">
            <v>2</v>
          </cell>
          <cell r="C514">
            <v>1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YZ-ZQ1521BL4XL</v>
          </cell>
          <cell r="B515">
            <v>3</v>
          </cell>
          <cell r="C515">
            <v>2</v>
          </cell>
          <cell r="D515">
            <v>0</v>
          </cell>
          <cell r="E515">
            <v>3</v>
          </cell>
          <cell r="F515">
            <v>3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LYQ-1001-N0-XL</v>
          </cell>
          <cell r="B516">
            <v>7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3</v>
          </cell>
          <cell r="K516">
            <v>4</v>
          </cell>
          <cell r="L516">
            <v>0</v>
          </cell>
          <cell r="M516">
            <v>0</v>
          </cell>
        </row>
        <row r="517">
          <cell r="A517" t="str">
            <v>LYQ-ZQ2973-K0-L</v>
          </cell>
          <cell r="B517">
            <v>8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8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LYQ-HM1205-W0-M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4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YZ-ZQ1519-K0-4X</v>
          </cell>
          <cell r="B519">
            <v>6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6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LYQ-ZQD390-E0-S</v>
          </cell>
          <cell r="B520">
            <v>3</v>
          </cell>
          <cell r="C520">
            <v>1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YZ-HM5036-W0-2XL</v>
          </cell>
          <cell r="B521">
            <v>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1</v>
          </cell>
          <cell r="L521">
            <v>0</v>
          </cell>
          <cell r="M521">
            <v>0</v>
          </cell>
        </row>
        <row r="522">
          <cell r="A522" t="str">
            <v>LYQ-1001-W0-2XL</v>
          </cell>
          <cell r="B522">
            <v>4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4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YZ-ZQA31-K0-M</v>
          </cell>
          <cell r="B523">
            <v>8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1</v>
          </cell>
          <cell r="L523">
            <v>7</v>
          </cell>
          <cell r="M523">
            <v>0</v>
          </cell>
        </row>
        <row r="524">
          <cell r="A524" t="str">
            <v>YZ-HM241-K0-XL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YZ-ZQ6189P048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YZ-HM241-SH-S</v>
          </cell>
          <cell r="B526">
            <v>2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1</v>
          </cell>
          <cell r="M526">
            <v>0</v>
          </cell>
        </row>
        <row r="527">
          <cell r="A527" t="str">
            <v>YZ-SUZQ9441-K0-3XL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YZ-ZQ1521BF4XL</v>
          </cell>
          <cell r="B528">
            <v>10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YZ-ZQ1732-K0-XL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1</v>
          </cell>
          <cell r="M529">
            <v>0</v>
          </cell>
        </row>
        <row r="530">
          <cell r="A530" t="str">
            <v>LYQ-CL6287-FB-L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3</v>
          </cell>
          <cell r="M530">
            <v>0</v>
          </cell>
        </row>
        <row r="531">
          <cell r="A531" t="str">
            <v>YZ-HMBKN30-ZL-M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1</v>
          </cell>
          <cell r="L531">
            <v>0</v>
          </cell>
          <cell r="M531">
            <v>3</v>
          </cell>
        </row>
        <row r="532">
          <cell r="A532" t="str">
            <v>YZ-ZQ15827BSL</v>
          </cell>
          <cell r="B532">
            <v>12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4</v>
          </cell>
          <cell r="K532">
            <v>1</v>
          </cell>
          <cell r="L532">
            <v>3</v>
          </cell>
          <cell r="M532">
            <v>4</v>
          </cell>
        </row>
        <row r="533">
          <cell r="A533" t="str">
            <v>YZ-HM1683-B0-50</v>
          </cell>
          <cell r="B533">
            <v>2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1</v>
          </cell>
          <cell r="L533">
            <v>0</v>
          </cell>
          <cell r="M533">
            <v>1</v>
          </cell>
        </row>
        <row r="534">
          <cell r="A534" t="str">
            <v>YZ-ZQ1521BL2XL</v>
          </cell>
          <cell r="B534">
            <v>6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1</v>
          </cell>
          <cell r="K534">
            <v>0</v>
          </cell>
          <cell r="L534">
            <v>0</v>
          </cell>
          <cell r="M534">
            <v>2</v>
          </cell>
        </row>
        <row r="535">
          <cell r="A535" t="str">
            <v>YZ-HM1683-B0-52</v>
          </cell>
          <cell r="B535">
            <v>3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3</v>
          </cell>
        </row>
        <row r="536">
          <cell r="A536" t="str">
            <v>LYQ-ZQ2973-G0-L</v>
          </cell>
          <cell r="B536">
            <v>6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6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LYQ-ZQPC01-B0-XXL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YZ-ZQ1126-K0-XL</v>
          </cell>
          <cell r="B538">
            <v>1</v>
          </cell>
          <cell r="C538">
            <v>1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YZ-ZQ1519-K0-3X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LYQ-HM1205-KH-S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2</v>
          </cell>
          <cell r="L540">
            <v>0</v>
          </cell>
          <cell r="M540">
            <v>0</v>
          </cell>
        </row>
        <row r="541">
          <cell r="A541" t="str">
            <v>YZ-ZQ1521RL4XL</v>
          </cell>
          <cell r="B541">
            <v>10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YZ-ZQ15827BSM</v>
          </cell>
          <cell r="B542">
            <v>16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4</v>
          </cell>
          <cell r="K542">
            <v>1</v>
          </cell>
          <cell r="L542">
            <v>4</v>
          </cell>
          <cell r="M542">
            <v>7</v>
          </cell>
        </row>
        <row r="543">
          <cell r="A543" t="str">
            <v>LYQ-ZQ1117-E0-L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5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YZ-HM7889-R0-3X</v>
          </cell>
          <cell r="B544">
            <v>6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1</v>
          </cell>
          <cell r="K544">
            <v>0</v>
          </cell>
          <cell r="L544">
            <v>5</v>
          </cell>
          <cell r="M544">
            <v>0</v>
          </cell>
        </row>
        <row r="545">
          <cell r="A545" t="str">
            <v>LYQ-ZQ2973-K0-S</v>
          </cell>
          <cell r="B545">
            <v>6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6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YZ-ZQLS062-K0-M</v>
          </cell>
          <cell r="B546">
            <v>1</v>
          </cell>
          <cell r="C546">
            <v>1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YZ-ZQ1617ZL3XL</v>
          </cell>
          <cell r="B547">
            <v>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1</v>
          </cell>
          <cell r="K547">
            <v>1</v>
          </cell>
          <cell r="L547">
            <v>0</v>
          </cell>
          <cell r="M547">
            <v>0</v>
          </cell>
        </row>
        <row r="548">
          <cell r="A548" t="str">
            <v>YZ-HM0052-B0-S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YZ-HM174164-SY-2XL</v>
          </cell>
          <cell r="B549">
            <v>6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5</v>
          </cell>
          <cell r="M549">
            <v>0</v>
          </cell>
        </row>
        <row r="550">
          <cell r="A550" t="str">
            <v>YZ-HM1727-Pi-4XL</v>
          </cell>
          <cell r="B550">
            <v>10</v>
          </cell>
          <cell r="C550">
            <v>2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2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YZ-ZQ15827R2XL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LYQ-ZQPC01-ZL-XXL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YZ-HM241-SH-M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1</v>
          </cell>
          <cell r="L553">
            <v>0</v>
          </cell>
          <cell r="M553">
            <v>1</v>
          </cell>
        </row>
        <row r="554">
          <cell r="A554" t="str">
            <v>YZ-ZQ6189Y048</v>
          </cell>
          <cell r="B554">
            <v>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3</v>
          </cell>
        </row>
        <row r="555">
          <cell r="A555" t="str">
            <v>YZ-ZQ17984-R0-2X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LYQ-ZQ8200-P0-XL</v>
          </cell>
          <cell r="B556">
            <v>8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3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YZ-ZQ1521BL3XL</v>
          </cell>
          <cell r="B557">
            <v>2</v>
          </cell>
          <cell r="C557">
            <v>0</v>
          </cell>
          <cell r="D557">
            <v>0</v>
          </cell>
          <cell r="E557">
            <v>4</v>
          </cell>
          <cell r="F557">
            <v>4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LYQ-ZQPC01-P0-L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2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YZ-HM1683-BDZL-48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LYQ-CL0045-Y0-M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2</v>
          </cell>
          <cell r="M560">
            <v>0</v>
          </cell>
        </row>
        <row r="561">
          <cell r="A561" t="str">
            <v>YZ-HMBKN30-K0-S</v>
          </cell>
          <cell r="B561">
            <v>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3</v>
          </cell>
        </row>
        <row r="562">
          <cell r="A562" t="str">
            <v>YZ-SUZQBL03-B0-3X</v>
          </cell>
          <cell r="B562">
            <v>2</v>
          </cell>
          <cell r="C562">
            <v>1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LYQ-ZQ1669-B0-XL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4</v>
          </cell>
          <cell r="M563">
            <v>0</v>
          </cell>
        </row>
        <row r="564">
          <cell r="A564" t="str">
            <v>WJ-ZQ650-C6</v>
          </cell>
          <cell r="B564">
            <v>7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2</v>
          </cell>
          <cell r="L564">
            <v>5</v>
          </cell>
          <cell r="M564">
            <v>0</v>
          </cell>
        </row>
        <row r="565">
          <cell r="A565" t="str">
            <v>LYQ-CSM048-GR0-M</v>
          </cell>
          <cell r="B565">
            <v>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A566" t="str">
            <v>YZ-HM1683-ZL-48</v>
          </cell>
          <cell r="B566">
            <v>4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4</v>
          </cell>
          <cell r="M566">
            <v>0</v>
          </cell>
        </row>
        <row r="567">
          <cell r="A567" t="str">
            <v>YZ-ZQ1521RMXL</v>
          </cell>
          <cell r="B567">
            <v>10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5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YZ-ZQ17986W0-L</v>
          </cell>
          <cell r="B568">
            <v>8</v>
          </cell>
          <cell r="C568">
            <v>1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7</v>
          </cell>
          <cell r="M568">
            <v>0</v>
          </cell>
        </row>
        <row r="569">
          <cell r="A569" t="str">
            <v>YZ-CL912-BS-M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4</v>
          </cell>
          <cell r="L569">
            <v>0</v>
          </cell>
          <cell r="M569" t="str">
            <v>USD</v>
          </cell>
        </row>
        <row r="570">
          <cell r="A570" t="str">
            <v>YZ-CLNK78-B6-M</v>
          </cell>
          <cell r="B570">
            <v>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3</v>
          </cell>
          <cell r="M570">
            <v>0</v>
          </cell>
        </row>
        <row r="571">
          <cell r="A571" t="str">
            <v>LYQ-ZQPC01-P0-XL</v>
          </cell>
          <cell r="B571">
            <v>6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6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YZ-ZQ1521GF3XL</v>
          </cell>
          <cell r="B572">
            <v>11</v>
          </cell>
          <cell r="C572">
            <v>1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LYQ-ZQS1741-K0-M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LYQ-ZQ2973-G0-2XL</v>
          </cell>
          <cell r="B574">
            <v>5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5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YZ-ZQ19758-K0-S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YZ-HM0034-TW-L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1</v>
          </cell>
          <cell r="M576">
            <v>0</v>
          </cell>
        </row>
        <row r="577">
          <cell r="A577" t="str">
            <v>YZ-HMBKN30-K0YH-XL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3</v>
          </cell>
        </row>
        <row r="578">
          <cell r="A578" t="str">
            <v>YZ-ZQ6189Y052</v>
          </cell>
          <cell r="B578">
            <v>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1</v>
          </cell>
          <cell r="L578">
            <v>0</v>
          </cell>
          <cell r="M578">
            <v>1</v>
          </cell>
        </row>
        <row r="579">
          <cell r="A579" t="str">
            <v>LYQ-ZQ1117-K0-M</v>
          </cell>
          <cell r="B579">
            <v>4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3</v>
          </cell>
          <cell r="K579">
            <v>1</v>
          </cell>
          <cell r="L579">
            <v>0</v>
          </cell>
          <cell r="M579">
            <v>0</v>
          </cell>
        </row>
        <row r="580">
          <cell r="A580" t="str">
            <v>LYQ-ZQ2973-K0-XL</v>
          </cell>
          <cell r="B580">
            <v>9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8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YZ-HMSG001-G0-M</v>
          </cell>
          <cell r="B581">
            <v>1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1</v>
          </cell>
        </row>
        <row r="582">
          <cell r="A582" t="str">
            <v>LYQ-1001-K0-M</v>
          </cell>
          <cell r="B582">
            <v>2</v>
          </cell>
          <cell r="C582">
            <v>1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2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YZ-HM1728-ZL-XL</v>
          </cell>
          <cell r="B583">
            <v>5</v>
          </cell>
          <cell r="C583">
            <v>6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LYQ-ZQPC01-B0-L</v>
          </cell>
          <cell r="B584">
            <v>1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1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YZ-ZQSG16121E03XL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4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LYQ-ZQMB3811-E0-3X</v>
          </cell>
          <cell r="B586">
            <v>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0</v>
          </cell>
          <cell r="L586">
            <v>1</v>
          </cell>
          <cell r="M586">
            <v>0</v>
          </cell>
        </row>
        <row r="587">
          <cell r="A587" t="str">
            <v>YZ-ZQ47121-K0-M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1</v>
          </cell>
          <cell r="M587">
            <v>0</v>
          </cell>
        </row>
        <row r="588">
          <cell r="A588" t="str">
            <v>YZ-ZQ7777B018</v>
          </cell>
          <cell r="B588">
            <v>3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1</v>
          </cell>
          <cell r="L588">
            <v>0</v>
          </cell>
          <cell r="M588">
            <v>2</v>
          </cell>
        </row>
        <row r="589">
          <cell r="A589" t="str">
            <v>YZ-HMBKN30-ZL-L</v>
          </cell>
          <cell r="B589">
            <v>4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1</v>
          </cell>
          <cell r="M589">
            <v>3</v>
          </cell>
        </row>
        <row r="590">
          <cell r="A590" t="str">
            <v>YZ-SUZQ9441-K0-S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LYQ-1001-Z0-XL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5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YZ-ZQ1521BF2XL</v>
          </cell>
          <cell r="B592">
            <v>6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LYQ-ZQMB3811-E0-XL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1</v>
          </cell>
          <cell r="K593">
            <v>1</v>
          </cell>
          <cell r="L593">
            <v>0</v>
          </cell>
          <cell r="M593">
            <v>0</v>
          </cell>
        </row>
        <row r="594">
          <cell r="A594" t="str">
            <v>LYQ-ZQ1117-B0-M</v>
          </cell>
          <cell r="B594">
            <v>10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LYQ-ZQ1117-K0-L</v>
          </cell>
          <cell r="B595">
            <v>3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3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YZ-ZQ19758-K0-XL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3</v>
          </cell>
        </row>
        <row r="597">
          <cell r="A597" t="str">
            <v>LYQ-1001New-P0-2XL</v>
          </cell>
          <cell r="B597">
            <v>5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5</v>
          </cell>
          <cell r="L597">
            <v>0</v>
          </cell>
          <cell r="M597">
            <v>0</v>
          </cell>
        </row>
        <row r="598">
          <cell r="A598" t="str">
            <v>LYQ-ZQMB3811-E0-2X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</v>
          </cell>
          <cell r="L598">
            <v>0</v>
          </cell>
          <cell r="M598">
            <v>0</v>
          </cell>
        </row>
        <row r="599">
          <cell r="A599" t="str">
            <v>LYQ-CL0045-Y0-S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2</v>
          </cell>
          <cell r="M599">
            <v>0</v>
          </cell>
        </row>
        <row r="600">
          <cell r="A600" t="str">
            <v>YZ-ZQ8867-B0-L</v>
          </cell>
          <cell r="B600">
            <v>12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1</v>
          </cell>
          <cell r="K600">
            <v>0</v>
          </cell>
          <cell r="L600">
            <v>11</v>
          </cell>
          <cell r="M600">
            <v>0</v>
          </cell>
        </row>
        <row r="601">
          <cell r="A601" t="str">
            <v>LYQ-ZQ1117-BD-2XL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2</v>
          </cell>
          <cell r="L601">
            <v>0</v>
          </cell>
          <cell r="M601">
            <v>0</v>
          </cell>
        </row>
        <row r="602">
          <cell r="A602" t="str">
            <v>YZ-ZQZY456-R0-L</v>
          </cell>
          <cell r="B602">
            <v>3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2</v>
          </cell>
          <cell r="L602">
            <v>0</v>
          </cell>
          <cell r="M602">
            <v>0</v>
          </cell>
        </row>
        <row r="603">
          <cell r="A603" t="str">
            <v>LYQ-ZQPC01-BD-XL</v>
          </cell>
          <cell r="B603">
            <v>5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5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YZ-ZQ0707-Y0TW-L</v>
          </cell>
          <cell r="B604">
            <v>1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YZ-SM-HM30CH-XL</v>
          </cell>
          <cell r="B605">
            <v>7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3</v>
          </cell>
          <cell r="K605">
            <v>1</v>
          </cell>
          <cell r="L605">
            <v>2</v>
          </cell>
          <cell r="M605">
            <v>0</v>
          </cell>
        </row>
        <row r="606">
          <cell r="A606" t="str">
            <v>WJ-ZQ650-C10</v>
          </cell>
          <cell r="B606">
            <v>5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5</v>
          </cell>
          <cell r="L606">
            <v>0</v>
          </cell>
          <cell r="M606">
            <v>0</v>
          </cell>
        </row>
        <row r="607">
          <cell r="A607" t="str">
            <v>LYQ-1001-Z0-2XL</v>
          </cell>
          <cell r="B607">
            <v>10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9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LYQ-1001-W0-L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2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LYQ-HM1205-OR-S</v>
          </cell>
          <cell r="B609">
            <v>1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YZ-HM7040-ZL-M</v>
          </cell>
          <cell r="B610">
            <v>1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A611" t="str">
            <v>YZ-HMBKN16024-Y0-M</v>
          </cell>
          <cell r="B611">
            <v>14</v>
          </cell>
          <cell r="C611">
            <v>1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3</v>
          </cell>
          <cell r="L611">
            <v>10</v>
          </cell>
          <cell r="M611">
            <v>0</v>
          </cell>
        </row>
        <row r="612">
          <cell r="A612" t="str">
            <v>YZ-HM174164-SY-3XL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1</v>
          </cell>
          <cell r="L612">
            <v>2</v>
          </cell>
          <cell r="M612">
            <v>0</v>
          </cell>
        </row>
        <row r="613">
          <cell r="A613" t="str">
            <v>LYQ-ZQ2973-ZL-M</v>
          </cell>
          <cell r="B613">
            <v>9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8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YZ-ZQ14976-Y0-3X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YZ-HM17077-CO-L</v>
          </cell>
          <cell r="B615">
            <v>1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1</v>
          </cell>
          <cell r="M615">
            <v>0</v>
          </cell>
        </row>
        <row r="616">
          <cell r="A616" t="str">
            <v>LYQ-1001-R0-2XL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YZ-ZQZY456-R0-M</v>
          </cell>
          <cell r="B617">
            <v>5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1</v>
          </cell>
          <cell r="L617">
            <v>3</v>
          </cell>
          <cell r="M617">
            <v>0</v>
          </cell>
        </row>
        <row r="618">
          <cell r="A618" t="str">
            <v>YZ-JY2526-R0-4XL</v>
          </cell>
          <cell r="B618">
            <v>4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3</v>
          </cell>
          <cell r="L618">
            <v>1</v>
          </cell>
          <cell r="M618">
            <v>0</v>
          </cell>
        </row>
        <row r="619">
          <cell r="A619" t="str">
            <v>YZ-HM7889-R0-5X</v>
          </cell>
          <cell r="B619">
            <v>5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1</v>
          </cell>
          <cell r="L619">
            <v>2</v>
          </cell>
          <cell r="M619">
            <v>0</v>
          </cell>
        </row>
        <row r="620">
          <cell r="A620" t="str">
            <v>LYQ-ZQ2973-KQ-M</v>
          </cell>
          <cell r="B620">
            <v>5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5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LYQ-ZQTN2611-PI-XL</v>
          </cell>
          <cell r="B621">
            <v>3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2</v>
          </cell>
          <cell r="L621">
            <v>1</v>
          </cell>
          <cell r="M621">
            <v>0</v>
          </cell>
        </row>
        <row r="622">
          <cell r="A622" t="str">
            <v>YZ-JY5694-K0-M</v>
          </cell>
          <cell r="B622">
            <v>10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10</v>
          </cell>
        </row>
        <row r="623">
          <cell r="A623" t="str">
            <v>YZ-ZQ789K0L</v>
          </cell>
          <cell r="B623">
            <v>3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LYQ-ZQ3550-E0-L</v>
          </cell>
          <cell r="B624">
            <v>4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YZ-ZQFT1816-O0-S</v>
          </cell>
          <cell r="B625">
            <v>2</v>
          </cell>
          <cell r="C625">
            <v>0</v>
          </cell>
          <cell r="D625">
            <v>5</v>
          </cell>
          <cell r="E625">
            <v>0</v>
          </cell>
          <cell r="F625">
            <v>5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MZ-JY1616-ZL</v>
          </cell>
          <cell r="B626">
            <v>4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3</v>
          </cell>
          <cell r="L626">
            <v>0</v>
          </cell>
          <cell r="M626">
            <v>0</v>
          </cell>
        </row>
        <row r="627">
          <cell r="A627" t="str">
            <v>YZ-ZQ1521RL2XL</v>
          </cell>
          <cell r="B627">
            <v>14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2</v>
          </cell>
          <cell r="M627">
            <v>12</v>
          </cell>
        </row>
        <row r="628">
          <cell r="A628" t="str">
            <v>YZ-ZQ1521BF5XL</v>
          </cell>
          <cell r="B628">
            <v>0</v>
          </cell>
          <cell r="C628">
            <v>1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LYQ-ZQD270-K0-XL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LYQ-ZQ1117-C0-XL</v>
          </cell>
          <cell r="B630">
            <v>10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10</v>
          </cell>
          <cell r="L630">
            <v>0</v>
          </cell>
          <cell r="M630">
            <v>0</v>
          </cell>
        </row>
        <row r="631">
          <cell r="A631" t="str">
            <v>LYQ-CL0045-K0-S</v>
          </cell>
          <cell r="B631">
            <v>2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2</v>
          </cell>
          <cell r="M631">
            <v>0</v>
          </cell>
        </row>
        <row r="632">
          <cell r="A632" t="str">
            <v>YZ-ZQMICAIK0M</v>
          </cell>
          <cell r="B632">
            <v>5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</v>
          </cell>
          <cell r="K632">
            <v>0</v>
          </cell>
          <cell r="L632">
            <v>2</v>
          </cell>
          <cell r="M632">
            <v>0</v>
          </cell>
        </row>
        <row r="633">
          <cell r="A633" t="str">
            <v>YZ-JY7105-K0-XL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1</v>
          </cell>
        </row>
        <row r="634">
          <cell r="A634" t="str">
            <v>YZ-HM7889-B0-5X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YZ-HM6175-B0-M</v>
          </cell>
          <cell r="B635">
            <v>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2</v>
          </cell>
        </row>
        <row r="636">
          <cell r="A636" t="str">
            <v>YZ-HMBKN17015-K0-XL</v>
          </cell>
          <cell r="B636">
            <v>6</v>
          </cell>
          <cell r="C636">
            <v>1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3</v>
          </cell>
          <cell r="K636">
            <v>2</v>
          </cell>
          <cell r="L636">
            <v>1</v>
          </cell>
          <cell r="M636">
            <v>0</v>
          </cell>
        </row>
        <row r="637">
          <cell r="A637" t="str">
            <v>LYQ-CL6287-G7-L</v>
          </cell>
          <cell r="B637">
            <v>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3</v>
          </cell>
          <cell r="M637">
            <v>0</v>
          </cell>
        </row>
        <row r="638">
          <cell r="A638" t="str">
            <v>YZ-HM1683-B0-48</v>
          </cell>
          <cell r="B638">
            <v>3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3</v>
          </cell>
        </row>
        <row r="639">
          <cell r="A639" t="str">
            <v>YZ-CFAM005-LABUGR-M</v>
          </cell>
          <cell r="B639">
            <v>1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1</v>
          </cell>
        </row>
        <row r="640">
          <cell r="A640" t="str">
            <v>YZ-HM111-B0-XL</v>
          </cell>
          <cell r="B640">
            <v>12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1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SHJ-ZQLS12-K0-L</v>
          </cell>
          <cell r="B641">
            <v>4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3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YZ-ZQ1521GFXL</v>
          </cell>
          <cell r="B642">
            <v>7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3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YZ-ZQ16597B04XL</v>
          </cell>
          <cell r="B643">
            <v>6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1</v>
          </cell>
          <cell r="K643">
            <v>0</v>
          </cell>
          <cell r="L643">
            <v>5</v>
          </cell>
          <cell r="M643">
            <v>0</v>
          </cell>
        </row>
        <row r="644">
          <cell r="A644" t="str">
            <v>YZ-ZQ1521WP2XL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YZ-HM5036-W0-L</v>
          </cell>
          <cell r="B645">
            <v>4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4</v>
          </cell>
        </row>
        <row r="646">
          <cell r="A646" t="str">
            <v>LYQ-LY064-B0-L</v>
          </cell>
          <cell r="B646">
            <v>1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1</v>
          </cell>
          <cell r="M646">
            <v>0</v>
          </cell>
        </row>
        <row r="647">
          <cell r="A647" t="str">
            <v>YZ-ZQTWA1-K0-4X</v>
          </cell>
          <cell r="B647">
            <v>9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2</v>
          </cell>
          <cell r="K647">
            <v>0</v>
          </cell>
          <cell r="L647">
            <v>7</v>
          </cell>
          <cell r="M647">
            <v>0</v>
          </cell>
        </row>
        <row r="648">
          <cell r="A648" t="str">
            <v>YZ-ZQ16597B02XL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1</v>
          </cell>
        </row>
        <row r="649">
          <cell r="A649" t="str">
            <v>YZ-ZQ16103ZL2XL</v>
          </cell>
          <cell r="B649">
            <v>1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YZ-HM0052-B0-XL</v>
          </cell>
          <cell r="B650">
            <v>3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1</v>
          </cell>
          <cell r="L650">
            <v>1</v>
          </cell>
          <cell r="M650">
            <v>0</v>
          </cell>
        </row>
        <row r="651">
          <cell r="A651" t="str">
            <v>YZ-ZQ112B0L</v>
          </cell>
          <cell r="B651">
            <v>13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8</v>
          </cell>
          <cell r="K651">
            <v>2</v>
          </cell>
          <cell r="L651">
            <v>0</v>
          </cell>
          <cell r="M651">
            <v>0</v>
          </cell>
        </row>
        <row r="652">
          <cell r="A652" t="str">
            <v>LYQ-ZQ2973-BD-2XL</v>
          </cell>
          <cell r="B652">
            <v>10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10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YZ-ZQ6189G048</v>
          </cell>
          <cell r="B653">
            <v>2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1</v>
          </cell>
          <cell r="M653">
            <v>1</v>
          </cell>
        </row>
        <row r="654">
          <cell r="A654" t="str">
            <v>YZ-ZQ298N03XL</v>
          </cell>
          <cell r="B654">
            <v>1</v>
          </cell>
          <cell r="C654">
            <v>1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YZ-HMBKN30-K0YH-S</v>
          </cell>
          <cell r="B655">
            <v>1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1</v>
          </cell>
          <cell r="M655">
            <v>0</v>
          </cell>
        </row>
        <row r="656">
          <cell r="A656" t="str">
            <v>LYQ-ZQTN2611-PI-3X</v>
          </cell>
          <cell r="B656">
            <v>1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1</v>
          </cell>
          <cell r="L656">
            <v>0</v>
          </cell>
          <cell r="M656">
            <v>0</v>
          </cell>
        </row>
        <row r="657">
          <cell r="A657" t="str">
            <v>LYQ-ZQ1117-BD-L</v>
          </cell>
          <cell r="B657">
            <v>3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3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LYQ-1001-K0-L</v>
          </cell>
          <cell r="B658">
            <v>0</v>
          </cell>
          <cell r="C658">
            <v>1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LYQ-1001-R0-L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LYQ-1001-R0-XL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LYQ-CL0045-K0-L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LYQ-CL6287-K0-L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LYQ-CLBAH002-L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LYQ-CLBAH002-XL</v>
          </cell>
          <cell r="B664">
            <v>0</v>
          </cell>
          <cell r="C664">
            <v>2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LYQ-HM1205-OR-M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LYQ-HM1205-W0-L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LYQ-LY064-G0-L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LYQ-ZQ1117-B0-2XL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LYQ-ZQ1117-E0-S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LYQ-ZQ1117-KQ-2XL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LYQ-ZQ1117-KQ-L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LYQ-ZQ1428-R0-M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LYQ-ZQ1428-Y0-S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LYQ-ZQ1669-B0-L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LYQ-ZQ1669-B0-M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LYQ-ZQ1669-B0-S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LYQ-ZQ1880-R0-M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LYQ-ZQ1880-R0-S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LYQ-ZQ1880-R0-XL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LYQ-ZQ1880-ZL-M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LYQ-ZQ1880-ZL-S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LYQ-ZQ1880-ZL-XL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LYQ-ZQ2973-BD-M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LYQ-ZQ2973-E0-XL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LYQ-ZQ2W00-K0-L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LYQ-ZQ2W00-K0-XL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LYQ-ZQ3550-PI-2X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LYQ-ZQ8200-FB-L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LYQ-ZQ8200-FB-M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LYQ-ZQ8200-P0-L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LYQ-ZQ8200-P0-M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LYQ-ZQ8200-P0-S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LYQ-ZQC910-K0-XL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LYQ-ZQD270-P0-XL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LYQ-ZQD390-K0-S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LYQ-ZQMB170005-K0-2X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LYQ-ZQMB3811-E0-5X</v>
          </cell>
          <cell r="B697">
            <v>0</v>
          </cell>
          <cell r="C697">
            <v>1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LYQ-ZQMB3811-E0-6X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LYQ-ZQMB3811-K0-3X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LYQ-ZQPC01-E0-L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LYQ-ZQPC01-E0-S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LYQ-ZQPC01-E0-XXL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LYQ-ZQPC01-ZL-L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LYQ-ZQS1741-W0-M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LYQ-ZQS1741-W0-S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MNQ-N718-W0-M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PJ-ZQ0976-K0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PJ-ZQ0976-O0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SHJ-ZQLS12-K0-2XL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SHJ-ZQLS12-K0-3XL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WT-ZQ921-K0-2XL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YZ-CFAM005-ARGR-M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YZ-CL0001-R0-XS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YZ-CL0001-R1-S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YZ-CL0001-R2-M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YZ-CL0001-R4-XL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YZ-CL0393-B0-M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YZ-CL1717-W0-M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YZ-CL7042-R0-M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YZ-CL7042-ZL-M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YZ-CL912-K0-XL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YZ-CLD072-MU-M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YZ-CLD072-MU-S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YZ-HM0669-W0-M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YZ-HM0669-W0-S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YZ-HM111-B0-M</v>
          </cell>
          <cell r="B726">
            <v>0</v>
          </cell>
          <cell r="C726">
            <v>4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YZ-HM111-YH-M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YZ-HM1423-Y0-2XL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YZ-HM1478-Wi-L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YZ-HM1683-BDB0-52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YZ-HM1683-BDG0-54</v>
          </cell>
          <cell r="B731">
            <v>0</v>
          </cell>
          <cell r="C731">
            <v>1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YZ-HM1683-ZL-52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YZ-HM1689-R0-50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YZ-HM1689-R0-52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YZ-HM17-G0-2XL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YZ-HM17077-B0-L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YZ-HM17077-PI-S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YZ-HM17077-W0-M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YZ-HM17077-W0-XL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YZ-HM1757-K0-L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YZ-HM1757-K0-M</v>
          </cell>
          <cell r="B741">
            <v>0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YZ-HM1757-K0-XL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YZ-HM1757-Pi-M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YZ-HM1757-Pi-S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YZ-HM1757-Pi-XL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YZ-HM241-DS-XL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YZ-HM241-G0-M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YZ-HM241-K0-3XL</v>
          </cell>
          <cell r="B748">
            <v>0</v>
          </cell>
          <cell r="C748">
            <v>1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YZ-HM241-K0-M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YZ-HM241-R0-2XL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YZ-HM241-R0-L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YZ-HM241-SH-2XL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YZ-HM241-SH-3XL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YZ-HM241-SH-5XL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YZ-HM241-ZL-2XL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YZ-HM241-ZL-3XL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YZ-HM241-ZL-L</v>
          </cell>
          <cell r="B757">
            <v>0</v>
          </cell>
          <cell r="C757">
            <v>1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YZ-HM241-ZL-M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YZ-HM5036-W0-XL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YZ-HM7035-G0-M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YZ-HM7035-G0-XL</v>
          </cell>
          <cell r="B761">
            <v>0</v>
          </cell>
          <cell r="C761">
            <v>1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YZ-HM7040-ZL-S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YZ-HMBKN17015-K0-L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YZ-HMBKN17015-K0-M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YZ-HMBKN17015-OR-S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YZ-HMJ005-K0-L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YZ-JY2526-R0-XL</v>
          </cell>
          <cell r="B767">
            <v>0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YZ-JY3233-K0-M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YZ-JY3233-K0-S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YZ-JY3233-K0-XL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YZ-JY3233-K0-XS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YZ-JY3288-B0-1L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YZ-JY5694-K0-3XL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YZ-JY5694-K0-4XL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YZ-JY5694-K0-XL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YZ-JY7015-R0-XL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YZ-JY8419-B0-2XL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YZ-JY8419-ZL-2XL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YZ-SM-HM30CH-L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YZ-SU16103-R0-2XL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YZ-SU16103-R0-L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YZ-SU16103-ZL-2XL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YZ-SU1617-BH-4XL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YZ-SU1617-BH-M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YZ-SU1617-BH-XL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YZ-SU1617-K0-M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YZ-SU1617-KH-L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YZ-SU1617-KH-M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YZ-SU1617-ZL-L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YZ-SU1617-ZL-XL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YZ-SU45984-K0-5XL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YZ-SU45984-K0-L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YZ-SU45984-K0-M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YZ-SUA100-G0-XL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YZ-SUBL03-B0-L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YZ-SUBL03-B0-M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YZ-SUBL03-B0-S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YZ-SUBL03-B0-XL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YZ-SUBL03-B0-XS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YZ-SUBL03-K0-XL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YZ-SUBL03-R2-L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YZ-SUBL03-R2-M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YZ-SUBL03-R2-S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YZ-SUBL03-R2-XL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YZ-SUBL03-R2-XS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YZ-SULS062-K0-2XL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YZ-SULS062-K0-L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YZ-SULS062-K0-M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YZ-SULS062-K0-S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YZ-SULS062-K0-XL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YZ-SUTWA100-K0-2XL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YZ-SUTWA100-K0-5XL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YZ-SUTWA100-K0-L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YZ-SUTWA100-K0-M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YZ-SUTWA100-K0-S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YZ-SUTWA100-K0-XL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YZ-SUXZBL03-B0-L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YZ-SUXZBL03-K0-S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YZ-SUXZBL03-R2-S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YZ-SUZQ161-E0-2XL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YZ-SUZQ161-E0-3XL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YZ-SUZQ161-E0-L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YZ-SUZQ161-E0-XL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YZ-SUZQ161-R0-2XL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YZ-SUZQ161-R0-3XL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YZ-SUZQ161-R0-L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YZ-SUZQ161-R0-XL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YZ-SUZQ161-Y0-2XL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YZ-SUZQ161-Y0-3XL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YZ-SUZQ161-Y0-L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YZ-SUZQ161-Y0-XL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YZ-SUZQ172-B0-L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YZ-SUZQ172-B0-M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YZ-SUZQ172-B0-S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YZ-SUZQ172-B0-XL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YZ-SUZQ172-K0-L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YZ-SUZQ172-K0-M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YZ-SUZQ172-K0-S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YZ-SUZQ172-K0-XL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YZ-SUZQ172-R0-L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YZ-SUZQ172-R0-M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YZ-SUZQ172-R0-S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YZ-SUZQ172-R0-XL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YZ-SUZQ173-K0-2XL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YZ-SUZQ173-K0-3XL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YZ-SUZQ173-K0-L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YZ-SUZQ173-K0-M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YZ-SUZQ173-K0-S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YZ-SUZQ173-K0-XL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YZ-SUZQ173-NB-2XL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YZ-SUZQ173-NB-3XL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YZ-SUZQ173-NB-L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YZ-SUZQ173-NB-M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YZ-SUZQ173-NB-S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YZ-SUZQ173-NB-XL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YZ-SUZQ173-R0-2XL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YZ-SUZQ173-R0-3XL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YZ-SUZQ173-R0-L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YZ-SUZQ173-R0-M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YZ-SUZQ173-R0-S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YZ-SUZQ173-R0-XL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YZ-SUZQ173-SB-2XL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YZ-SUZQ173-SB-3XL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YZ-SUZQ173-SB-L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YZ-SUZQ173-SB-M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YZ-SUZQ173-SB-S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YZ-SUZQ173-SB-XL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YZ-SUZQ187-K0-2X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YZ-SUZQ187-K0-4X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YZ-SUZQ187-K0-5X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YZ-SUZQ187-K0-L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YZ-SUZQ187-K0-M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YZ-SUZQ187-K0-S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YZ-SUZQ187-K0-XL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YZ-SUZQ388-K0-S</v>
          </cell>
          <cell r="B875">
            <v>0</v>
          </cell>
          <cell r="C875">
            <v>7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YZ-SUZQ598-R0-2XL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YZ-SUZQ598-R0-3XL</v>
          </cell>
          <cell r="B877">
            <v>0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YZ-SUZQ598-R0-5XL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YZ-SUZQ598-R0-L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YZ-SUZQ598-R0-XL</v>
          </cell>
          <cell r="B880">
            <v>0</v>
          </cell>
          <cell r="C880">
            <v>2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YZ-SUZQ733-K0-2XL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YZ-SUZQ733-K0-3XL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YZ-SUZQ733-K0-L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YZ-SUZQ733-K0-M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YZ-SUZQ733-K0-S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YZ-SUZQ733-K0-XL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YZ-SUZQ733-NB-2XL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YZ-SUZQ733-NB-3XL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YZ-SUZQ733-NB-L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YZ-SUZQ733-NB-M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YZ-SUZQ733-NB-S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YZ-SUZQ733-NB-XL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YZ-SUZQ733-R0-2XL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YZ-SUZQ733-R0-3XL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YZ-SUZQ733-R0-L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YZ-SUZQ733-R0-M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YZ-SUZQ733-R0-S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YZ-SUZQ733-R0-XL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YZ-SUZQ733-SB-2XL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YZ-SUZQ733-SB-3XL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YZ-SUZQ733-SB-L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YZ-SUZQ733-SB-M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YZ-SUZQ733-SB-S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YZ-SUZQ733-SB-XL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YZ-SUZQ9441-K0-L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YZ-SUZQ9441-K0-XL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YZ-SUZQBL03-B0-S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YZ-SUZQBL03-K0-2X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YZ-SUZQBL03-K0-L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YZ-SUZQBL03-K0-M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YZ-SUZQBL03-K0-XL</v>
          </cell>
          <cell r="B911">
            <v>0</v>
          </cell>
          <cell r="C911">
            <v>3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YZ-SUZQBL03-R2-2X</v>
          </cell>
          <cell r="B912">
            <v>0</v>
          </cell>
          <cell r="C912">
            <v>2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YZ-SUZQBL03-R2-L</v>
          </cell>
          <cell r="B913">
            <v>0</v>
          </cell>
          <cell r="C913">
            <v>1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YZ-SUZQBL03-R2-M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YZ-SUZQBL03-R2-S</v>
          </cell>
          <cell r="B915">
            <v>0</v>
          </cell>
          <cell r="C915">
            <v>1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YZ-SUZQBL03-R2-XL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YZ-WHZ766-R0-L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YZ-WHZ766-R0-XL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YZ-ZQ-18745K0-S</v>
          </cell>
          <cell r="B919">
            <v>0</v>
          </cell>
          <cell r="C919">
            <v>1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YZ-ZQ0707-ORTW-XL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YZ-ZQ0707-PITW-XL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YZ-ZQ112B0XL</v>
          </cell>
          <cell r="B922">
            <v>0</v>
          </cell>
          <cell r="C922">
            <v>3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YZ-ZQ1197-KW-L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YZ-ZQ1197-W0-M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YZ-ZQ14578-K0-3X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YZ-ZQ1519-K0-2X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YZ-ZQ1521BF3XL</v>
          </cell>
          <cell r="B927">
            <v>0</v>
          </cell>
          <cell r="C927">
            <v>1</v>
          </cell>
          <cell r="D927">
            <v>10</v>
          </cell>
          <cell r="E927">
            <v>0</v>
          </cell>
          <cell r="F927">
            <v>10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YZ-ZQ1521BL5XL</v>
          </cell>
          <cell r="B928">
            <v>0</v>
          </cell>
          <cell r="C928">
            <v>1</v>
          </cell>
          <cell r="D928">
            <v>15</v>
          </cell>
          <cell r="E928">
            <v>0</v>
          </cell>
          <cell r="F928">
            <v>15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YZ-ZQ1521GF4XL</v>
          </cell>
          <cell r="B929">
            <v>0</v>
          </cell>
          <cell r="C929">
            <v>3</v>
          </cell>
          <cell r="D929">
            <v>3</v>
          </cell>
          <cell r="E929">
            <v>0</v>
          </cell>
          <cell r="F929">
            <v>3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YZ-ZQ1521RF5XL</v>
          </cell>
          <cell r="B930">
            <v>0</v>
          </cell>
          <cell r="C930">
            <v>2</v>
          </cell>
          <cell r="D930">
            <v>5</v>
          </cell>
          <cell r="E930">
            <v>0</v>
          </cell>
          <cell r="F930">
            <v>5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YZ-ZQ1521RL5XL</v>
          </cell>
          <cell r="B931">
            <v>0</v>
          </cell>
          <cell r="C931">
            <v>0</v>
          </cell>
          <cell r="D931">
            <v>6</v>
          </cell>
          <cell r="E931">
            <v>0</v>
          </cell>
          <cell r="F931">
            <v>6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YZ-ZQ15827B05XL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YZ-ZQ15827BS2XL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YZ-ZQ15827BS3XL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YZ-ZQ15827BS5XL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YZ-ZQ15827BSXL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YZ-ZQ15827R22XL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YZ-ZQ15827R23XL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YZ-ZQ15827R24XL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YZ-ZQ15827R25XL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YZ-ZQ15827W03XL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YZ-ZQ15827W04XL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YZ-ZQ15905-K0-2X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YZ-ZQ15905-K0-4X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YZ-ZQ15905-K0-5X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YZ-ZQ15905-K0-L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YZ-ZQ15905-K0-M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YZ-ZQ15905-K0-XL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YZ-ZQ15905-W0-2X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YZ-ZQ15905-W0-3X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YZ-ZQ15905-W0-4X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YZ-ZQ15905-W0-5X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YZ-ZQ15905-W0-S</v>
          </cell>
          <cell r="B953">
            <v>0</v>
          </cell>
          <cell r="C953">
            <v>2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YZ-ZQ15919-B0-4X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YZ-ZQ15919-B0-5X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YZ-ZQ15919-B0-S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YZ-ZQ15921-B0-3X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YZ-ZQ15921-B0-4X</v>
          </cell>
          <cell r="B958">
            <v>0</v>
          </cell>
          <cell r="C958">
            <v>1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YZ-ZQ15921-P0-3X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YZ-ZQ15921-R0-XL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YZ-ZQ16103R0L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YZ-ZQ16103ZLL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YZ-ZQ1617-BH-XL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YZ-ZQ1617-KH-3XL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YZ-ZQ1617-KH-4XL</v>
          </cell>
          <cell r="B965">
            <v>0</v>
          </cell>
          <cell r="C965">
            <v>1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YZ-ZQ1617-KH-M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YZ-ZQ1617K0L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YZ-ZQ1617ZL2XL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YZ-ZQ1617ZLL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YZ-ZQ1617ZLXL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YZ-ZQ16597B03XL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YZ-ZQ16598R02XL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YZ-ZQ16598R03XL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YZ-ZQ16598R05XL</v>
          </cell>
          <cell r="B974">
            <v>0</v>
          </cell>
          <cell r="C974">
            <v>1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YZ-ZQ16598R0XL</v>
          </cell>
          <cell r="B975">
            <v>0</v>
          </cell>
          <cell r="C975">
            <v>1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YZ-ZQ1715-W0-XL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YZ-ZQ1732-B0-L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YZ-ZQ1732-K0-M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YZ-ZQ1732-R0-S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YZ-ZQ1732-R0-XL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YZ-ZQ1733-K0-2XL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YZ-ZQ1733-NB-S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YZ-ZQ1733-NB-XL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YZ-ZQ1733-R0-3XL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YZ-ZQ1733-R0-L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YZ-ZQ1733-R0-S</v>
          </cell>
          <cell r="B986">
            <v>0</v>
          </cell>
          <cell r="C986">
            <v>1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YZ-ZQ1733-R0-XL</v>
          </cell>
          <cell r="B987">
            <v>0</v>
          </cell>
          <cell r="C987">
            <v>1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YZ-ZQ1733-SB-2XL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YZ-ZQ1733-SB-S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YZ-ZQ17845-K0-2X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YZ-ZQ17845-K0-3X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YZ-ZQ17845-K0-4X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YZ-ZQ17845-K0-XL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YZ-ZQ17958P0-4XL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YZ-ZQ17984-R0-XL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YZ-ZQ17985-P0-3X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YZ-ZQ17985-P0-4X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YZ-ZQ17986W0-2XL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YZ-ZQ17986W0-XL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YZ-ZQ18758-K0-2X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YZ-ZQ18758-K0-M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YZ-ZQ18758-K0-XL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YZ-ZQ298N04XL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YZ-ZQ388-K0-L</v>
          </cell>
          <cell r="B1004">
            <v>0</v>
          </cell>
          <cell r="C1004">
            <v>1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YZ-ZQ45984K02XL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YZ-ZQ45984K04XL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YZ-ZQ47121-K0-S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YZ-ZQ565-R0-S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YZ-ZQ6258B050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YZ-ZQ6258K050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YZ-ZQ6667G048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YZ-ZQ6667G052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YZ-ZQ6667G054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YZ-ZQ6667R044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YZ-ZQ6667R054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YZ-ZQ6667ZL48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YZ-ZQ6667ZL50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YZ-ZQ6667ZL54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YZ-ZQ7777B016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YZ-ZQ7777B020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YZ-ZQ7777R014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YZ-ZQ7777R016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YZ-ZQ7777R020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YZ-ZQ789K02XL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YZ-ZQ789K03XL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YZ-ZQA100-B0-M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YZ-ZQA100-G0-L</v>
          </cell>
          <cell r="B1027">
            <v>0</v>
          </cell>
          <cell r="C1027">
            <v>1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YZ-ZQA100-G0-M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YZ-ZQBL03-B0-L</v>
          </cell>
          <cell r="B1029">
            <v>0</v>
          </cell>
          <cell r="C1029">
            <v>3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YZ-ZQBL03-B0-M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YZ-ZQBL03-B0-XL</v>
          </cell>
          <cell r="B1031">
            <v>0</v>
          </cell>
          <cell r="C1031">
            <v>2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YZ-ZQBL03-R2-L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YZ-ZQBL03-R2-M</v>
          </cell>
          <cell r="B1033">
            <v>0</v>
          </cell>
          <cell r="C1033">
            <v>1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YZ-ZQFT1816-O0-2X</v>
          </cell>
          <cell r="B1034">
            <v>0</v>
          </cell>
          <cell r="C1034">
            <v>0</v>
          </cell>
          <cell r="D1034">
            <v>10</v>
          </cell>
          <cell r="E1034">
            <v>0</v>
          </cell>
          <cell r="F1034">
            <v>10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YZ-ZQFT1816-O0-4X</v>
          </cell>
          <cell r="B1035">
            <v>0</v>
          </cell>
          <cell r="C1035">
            <v>0</v>
          </cell>
          <cell r="D1035">
            <v>3</v>
          </cell>
          <cell r="E1035">
            <v>0</v>
          </cell>
          <cell r="F1035">
            <v>3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YZ-ZQFT1816-O0-XL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YZ-ZQFT1816-Y0-2X</v>
          </cell>
          <cell r="B1037">
            <v>0</v>
          </cell>
          <cell r="C1037">
            <v>1</v>
          </cell>
          <cell r="D1037">
            <v>10</v>
          </cell>
          <cell r="E1037">
            <v>0</v>
          </cell>
          <cell r="F1037">
            <v>10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YZ-ZQFT1816-Y0-3X</v>
          </cell>
          <cell r="B1038">
            <v>0</v>
          </cell>
          <cell r="C1038">
            <v>1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YZ-ZQFT1816-Y0-5X</v>
          </cell>
          <cell r="B1039">
            <v>0</v>
          </cell>
          <cell r="C1039">
            <v>2</v>
          </cell>
          <cell r="D1039">
            <v>5</v>
          </cell>
          <cell r="E1039">
            <v>0</v>
          </cell>
          <cell r="F1039">
            <v>5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YZ-ZQFT1816-Y0-L</v>
          </cell>
          <cell r="B1040">
            <v>0</v>
          </cell>
          <cell r="C1040">
            <v>4</v>
          </cell>
          <cell r="D1040">
            <v>10</v>
          </cell>
          <cell r="E1040">
            <v>0</v>
          </cell>
          <cell r="F1040">
            <v>10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YZ-ZQFT1816-Y0-XL</v>
          </cell>
          <cell r="B1041">
            <v>0</v>
          </cell>
          <cell r="C1041">
            <v>3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YZ-ZQHL02-G0-M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YZ-ZQHL02-G0-XL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YZ-ZQLS062-K0-2XL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YZ-ZQLS062-K0-3XL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YZ-ZQLS062-K0-S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YZ-ZQLS062-K0-XL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YZ-ZQMICAIK04XL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YZ-ZQMICAIK05XL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YZ-ZQMICAIK0L</v>
          </cell>
          <cell r="B1050">
            <v>0</v>
          </cell>
          <cell r="C1050">
            <v>1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YZ-ZQMICAIK0XL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YZ-ZQMS02-K0-L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YZ-ZQOM388-K0-2XL</v>
          </cell>
          <cell r="B1053">
            <v>0</v>
          </cell>
          <cell r="C1053">
            <v>1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YZ-ZQOM388-K0-M</v>
          </cell>
          <cell r="B1054">
            <v>0</v>
          </cell>
          <cell r="C1054">
            <v>1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YZ-ZQOM388-K0-S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YZ-ZQOM388-K0-XL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YZ-ZQOM388-W0-2XL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YZ-ZQOM388-W0-L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YZ-ZQOM388-W0-M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YZ-ZQOM388-W0-S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YZ-ZQOM388-W0-XL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YZ-ZQQ9217-K0-2X</v>
          </cell>
          <cell r="B1062">
            <v>0</v>
          </cell>
          <cell r="C1062">
            <v>2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YZ-ZQQ9217-K0-4X</v>
          </cell>
          <cell r="B1063">
            <v>0</v>
          </cell>
          <cell r="C1063">
            <v>2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YZ-ZQQ9217-K0-5X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YZ-ZQQ9217-K0-L</v>
          </cell>
          <cell r="B1065">
            <v>0</v>
          </cell>
          <cell r="C1065">
            <v>2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YZ-ZQQ9217-K0-M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YZ-ZQQ9217-K0-S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YZ-ZQQ9217-K0-XL</v>
          </cell>
          <cell r="B1068">
            <v>0</v>
          </cell>
          <cell r="C1068">
            <v>1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YZ-ZQQ9227-K0-3X</v>
          </cell>
          <cell r="B1069">
            <v>0</v>
          </cell>
          <cell r="C1069">
            <v>3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YZ-ZQQ9227-K0-4X</v>
          </cell>
          <cell r="B1070">
            <v>0</v>
          </cell>
          <cell r="C1070">
            <v>3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YZ-ZQQ9227-K0-5X</v>
          </cell>
          <cell r="B1071">
            <v>0</v>
          </cell>
          <cell r="C1071">
            <v>4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YZ-ZQQ9227-K0-M</v>
          </cell>
          <cell r="B1072">
            <v>0</v>
          </cell>
          <cell r="C1072">
            <v>2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YZ-ZQQ9227-K0-XL</v>
          </cell>
          <cell r="B1073">
            <v>0</v>
          </cell>
          <cell r="C1073">
            <v>2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YZ-ZQSG16121R0L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YZ-ZQSG16124Y02XL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YZ-ZQSG16124Y0L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YZ-ZQTWA1-K0-2X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YZ-ZQTWA1-K0-3X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YZ-ZQTWA1-K0-5X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YZ-ZQadn1601-B1-L</v>
          </cell>
          <cell r="B1080">
            <v>0</v>
          </cell>
          <cell r="C1080">
            <v>1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B1081" t="str">
            <v/>
          </cell>
          <cell r="C1081" t="str">
            <v/>
          </cell>
          <cell r="D1081" t="str">
            <v/>
          </cell>
          <cell r="E1081" t="str">
            <v/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B1082" t="str">
            <v/>
          </cell>
          <cell r="C1082" t="str">
            <v/>
          </cell>
          <cell r="D1082" t="str">
            <v/>
          </cell>
          <cell r="E1082" t="str">
            <v/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B1083" t="str">
            <v/>
          </cell>
          <cell r="C1083" t="str">
            <v/>
          </cell>
          <cell r="D1083" t="str">
            <v/>
          </cell>
          <cell r="E1083" t="str">
            <v/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B1084" t="str">
            <v/>
          </cell>
          <cell r="C1084" t="str">
            <v/>
          </cell>
          <cell r="D1084" t="str">
            <v/>
          </cell>
          <cell r="E1084" t="str">
            <v/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B1085" t="str">
            <v/>
          </cell>
          <cell r="C1085" t="str">
            <v/>
          </cell>
          <cell r="D1085" t="str">
            <v/>
          </cell>
          <cell r="E1085" t="str">
            <v/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B1086" t="str">
            <v/>
          </cell>
          <cell r="C1086" t="str">
            <v/>
          </cell>
          <cell r="D1086" t="str">
            <v/>
          </cell>
          <cell r="E1086" t="str">
            <v/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B1087" t="str">
            <v/>
          </cell>
          <cell r="C1087" t="str">
            <v/>
          </cell>
          <cell r="D1087" t="str">
            <v/>
          </cell>
          <cell r="E1087" t="str">
            <v/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B1088" t="str">
            <v/>
          </cell>
          <cell r="C1088" t="str">
            <v/>
          </cell>
          <cell r="D1088" t="str">
            <v/>
          </cell>
          <cell r="E1088" t="str">
            <v/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B1089" t="str">
            <v/>
          </cell>
          <cell r="C1089" t="str">
            <v/>
          </cell>
          <cell r="D1089" t="str">
            <v/>
          </cell>
          <cell r="E1089" t="str">
            <v/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B1090" t="str">
            <v/>
          </cell>
          <cell r="C1090" t="str">
            <v/>
          </cell>
          <cell r="D1090" t="str">
            <v/>
          </cell>
          <cell r="E1090" t="str">
            <v/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B1091" t="str">
            <v/>
          </cell>
          <cell r="C1091" t="str">
            <v/>
          </cell>
          <cell r="D1091" t="str">
            <v/>
          </cell>
          <cell r="E1091" t="str">
            <v/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B1092" t="str">
            <v/>
          </cell>
          <cell r="C1092" t="str">
            <v/>
          </cell>
          <cell r="D1092" t="str">
            <v/>
          </cell>
          <cell r="E1092" t="str">
            <v/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B1093" t="str">
            <v/>
          </cell>
          <cell r="C1093" t="str">
            <v/>
          </cell>
          <cell r="D1093" t="str">
            <v/>
          </cell>
          <cell r="E1093" t="str">
            <v/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B1094" t="str">
            <v/>
          </cell>
          <cell r="C1094" t="str">
            <v/>
          </cell>
          <cell r="D1094" t="str">
            <v/>
          </cell>
          <cell r="E1094" t="str">
            <v/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B1095" t="str">
            <v/>
          </cell>
          <cell r="C1095" t="str">
            <v/>
          </cell>
          <cell r="D1095" t="str">
            <v/>
          </cell>
          <cell r="E1095" t="str">
            <v/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B1096" t="str">
            <v/>
          </cell>
          <cell r="C1096" t="str">
            <v/>
          </cell>
          <cell r="D1096" t="str">
            <v/>
          </cell>
          <cell r="E1096" t="str">
            <v/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B1097" t="str">
            <v/>
          </cell>
          <cell r="C1097" t="str">
            <v/>
          </cell>
          <cell r="D1097" t="str">
            <v/>
          </cell>
          <cell r="E1097" t="str">
            <v/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B1098" t="str">
            <v/>
          </cell>
          <cell r="C1098" t="str">
            <v/>
          </cell>
          <cell r="D1098" t="str">
            <v/>
          </cell>
          <cell r="E1098" t="str">
            <v/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B1099" t="str">
            <v/>
          </cell>
          <cell r="C1099" t="str">
            <v/>
          </cell>
          <cell r="D1099" t="str">
            <v/>
          </cell>
          <cell r="E1099" t="str">
            <v/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B1100" t="str">
            <v/>
          </cell>
          <cell r="C1100" t="str">
            <v/>
          </cell>
          <cell r="D1100" t="str">
            <v/>
          </cell>
          <cell r="E1100" t="str">
            <v/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B1101" t="str">
            <v/>
          </cell>
          <cell r="C1101" t="str">
            <v/>
          </cell>
          <cell r="D1101" t="str">
            <v/>
          </cell>
          <cell r="E1101" t="str">
            <v/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B1102" t="str">
            <v/>
          </cell>
          <cell r="C1102" t="str">
            <v/>
          </cell>
          <cell r="D1102" t="str">
            <v/>
          </cell>
          <cell r="E1102" t="str">
            <v/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B1103" t="str">
            <v/>
          </cell>
          <cell r="C1103" t="str">
            <v/>
          </cell>
          <cell r="D1103" t="str">
            <v/>
          </cell>
          <cell r="E1103" t="str">
            <v/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B1104" t="str">
            <v/>
          </cell>
          <cell r="C1104" t="str">
            <v/>
          </cell>
          <cell r="D1104" t="str">
            <v/>
          </cell>
          <cell r="E1104" t="str">
            <v/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B1105" t="str">
            <v/>
          </cell>
          <cell r="C1105" t="str">
            <v/>
          </cell>
          <cell r="D1105" t="str">
            <v/>
          </cell>
          <cell r="E1105" t="str">
            <v/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B1106" t="str">
            <v/>
          </cell>
          <cell r="C1106" t="str">
            <v/>
          </cell>
          <cell r="D1106" t="str">
            <v/>
          </cell>
          <cell r="E1106" t="str">
            <v/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B1107" t="str">
            <v/>
          </cell>
          <cell r="C1107" t="str">
            <v/>
          </cell>
          <cell r="D1107" t="str">
            <v/>
          </cell>
          <cell r="E1107" t="str">
            <v/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B1108" t="str">
            <v/>
          </cell>
          <cell r="C1108" t="str">
            <v/>
          </cell>
          <cell r="D1108" t="str">
            <v/>
          </cell>
          <cell r="E1108" t="str">
            <v/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B1109" t="str">
            <v/>
          </cell>
          <cell r="C1109" t="str">
            <v/>
          </cell>
          <cell r="D1109" t="str">
            <v/>
          </cell>
          <cell r="E1109" t="str">
            <v/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B1110" t="str">
            <v/>
          </cell>
          <cell r="C1110" t="str">
            <v/>
          </cell>
          <cell r="D1110" t="str">
            <v/>
          </cell>
          <cell r="E1110" t="str">
            <v/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B1111" t="str">
            <v/>
          </cell>
          <cell r="C1111" t="str">
            <v/>
          </cell>
          <cell r="D1111" t="str">
            <v/>
          </cell>
          <cell r="E1111" t="str">
            <v/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B1112" t="str">
            <v/>
          </cell>
          <cell r="C1112" t="str">
            <v/>
          </cell>
          <cell r="D1112" t="str">
            <v/>
          </cell>
          <cell r="E1112" t="str">
            <v/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B1113" t="str">
            <v/>
          </cell>
          <cell r="C1113" t="str">
            <v/>
          </cell>
          <cell r="D1113" t="str">
            <v/>
          </cell>
          <cell r="E1113" t="str">
            <v/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B1114" t="str">
            <v/>
          </cell>
          <cell r="C1114" t="str">
            <v/>
          </cell>
          <cell r="D1114" t="str">
            <v/>
          </cell>
          <cell r="E1114" t="str">
            <v/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B1115" t="str">
            <v/>
          </cell>
          <cell r="C1115" t="str">
            <v/>
          </cell>
          <cell r="D1115" t="str">
            <v/>
          </cell>
          <cell r="E1115" t="str">
            <v/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B1116" t="str">
            <v/>
          </cell>
          <cell r="C1116" t="str">
            <v/>
          </cell>
          <cell r="D1116" t="str">
            <v/>
          </cell>
          <cell r="E1116" t="str">
            <v/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B1117" t="str">
            <v/>
          </cell>
          <cell r="C1117" t="str">
            <v/>
          </cell>
          <cell r="D1117" t="str">
            <v/>
          </cell>
          <cell r="E1117" t="str">
            <v/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B1118" t="str">
            <v/>
          </cell>
          <cell r="C1118" t="str">
            <v/>
          </cell>
          <cell r="D1118" t="str">
            <v/>
          </cell>
          <cell r="E1118" t="str">
            <v/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B1119" t="str">
            <v/>
          </cell>
          <cell r="C1119" t="str">
            <v/>
          </cell>
          <cell r="D1119" t="str">
            <v/>
          </cell>
          <cell r="E1119" t="str">
            <v/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B1120" t="str">
            <v/>
          </cell>
          <cell r="C1120" t="str">
            <v/>
          </cell>
          <cell r="D1120" t="str">
            <v/>
          </cell>
          <cell r="E1120" t="str">
            <v/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B1121" t="str">
            <v/>
          </cell>
          <cell r="C1121" t="str">
            <v/>
          </cell>
          <cell r="D1121" t="str">
            <v/>
          </cell>
          <cell r="E1121" t="str">
            <v/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B1122" t="str">
            <v/>
          </cell>
          <cell r="C1122" t="str">
            <v/>
          </cell>
          <cell r="D1122" t="str">
            <v/>
          </cell>
          <cell r="E1122" t="str">
            <v/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B1123" t="str">
            <v/>
          </cell>
          <cell r="C1123" t="str">
            <v/>
          </cell>
          <cell r="D1123" t="str">
            <v/>
          </cell>
          <cell r="E1123" t="str">
            <v/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B1124" t="str">
            <v/>
          </cell>
          <cell r="C1124" t="str">
            <v/>
          </cell>
          <cell r="D1124" t="str">
            <v/>
          </cell>
          <cell r="E1124" t="str">
            <v/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B1125" t="str">
            <v/>
          </cell>
          <cell r="C1125" t="str">
            <v/>
          </cell>
          <cell r="D1125" t="str">
            <v/>
          </cell>
          <cell r="E1125" t="str">
            <v/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B1126" t="str">
            <v/>
          </cell>
          <cell r="C1126" t="str">
            <v/>
          </cell>
          <cell r="D1126" t="str">
            <v/>
          </cell>
          <cell r="E1126" t="str">
            <v/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B1127" t="str">
            <v/>
          </cell>
          <cell r="C1127" t="str">
            <v/>
          </cell>
          <cell r="D1127" t="str">
            <v/>
          </cell>
          <cell r="E1127" t="str">
            <v/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B1128" t="str">
            <v/>
          </cell>
          <cell r="C1128" t="str">
            <v/>
          </cell>
          <cell r="D1128" t="str">
            <v/>
          </cell>
          <cell r="E1128" t="str">
            <v/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B1129" t="str">
            <v/>
          </cell>
          <cell r="C1129" t="str">
            <v/>
          </cell>
          <cell r="D1129" t="str">
            <v/>
          </cell>
          <cell r="E1129" t="str">
            <v/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B1130" t="str">
            <v/>
          </cell>
          <cell r="C1130" t="str">
            <v/>
          </cell>
          <cell r="D1130" t="str">
            <v/>
          </cell>
          <cell r="E1130" t="str">
            <v/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B1131" t="str">
            <v/>
          </cell>
          <cell r="C1131" t="str">
            <v/>
          </cell>
          <cell r="D1131" t="str">
            <v/>
          </cell>
          <cell r="E1131" t="str">
            <v/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B1132" t="str">
            <v/>
          </cell>
          <cell r="C1132" t="str">
            <v/>
          </cell>
          <cell r="D1132" t="str">
            <v/>
          </cell>
          <cell r="E1132" t="str">
            <v/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B1133" t="str">
            <v/>
          </cell>
          <cell r="C1133" t="str">
            <v/>
          </cell>
          <cell r="D1133" t="str">
            <v/>
          </cell>
          <cell r="E1133" t="str">
            <v/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B1134" t="str">
            <v/>
          </cell>
          <cell r="C1134" t="str">
            <v/>
          </cell>
          <cell r="D1134" t="str">
            <v/>
          </cell>
          <cell r="E1134" t="str">
            <v/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</row>
        <row r="1135">
          <cell r="B1135" t="str">
            <v/>
          </cell>
          <cell r="C1135" t="str">
            <v/>
          </cell>
          <cell r="D1135" t="str">
            <v/>
          </cell>
          <cell r="E1135" t="str">
            <v/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</row>
        <row r="1136">
          <cell r="B1136" t="str">
            <v/>
          </cell>
          <cell r="C1136" t="str">
            <v/>
          </cell>
          <cell r="D1136" t="str">
            <v/>
          </cell>
          <cell r="E1136" t="str">
            <v/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</row>
        <row r="1137">
          <cell r="B1137" t="str">
            <v/>
          </cell>
          <cell r="C1137" t="str">
            <v/>
          </cell>
          <cell r="D1137" t="str">
            <v/>
          </cell>
          <cell r="E1137" t="str">
            <v/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</row>
        <row r="1138">
          <cell r="B1138" t="str">
            <v/>
          </cell>
          <cell r="C1138" t="str">
            <v/>
          </cell>
          <cell r="D1138" t="str">
            <v/>
          </cell>
          <cell r="E1138" t="str">
            <v/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</row>
        <row r="1139">
          <cell r="B1139" t="str">
            <v/>
          </cell>
          <cell r="C1139" t="str">
            <v/>
          </cell>
          <cell r="D1139" t="str">
            <v/>
          </cell>
          <cell r="E1139" t="str">
            <v/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</row>
        <row r="1140">
          <cell r="B1140" t="str">
            <v/>
          </cell>
          <cell r="C1140" t="str">
            <v/>
          </cell>
          <cell r="D1140" t="str">
            <v/>
          </cell>
          <cell r="E1140" t="str">
            <v/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</row>
        <row r="1141">
          <cell r="B1141" t="str">
            <v/>
          </cell>
          <cell r="C1141" t="str">
            <v/>
          </cell>
          <cell r="D1141" t="str">
            <v/>
          </cell>
          <cell r="E1141" t="str">
            <v/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</row>
        <row r="1142">
          <cell r="B1142" t="str">
            <v/>
          </cell>
          <cell r="C1142" t="str">
            <v/>
          </cell>
          <cell r="D1142" t="str">
            <v/>
          </cell>
          <cell r="E1142" t="str">
            <v/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</row>
        <row r="1143">
          <cell r="B1143" t="str">
            <v/>
          </cell>
          <cell r="C1143" t="str">
            <v/>
          </cell>
          <cell r="D1143" t="str">
            <v/>
          </cell>
          <cell r="E1143" t="str">
            <v/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</row>
        <row r="1144">
          <cell r="B1144" t="str">
            <v/>
          </cell>
          <cell r="C1144" t="str">
            <v/>
          </cell>
          <cell r="D1144" t="str">
            <v/>
          </cell>
          <cell r="E1144" t="str">
            <v/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</row>
        <row r="1145">
          <cell r="B1145" t="str">
            <v/>
          </cell>
          <cell r="C1145" t="str">
            <v/>
          </cell>
          <cell r="D1145" t="str">
            <v/>
          </cell>
          <cell r="E1145" t="str">
            <v/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</row>
        <row r="1146">
          <cell r="B1146" t="str">
            <v/>
          </cell>
          <cell r="C1146" t="str">
            <v/>
          </cell>
          <cell r="D1146" t="str">
            <v/>
          </cell>
          <cell r="E1146" t="str">
            <v/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</row>
        <row r="1147">
          <cell r="B1147" t="str">
            <v/>
          </cell>
          <cell r="C1147" t="str">
            <v/>
          </cell>
          <cell r="D1147" t="str">
            <v/>
          </cell>
          <cell r="E1147" t="str">
            <v/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</row>
        <row r="1148">
          <cell r="B1148" t="str">
            <v/>
          </cell>
          <cell r="C1148" t="str">
            <v/>
          </cell>
          <cell r="D1148" t="str">
            <v/>
          </cell>
          <cell r="E1148" t="str">
            <v/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</row>
        <row r="1149">
          <cell r="B1149" t="str">
            <v/>
          </cell>
          <cell r="C1149" t="str">
            <v/>
          </cell>
          <cell r="D1149" t="str">
            <v/>
          </cell>
          <cell r="E1149" t="str">
            <v/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</row>
        <row r="1150">
          <cell r="B1150" t="str">
            <v/>
          </cell>
          <cell r="C1150" t="str">
            <v/>
          </cell>
          <cell r="D1150" t="str">
            <v/>
          </cell>
          <cell r="E1150" t="str">
            <v/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</row>
        <row r="1151">
          <cell r="B1151" t="str">
            <v/>
          </cell>
          <cell r="C1151" t="str">
            <v/>
          </cell>
          <cell r="D1151" t="str">
            <v/>
          </cell>
          <cell r="E1151" t="str">
            <v/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</row>
        <row r="1152">
          <cell r="B1152" t="str">
            <v/>
          </cell>
          <cell r="C1152" t="str">
            <v/>
          </cell>
          <cell r="D1152" t="str">
            <v/>
          </cell>
          <cell r="E1152" t="str">
            <v/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B1153" t="str">
            <v/>
          </cell>
          <cell r="C1153" t="str">
            <v/>
          </cell>
          <cell r="D1153" t="str">
            <v/>
          </cell>
          <cell r="E1153" t="str">
            <v/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B1154" t="str">
            <v/>
          </cell>
          <cell r="C1154" t="str">
            <v/>
          </cell>
          <cell r="D1154" t="str">
            <v/>
          </cell>
          <cell r="E1154" t="str">
            <v/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B1155" t="str">
            <v/>
          </cell>
          <cell r="C1155" t="str">
            <v/>
          </cell>
          <cell r="D1155" t="str">
            <v/>
          </cell>
          <cell r="E1155" t="str">
            <v/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B1156" t="str">
            <v/>
          </cell>
          <cell r="C1156" t="str">
            <v/>
          </cell>
          <cell r="D1156" t="str">
            <v/>
          </cell>
          <cell r="E1156" t="str">
            <v/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B1157" t="str">
            <v/>
          </cell>
          <cell r="C1157" t="str">
            <v/>
          </cell>
          <cell r="D1157" t="str">
            <v/>
          </cell>
          <cell r="E1157" t="str">
            <v/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B1158" t="str">
            <v/>
          </cell>
          <cell r="C1158" t="str">
            <v/>
          </cell>
          <cell r="D1158" t="str">
            <v/>
          </cell>
          <cell r="E1158" t="str">
            <v/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B1159" t="str">
            <v/>
          </cell>
          <cell r="C1159" t="str">
            <v/>
          </cell>
          <cell r="D1159" t="str">
            <v/>
          </cell>
          <cell r="E1159" t="str">
            <v/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B1160" t="str">
            <v/>
          </cell>
          <cell r="C1160" t="str">
            <v/>
          </cell>
          <cell r="D1160" t="str">
            <v/>
          </cell>
          <cell r="E1160" t="str">
            <v/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B1161" t="str">
            <v/>
          </cell>
          <cell r="C1161" t="str">
            <v/>
          </cell>
          <cell r="D1161" t="str">
            <v/>
          </cell>
          <cell r="E1161" t="str">
            <v/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B1162" t="str">
            <v/>
          </cell>
          <cell r="C1162" t="str">
            <v/>
          </cell>
          <cell r="D1162" t="str">
            <v/>
          </cell>
          <cell r="E1162" t="str">
            <v/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B1163" t="str">
            <v/>
          </cell>
          <cell r="C1163" t="str">
            <v/>
          </cell>
          <cell r="D1163" t="str">
            <v/>
          </cell>
          <cell r="E1163" t="str">
            <v/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B1164" t="str">
            <v/>
          </cell>
          <cell r="C1164" t="str">
            <v/>
          </cell>
          <cell r="D1164" t="str">
            <v/>
          </cell>
          <cell r="E1164" t="str">
            <v/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B1165" t="str">
            <v/>
          </cell>
          <cell r="C1165" t="str">
            <v/>
          </cell>
          <cell r="D1165" t="str">
            <v/>
          </cell>
          <cell r="E1165" t="str">
            <v/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B1166" t="str">
            <v/>
          </cell>
          <cell r="C1166" t="str">
            <v/>
          </cell>
          <cell r="D1166" t="str">
            <v/>
          </cell>
          <cell r="E1166" t="str">
            <v/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B1167" t="str">
            <v/>
          </cell>
          <cell r="C1167" t="str">
            <v/>
          </cell>
          <cell r="D1167" t="str">
            <v/>
          </cell>
          <cell r="E1167" t="str">
            <v/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B1168" t="str">
            <v/>
          </cell>
          <cell r="C1168" t="str">
            <v/>
          </cell>
          <cell r="D1168" t="str">
            <v/>
          </cell>
          <cell r="E1168" t="str">
            <v/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B1169" t="str">
            <v/>
          </cell>
          <cell r="C1169" t="str">
            <v/>
          </cell>
          <cell r="D1169" t="str">
            <v/>
          </cell>
          <cell r="E1169" t="str">
            <v/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B1170" t="str">
            <v/>
          </cell>
          <cell r="C1170" t="str">
            <v/>
          </cell>
          <cell r="D1170" t="str">
            <v/>
          </cell>
          <cell r="E1170" t="str">
            <v/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084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43262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448</v>
      </c>
      <c r="E5" s="5">
        <f>SUM(E6:E19990)</f>
        <v>647</v>
      </c>
      <c r="F5" s="5">
        <f>SUM(F6:F19990)</f>
        <v>581</v>
      </c>
      <c r="G5" s="5">
        <f>SUM(G6:G19990)</f>
        <v>551</v>
      </c>
      <c r="I5" s="5">
        <f t="shared" ref="I5:O5" si="3">SUM(I6:I29990)</f>
        <v>3408</v>
      </c>
      <c r="J5" s="5">
        <f t="shared" si="3"/>
        <v>324</v>
      </c>
      <c r="K5" s="5">
        <f t="shared" si="3"/>
        <v>13</v>
      </c>
      <c r="L5" s="5">
        <f t="shared" si="3"/>
        <v>42</v>
      </c>
      <c r="M5" s="5">
        <f t="shared" si="3"/>
        <v>3787</v>
      </c>
      <c r="N5" s="5">
        <f t="shared" si="3"/>
        <v>550</v>
      </c>
      <c r="O5" s="5">
        <f t="shared" si="3"/>
        <v>1977</v>
      </c>
      <c r="AB5" s="5">
        <f>SUM(AB6:AB2090)</f>
        <v>1033.59</v>
      </c>
      <c r="AC5" s="5">
        <f>SUM(AC6:AC2090)</f>
        <v>1122.3</v>
      </c>
      <c r="AD5" s="5">
        <f>SUM(AD6:AD2090)</f>
        <v>1237.2</v>
      </c>
      <c r="AE5" s="5">
        <f>SUM(AE6:AE2090)</f>
        <v>1343.83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6</v>
      </c>
      <c r="J6" s="35">
        <v>0</v>
      </c>
      <c r="K6" s="35">
        <v>0</v>
      </c>
      <c r="L6" s="35">
        <v>0</v>
      </c>
      <c r="M6">
        <v>6</v>
      </c>
      <c r="N6">
        <v>0</v>
      </c>
      <c r="O6">
        <v>5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2</v>
      </c>
      <c r="AK6">
        <v>0</v>
      </c>
      <c r="AL6">
        <v>0</v>
      </c>
      <c r="AM6">
        <v>0</v>
      </c>
      <c r="AN6" s="23">
        <v>0</v>
      </c>
      <c r="AO6" s="23" t="s">
        <v>54</v>
      </c>
      <c r="AP6" s="23" t="s">
        <v>54</v>
      </c>
      <c r="AQ6" s="23" t="s">
        <v>54</v>
      </c>
      <c r="AR6" s="37">
        <v>0</v>
      </c>
      <c r="AS6" s="37">
        <v>0</v>
      </c>
      <c r="AT6" s="37">
        <v>6</v>
      </c>
      <c r="AU6" s="33" t="str">
        <f t="shared" si="2"/>
        <v>库存为6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1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3</v>
      </c>
      <c r="AK7">
        <v>0</v>
      </c>
      <c r="AL7">
        <v>0</v>
      </c>
      <c r="AM7">
        <v>0</v>
      </c>
      <c r="AN7" s="23">
        <v>0</v>
      </c>
      <c r="AO7" s="23" t="s">
        <v>54</v>
      </c>
      <c r="AP7" s="23" t="s">
        <v>54</v>
      </c>
      <c r="AQ7" s="23" t="s">
        <v>54</v>
      </c>
      <c r="AR7" s="37">
        <v>0</v>
      </c>
      <c r="AS7" s="37">
        <v>0</v>
      </c>
      <c r="AT7" s="37">
        <v>2</v>
      </c>
      <c r="AU7" s="33" t="str">
        <f t="shared" si="2"/>
        <v>库存为2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9</v>
      </c>
      <c r="J8" s="35">
        <v>0</v>
      </c>
      <c r="K8" s="35">
        <v>0</v>
      </c>
      <c r="L8" s="35">
        <v>0</v>
      </c>
      <c r="M8">
        <v>9</v>
      </c>
      <c r="N8">
        <v>0</v>
      </c>
      <c r="O8">
        <v>7</v>
      </c>
      <c r="P8">
        <v>3</v>
      </c>
      <c r="Q8">
        <v>6</v>
      </c>
      <c r="R8">
        <v>11</v>
      </c>
      <c r="S8">
        <v>5</v>
      </c>
      <c r="T8">
        <v>0</v>
      </c>
      <c r="U8">
        <v>0</v>
      </c>
      <c r="V8">
        <v>0</v>
      </c>
      <c r="W8">
        <v>0</v>
      </c>
      <c r="X8" s="23">
        <v>0</v>
      </c>
      <c r="Y8" s="23">
        <v>0</v>
      </c>
      <c r="Z8" s="23">
        <v>0</v>
      </c>
      <c r="AA8" s="23">
        <v>0</v>
      </c>
      <c r="AB8">
        <v>0</v>
      </c>
      <c r="AC8">
        <v>0</v>
      </c>
      <c r="AD8">
        <v>0</v>
      </c>
      <c r="AE8">
        <v>0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2</v>
      </c>
      <c r="AK8">
        <v>2</v>
      </c>
      <c r="AL8">
        <v>2</v>
      </c>
      <c r="AM8">
        <v>1</v>
      </c>
      <c r="AN8" s="23">
        <v>0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9</v>
      </c>
      <c r="AU8" s="33" t="str">
        <f t="shared" si="2"/>
        <v>库存为9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10</v>
      </c>
      <c r="J9" s="35">
        <v>0</v>
      </c>
      <c r="K9" s="35">
        <v>0</v>
      </c>
      <c r="L9" s="35">
        <v>0</v>
      </c>
      <c r="M9">
        <v>10</v>
      </c>
      <c r="N9">
        <v>1</v>
      </c>
      <c r="O9">
        <v>10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2</v>
      </c>
      <c r="AK9">
        <v>0</v>
      </c>
      <c r="AL9">
        <v>0</v>
      </c>
      <c r="AM9">
        <v>1</v>
      </c>
      <c r="AN9" s="23">
        <v>0</v>
      </c>
      <c r="AO9" s="23" t="s">
        <v>54</v>
      </c>
      <c r="AP9" s="23" t="s">
        <v>54</v>
      </c>
      <c r="AQ9" s="23">
        <v>0</v>
      </c>
      <c r="AR9" s="37">
        <v>0</v>
      </c>
      <c r="AS9" s="37">
        <v>0</v>
      </c>
      <c r="AT9" s="37">
        <v>10</v>
      </c>
      <c r="AU9" s="33" t="str">
        <f t="shared" si="2"/>
        <v>库存为10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4</v>
      </c>
      <c r="J10" s="35">
        <v>0</v>
      </c>
      <c r="K10" s="35">
        <v>0</v>
      </c>
      <c r="L10" s="35">
        <v>0</v>
      </c>
      <c r="M10">
        <v>4</v>
      </c>
      <c r="N10">
        <v>0</v>
      </c>
      <c r="O10">
        <v>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3</v>
      </c>
      <c r="AK10">
        <v>0</v>
      </c>
      <c r="AL10">
        <v>0</v>
      </c>
      <c r="AM10">
        <v>0</v>
      </c>
      <c r="AN10" s="23">
        <v>0</v>
      </c>
      <c r="AO10" s="23" t="s">
        <v>54</v>
      </c>
      <c r="AP10" s="23" t="s">
        <v>54</v>
      </c>
      <c r="AQ10" s="23" t="s">
        <v>54</v>
      </c>
      <c r="AR10" s="37">
        <v>0</v>
      </c>
      <c r="AS10" s="37">
        <v>0</v>
      </c>
      <c r="AT10" s="37">
        <v>4</v>
      </c>
      <c r="AU10" s="33" t="str">
        <f t="shared" si="2"/>
        <v>库存为4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2</v>
      </c>
      <c r="AK11">
        <v>0</v>
      </c>
      <c r="AL11">
        <v>0</v>
      </c>
      <c r="AM11">
        <v>0</v>
      </c>
      <c r="AN11" s="23">
        <v>0</v>
      </c>
      <c r="AO11" s="23" t="s">
        <v>54</v>
      </c>
      <c r="AP11" s="23" t="s">
        <v>54</v>
      </c>
      <c r="AQ11" s="23" t="s">
        <v>54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3</v>
      </c>
      <c r="AK12">
        <v>3</v>
      </c>
      <c r="AL12">
        <v>3</v>
      </c>
      <c r="AM12">
        <v>0</v>
      </c>
      <c r="AN12" s="23">
        <v>0</v>
      </c>
      <c r="AO12" s="23">
        <v>0</v>
      </c>
      <c r="AP12" s="23">
        <v>0</v>
      </c>
      <c r="AQ12" s="23" t="s">
        <v>54</v>
      </c>
      <c r="AR12" s="37">
        <v>0</v>
      </c>
      <c r="AS12" s="37">
        <v>0</v>
      </c>
      <c r="AT12" s="37">
        <v>1</v>
      </c>
      <c r="AU12" s="33" t="str">
        <f t="shared" si="2"/>
        <v>库存为1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2</v>
      </c>
      <c r="J13" s="35">
        <v>0</v>
      </c>
      <c r="K13" s="35">
        <v>0</v>
      </c>
      <c r="L13" s="35">
        <v>0</v>
      </c>
      <c r="M13">
        <v>2</v>
      </c>
      <c r="N13">
        <v>0</v>
      </c>
      <c r="O13">
        <v>2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2</v>
      </c>
      <c r="AK13">
        <v>1</v>
      </c>
      <c r="AL13">
        <v>1</v>
      </c>
      <c r="AM13">
        <v>1</v>
      </c>
      <c r="AN13" s="23">
        <v>0</v>
      </c>
      <c r="AO13" s="23">
        <v>0</v>
      </c>
      <c r="AP13" s="23">
        <v>0</v>
      </c>
      <c r="AQ13" s="23">
        <v>0</v>
      </c>
      <c r="AR13" s="37">
        <v>0</v>
      </c>
      <c r="AS13" s="37">
        <v>0</v>
      </c>
      <c r="AT13" s="37">
        <v>2</v>
      </c>
      <c r="AU13" s="33" t="str">
        <f t="shared" si="2"/>
        <v>库存为2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7</v>
      </c>
      <c r="J14" s="35">
        <v>0</v>
      </c>
      <c r="K14" s="35">
        <v>0</v>
      </c>
      <c r="L14" s="35">
        <v>0</v>
      </c>
      <c r="M14">
        <v>7</v>
      </c>
      <c r="N14">
        <v>0</v>
      </c>
      <c r="O14">
        <v>7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2</v>
      </c>
      <c r="AK14">
        <v>0</v>
      </c>
      <c r="AL14">
        <v>0</v>
      </c>
      <c r="AM14">
        <v>0</v>
      </c>
      <c r="AN14" s="23">
        <v>0</v>
      </c>
      <c r="AO14" s="23" t="s">
        <v>54</v>
      </c>
      <c r="AP14" s="23" t="s">
        <v>54</v>
      </c>
      <c r="AQ14" s="23" t="s">
        <v>54</v>
      </c>
      <c r="AR14" s="37">
        <v>0</v>
      </c>
      <c r="AS14" s="37">
        <v>0</v>
      </c>
      <c r="AT14" s="37">
        <v>7</v>
      </c>
      <c r="AU14" s="33" t="str">
        <f t="shared" si="2"/>
        <v>库存为7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6</v>
      </c>
      <c r="J15" s="35">
        <v>0</v>
      </c>
      <c r="K15" s="35">
        <v>0</v>
      </c>
      <c r="L15" s="35">
        <v>0</v>
      </c>
      <c r="M15">
        <v>6</v>
      </c>
      <c r="N15">
        <v>0</v>
      </c>
      <c r="O15">
        <v>5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2</v>
      </c>
      <c r="AK15">
        <v>0</v>
      </c>
      <c r="AL15">
        <v>0</v>
      </c>
      <c r="AM15">
        <v>0</v>
      </c>
      <c r="AN15" s="23">
        <v>0</v>
      </c>
      <c r="AO15" s="23" t="s">
        <v>54</v>
      </c>
      <c r="AP15" s="23" t="s">
        <v>54</v>
      </c>
      <c r="AQ15" s="23" t="s">
        <v>54</v>
      </c>
      <c r="AR15" s="37">
        <v>0</v>
      </c>
      <c r="AS15" s="37">
        <v>0</v>
      </c>
      <c r="AT15" s="37">
        <v>6</v>
      </c>
      <c r="AU15" s="33" t="str">
        <f t="shared" si="2"/>
        <v>库存为6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6</v>
      </c>
      <c r="J16" s="35">
        <v>0</v>
      </c>
      <c r="K16" s="35">
        <v>0</v>
      </c>
      <c r="L16" s="35">
        <v>0</v>
      </c>
      <c r="M16">
        <v>6</v>
      </c>
      <c r="N16">
        <v>0</v>
      </c>
      <c r="O16">
        <v>6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4</v>
      </c>
      <c r="AK16">
        <v>0</v>
      </c>
      <c r="AL16">
        <v>0</v>
      </c>
      <c r="AM16">
        <v>1</v>
      </c>
      <c r="AN16" s="23">
        <v>0</v>
      </c>
      <c r="AO16" s="23" t="s">
        <v>54</v>
      </c>
      <c r="AP16" s="23" t="s">
        <v>54</v>
      </c>
      <c r="AQ16" s="23">
        <v>0</v>
      </c>
      <c r="AR16" s="37">
        <v>0</v>
      </c>
      <c r="AS16" s="37">
        <v>0</v>
      </c>
      <c r="AT16" s="37">
        <v>6</v>
      </c>
      <c r="AU16" s="33" t="str">
        <f t="shared" si="2"/>
        <v>库存为6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1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2</v>
      </c>
      <c r="AK18">
        <v>1</v>
      </c>
      <c r="AL18">
        <v>1</v>
      </c>
      <c r="AM18">
        <v>0</v>
      </c>
      <c r="AN18" s="23">
        <v>0</v>
      </c>
      <c r="AO18" s="23">
        <v>0</v>
      </c>
      <c r="AP18" s="23">
        <v>0</v>
      </c>
      <c r="AQ18" s="23" t="s">
        <v>54</v>
      </c>
      <c r="AR18" s="37">
        <v>0</v>
      </c>
      <c r="AS18" s="37">
        <v>0</v>
      </c>
      <c r="AT18" s="37">
        <v>2</v>
      </c>
      <c r="AU18" s="33" t="str">
        <f t="shared" si="2"/>
        <v>库存为2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6</v>
      </c>
      <c r="J19" s="35">
        <v>0</v>
      </c>
      <c r="K19" s="35">
        <v>0</v>
      </c>
      <c r="L19" s="35">
        <v>0</v>
      </c>
      <c r="M19">
        <v>6</v>
      </c>
      <c r="N19">
        <v>1</v>
      </c>
      <c r="O19">
        <v>6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1</v>
      </c>
      <c r="AK19">
        <v>1</v>
      </c>
      <c r="AL19">
        <v>1</v>
      </c>
      <c r="AM19">
        <v>0</v>
      </c>
      <c r="AN19" s="23">
        <v>0</v>
      </c>
      <c r="AO19" s="23">
        <v>0</v>
      </c>
      <c r="AP19" s="23">
        <v>0</v>
      </c>
      <c r="AQ19" s="23" t="s">
        <v>54</v>
      </c>
      <c r="AR19" s="37">
        <v>0</v>
      </c>
      <c r="AS19" s="37">
        <v>0</v>
      </c>
      <c r="AT19" s="37">
        <v>6</v>
      </c>
      <c r="AU19" s="33" t="str">
        <f t="shared" si="2"/>
        <v>库存为6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>
        <v>805</v>
      </c>
      <c r="Q20">
        <v>1043</v>
      </c>
      <c r="R20">
        <v>996</v>
      </c>
      <c r="S20">
        <v>511</v>
      </c>
      <c r="T20">
        <v>4</v>
      </c>
      <c r="U20">
        <v>4</v>
      </c>
      <c r="V20">
        <v>3</v>
      </c>
      <c r="W20">
        <v>0</v>
      </c>
      <c r="X20" s="23">
        <v>0.00496894409937888</v>
      </c>
      <c r="Y20" s="23">
        <v>0.00383509108341323</v>
      </c>
      <c r="Z20" s="23">
        <v>0.00301204819277108</v>
      </c>
      <c r="AA20" s="23">
        <v>0</v>
      </c>
      <c r="AB20">
        <v>1.05</v>
      </c>
      <c r="AC20">
        <v>1.2</v>
      </c>
      <c r="AD20">
        <v>1.14</v>
      </c>
      <c r="AE20">
        <v>0</v>
      </c>
      <c r="AF20" s="23">
        <v>0</v>
      </c>
      <c r="AG20" s="23">
        <v>0</v>
      </c>
      <c r="AH20" s="23">
        <v>0</v>
      </c>
      <c r="AI20" s="23" t="s">
        <v>54</v>
      </c>
      <c r="AJ20">
        <v>4</v>
      </c>
      <c r="AK20">
        <v>1</v>
      </c>
      <c r="AL20">
        <v>1</v>
      </c>
      <c r="AM20">
        <v>0</v>
      </c>
      <c r="AN20" s="23">
        <v>0</v>
      </c>
      <c r="AO20" s="23">
        <v>0</v>
      </c>
      <c r="AP20" s="23">
        <v>0</v>
      </c>
      <c r="AQ20" s="23" t="s">
        <v>54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3</v>
      </c>
      <c r="AK21">
        <v>0</v>
      </c>
      <c r="AL21">
        <v>0</v>
      </c>
      <c r="AM21">
        <v>0</v>
      </c>
      <c r="AN21" s="23">
        <v>0</v>
      </c>
      <c r="AO21" s="23" t="s">
        <v>54</v>
      </c>
      <c r="AP21" s="23" t="s">
        <v>54</v>
      </c>
      <c r="AQ21" s="23" t="s">
        <v>54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6</v>
      </c>
      <c r="J22" s="35">
        <v>0</v>
      </c>
      <c r="K22" s="35">
        <v>0</v>
      </c>
      <c r="L22" s="35">
        <v>0</v>
      </c>
      <c r="M22">
        <v>6</v>
      </c>
      <c r="N22">
        <v>2</v>
      </c>
      <c r="O22">
        <v>6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2</v>
      </c>
      <c r="AK22">
        <v>1</v>
      </c>
      <c r="AL22">
        <v>1</v>
      </c>
      <c r="AM22">
        <v>0</v>
      </c>
      <c r="AN22" s="23">
        <v>0</v>
      </c>
      <c r="AO22" s="23">
        <v>0</v>
      </c>
      <c r="AP22" s="23">
        <v>0</v>
      </c>
      <c r="AQ22" s="23" t="s">
        <v>54</v>
      </c>
      <c r="AR22" s="37">
        <v>0</v>
      </c>
      <c r="AS22" s="37">
        <v>0</v>
      </c>
      <c r="AT22" s="37">
        <v>6</v>
      </c>
      <c r="AU22" s="33" t="str">
        <f t="shared" si="2"/>
        <v>库存为6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5</v>
      </c>
      <c r="J23" s="35">
        <v>0</v>
      </c>
      <c r="K23" s="35">
        <v>0</v>
      </c>
      <c r="L23" s="35">
        <v>0</v>
      </c>
      <c r="M23">
        <v>5</v>
      </c>
      <c r="N23">
        <v>0</v>
      </c>
      <c r="O23">
        <v>5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1</v>
      </c>
      <c r="AK23">
        <v>2</v>
      </c>
      <c r="AL23">
        <v>2</v>
      </c>
      <c r="AM23">
        <v>1</v>
      </c>
      <c r="AN23" s="23">
        <v>0</v>
      </c>
      <c r="AO23" s="23">
        <v>0</v>
      </c>
      <c r="AP23" s="23">
        <v>0</v>
      </c>
      <c r="AQ23" s="23">
        <v>0</v>
      </c>
      <c r="AR23" s="37">
        <v>0</v>
      </c>
      <c r="AS23" s="37">
        <v>0</v>
      </c>
      <c r="AT23" s="37">
        <v>5</v>
      </c>
      <c r="AU23" s="33" t="str">
        <f t="shared" si="2"/>
        <v>库存为5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7</v>
      </c>
      <c r="J24" s="35">
        <v>0</v>
      </c>
      <c r="K24" s="35">
        <v>0</v>
      </c>
      <c r="L24" s="35">
        <v>0</v>
      </c>
      <c r="M24">
        <v>7</v>
      </c>
      <c r="N24">
        <v>0</v>
      </c>
      <c r="O24">
        <v>7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4</v>
      </c>
      <c r="AK24">
        <v>1</v>
      </c>
      <c r="AL24">
        <v>1</v>
      </c>
      <c r="AM24">
        <v>0</v>
      </c>
      <c r="AN24" s="23">
        <v>0</v>
      </c>
      <c r="AO24" s="23">
        <v>0</v>
      </c>
      <c r="AP24" s="23">
        <v>0</v>
      </c>
      <c r="AQ24" s="23" t="s">
        <v>54</v>
      </c>
      <c r="AR24" s="37">
        <v>0</v>
      </c>
      <c r="AS24" s="37">
        <v>0</v>
      </c>
      <c r="AT24" s="37">
        <v>7</v>
      </c>
      <c r="AU24" s="33" t="str">
        <f t="shared" si="2"/>
        <v>库存为7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2</v>
      </c>
      <c r="AK25">
        <v>0</v>
      </c>
      <c r="AL25">
        <v>0</v>
      </c>
      <c r="AM25">
        <v>1</v>
      </c>
      <c r="AN25" s="23">
        <v>0</v>
      </c>
      <c r="AO25" s="23" t="s">
        <v>54</v>
      </c>
      <c r="AP25" s="23" t="s">
        <v>54</v>
      </c>
      <c r="AQ25" s="23">
        <v>0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1</v>
      </c>
      <c r="AL26">
        <v>1</v>
      </c>
      <c r="AM26">
        <v>0</v>
      </c>
      <c r="AN26" s="23" t="s">
        <v>54</v>
      </c>
      <c r="AO26" s="23">
        <v>0</v>
      </c>
      <c r="AP26" s="23">
        <v>0</v>
      </c>
      <c r="AQ26" s="23" t="s">
        <v>54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13</v>
      </c>
      <c r="J27" s="35">
        <v>0</v>
      </c>
      <c r="K27" s="35">
        <v>0</v>
      </c>
      <c r="L27" s="35">
        <v>0</v>
      </c>
      <c r="M27">
        <v>13</v>
      </c>
      <c r="N27">
        <v>1</v>
      </c>
      <c r="O27">
        <v>13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3</v>
      </c>
      <c r="AK27">
        <v>2</v>
      </c>
      <c r="AL27">
        <v>2</v>
      </c>
      <c r="AM27">
        <v>0</v>
      </c>
      <c r="AN27" s="23">
        <v>0</v>
      </c>
      <c r="AO27" s="23">
        <v>0</v>
      </c>
      <c r="AP27" s="23">
        <v>0</v>
      </c>
      <c r="AQ27" s="23" t="s">
        <v>54</v>
      </c>
      <c r="AR27" s="37">
        <v>0</v>
      </c>
      <c r="AS27" s="37">
        <v>0</v>
      </c>
      <c r="AT27" s="37">
        <v>13</v>
      </c>
      <c r="AU27" s="33" t="str">
        <f t="shared" si="2"/>
        <v>库存为13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3</v>
      </c>
      <c r="J28" s="35">
        <v>0</v>
      </c>
      <c r="K28" s="35">
        <v>0</v>
      </c>
      <c r="L28" s="35">
        <v>0</v>
      </c>
      <c r="M28">
        <v>3</v>
      </c>
      <c r="N28">
        <v>0</v>
      </c>
      <c r="O28">
        <v>3</v>
      </c>
      <c r="P28">
        <v>800</v>
      </c>
      <c r="Q28">
        <v>263</v>
      </c>
      <c r="R28">
        <v>351</v>
      </c>
      <c r="S28">
        <v>222</v>
      </c>
      <c r="T28">
        <v>3</v>
      </c>
      <c r="U28">
        <v>1</v>
      </c>
      <c r="V28">
        <v>0</v>
      </c>
      <c r="W28">
        <v>1</v>
      </c>
      <c r="X28" s="23">
        <v>0.00375</v>
      </c>
      <c r="Y28" s="23">
        <v>0.00380228136882129</v>
      </c>
      <c r="Z28" s="23">
        <v>0</v>
      </c>
      <c r="AA28" s="23">
        <v>0.0045045045045045</v>
      </c>
      <c r="AB28">
        <v>0.45</v>
      </c>
      <c r="AC28">
        <v>0.19</v>
      </c>
      <c r="AD28">
        <v>0</v>
      </c>
      <c r="AE28">
        <v>0.33</v>
      </c>
      <c r="AF28" s="23">
        <v>0</v>
      </c>
      <c r="AG28" s="23">
        <v>0</v>
      </c>
      <c r="AH28" s="23" t="s">
        <v>54</v>
      </c>
      <c r="AI28" s="23">
        <v>0</v>
      </c>
      <c r="AJ28">
        <v>3</v>
      </c>
      <c r="AK28">
        <v>1</v>
      </c>
      <c r="AL28">
        <v>1</v>
      </c>
      <c r="AM28">
        <v>1</v>
      </c>
      <c r="AN28" s="23">
        <v>0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3</v>
      </c>
      <c r="AU28" s="33" t="str">
        <f t="shared" si="2"/>
        <v>库存为3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0</v>
      </c>
      <c r="F29" s="33">
        <v>0</v>
      </c>
      <c r="G29" s="33">
        <v>0</v>
      </c>
      <c r="H29" s="34">
        <v>0</v>
      </c>
      <c r="I29">
        <v>8</v>
      </c>
      <c r="J29" s="35">
        <v>0</v>
      </c>
      <c r="K29" s="35">
        <v>0</v>
      </c>
      <c r="L29" s="35">
        <v>0</v>
      </c>
      <c r="M29">
        <v>8</v>
      </c>
      <c r="N29">
        <v>0</v>
      </c>
      <c r="O29">
        <v>8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2</v>
      </c>
      <c r="AK29">
        <v>0</v>
      </c>
      <c r="AL29">
        <v>0</v>
      </c>
      <c r="AM29">
        <v>0</v>
      </c>
      <c r="AN29" s="23">
        <v>0</v>
      </c>
      <c r="AO29" s="23" t="s">
        <v>54</v>
      </c>
      <c r="AP29" s="23" t="s">
        <v>54</v>
      </c>
      <c r="AQ29" s="23" t="s">
        <v>54</v>
      </c>
      <c r="AR29" s="37">
        <v>0</v>
      </c>
      <c r="AS29" s="37">
        <v>0</v>
      </c>
      <c r="AT29" s="37">
        <v>8</v>
      </c>
      <c r="AU29" s="33" t="str">
        <f t="shared" si="2"/>
        <v>库存为8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4</v>
      </c>
      <c r="J30" s="35">
        <v>0</v>
      </c>
      <c r="K30" s="35">
        <v>0</v>
      </c>
      <c r="L30" s="35">
        <v>0</v>
      </c>
      <c r="M30">
        <v>4</v>
      </c>
      <c r="N30">
        <v>0</v>
      </c>
      <c r="O30">
        <v>4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3</v>
      </c>
      <c r="AK30">
        <v>3</v>
      </c>
      <c r="AL30">
        <v>3</v>
      </c>
      <c r="AM30">
        <v>0</v>
      </c>
      <c r="AN30" s="23">
        <v>0</v>
      </c>
      <c r="AO30" s="23">
        <v>0</v>
      </c>
      <c r="AP30" s="23">
        <v>0</v>
      </c>
      <c r="AQ30" s="23" t="s">
        <v>54</v>
      </c>
      <c r="AR30" s="37">
        <v>0</v>
      </c>
      <c r="AS30" s="37">
        <v>0</v>
      </c>
      <c r="AT30" s="37">
        <v>4</v>
      </c>
      <c r="AU30" s="33" t="str">
        <f t="shared" si="2"/>
        <v>库存为4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4</v>
      </c>
      <c r="J31" s="35">
        <v>0</v>
      </c>
      <c r="K31" s="35">
        <v>0</v>
      </c>
      <c r="L31" s="35">
        <v>0</v>
      </c>
      <c r="M31">
        <v>4</v>
      </c>
      <c r="N31">
        <v>0</v>
      </c>
      <c r="O31">
        <v>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5</v>
      </c>
      <c r="AK31">
        <v>1</v>
      </c>
      <c r="AL31">
        <v>1</v>
      </c>
      <c r="AM31">
        <v>1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4</v>
      </c>
      <c r="AU31" s="33" t="str">
        <f t="shared" si="2"/>
        <v>库存为4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1</v>
      </c>
      <c r="J32" s="35">
        <v>0</v>
      </c>
      <c r="K32" s="35">
        <v>0</v>
      </c>
      <c r="L32" s="35">
        <v>0</v>
      </c>
      <c r="M32">
        <v>1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2</v>
      </c>
      <c r="AK32">
        <v>0</v>
      </c>
      <c r="AL32">
        <v>0</v>
      </c>
      <c r="AM32">
        <v>0</v>
      </c>
      <c r="AN32" s="23">
        <v>0</v>
      </c>
      <c r="AO32" s="23" t="s">
        <v>54</v>
      </c>
      <c r="AP32" s="23" t="s">
        <v>54</v>
      </c>
      <c r="AQ32" s="23" t="s">
        <v>54</v>
      </c>
      <c r="AR32" s="37">
        <v>0</v>
      </c>
      <c r="AS32" s="37">
        <v>0</v>
      </c>
      <c r="AT32" s="37">
        <v>1</v>
      </c>
      <c r="AU32" s="33" t="str">
        <f t="shared" si="2"/>
        <v>库存为1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1</v>
      </c>
      <c r="F33" s="33">
        <v>0</v>
      </c>
      <c r="G33" s="33">
        <v>0</v>
      </c>
      <c r="H33" s="34">
        <v>15.99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1</v>
      </c>
      <c r="AL33">
        <v>1</v>
      </c>
      <c r="AM33">
        <v>0</v>
      </c>
      <c r="AN33" s="23" t="s">
        <v>54</v>
      </c>
      <c r="AO33" s="23">
        <v>1</v>
      </c>
      <c r="AP33" s="23">
        <v>0</v>
      </c>
      <c r="AQ33" s="23" t="s">
        <v>54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1</v>
      </c>
      <c r="J34" s="35">
        <v>0</v>
      </c>
      <c r="K34" s="35">
        <v>0</v>
      </c>
      <c r="L34" s="35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4</v>
      </c>
      <c r="AK34">
        <v>2</v>
      </c>
      <c r="AL34">
        <v>2</v>
      </c>
      <c r="AM34">
        <v>1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1</v>
      </c>
      <c r="AU34" s="33" t="str">
        <f t="shared" si="2"/>
        <v>库存为1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1</v>
      </c>
      <c r="J35" s="35">
        <v>0</v>
      </c>
      <c r="K35" s="35">
        <v>0</v>
      </c>
      <c r="L35" s="35">
        <v>0</v>
      </c>
      <c r="M35">
        <v>1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2</v>
      </c>
      <c r="AL35">
        <v>2</v>
      </c>
      <c r="AM35">
        <v>0</v>
      </c>
      <c r="AN35" s="23" t="s">
        <v>54</v>
      </c>
      <c r="AO35" s="23">
        <v>0</v>
      </c>
      <c r="AP35" s="23">
        <v>0</v>
      </c>
      <c r="AQ35" s="23" t="s">
        <v>54</v>
      </c>
      <c r="AR35" s="37">
        <v>0</v>
      </c>
      <c r="AS35" s="37">
        <v>0</v>
      </c>
      <c r="AT35" s="37">
        <v>1</v>
      </c>
      <c r="AU35" s="33" t="str">
        <f t="shared" si="2"/>
        <v>库存为1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0</v>
      </c>
      <c r="L36" s="35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7">
        <v>0</v>
      </c>
      <c r="AS36" s="37">
        <v>0</v>
      </c>
      <c r="AT36" s="37">
        <v>0</v>
      </c>
      <c r="AU36" s="33" t="str">
        <f t="shared" si="2"/>
        <v>库存为0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2</v>
      </c>
      <c r="J37" s="35">
        <v>0</v>
      </c>
      <c r="K37" s="35">
        <v>0</v>
      </c>
      <c r="L37" s="35">
        <v>0</v>
      </c>
      <c r="M37">
        <v>2</v>
      </c>
      <c r="N37">
        <v>0</v>
      </c>
      <c r="O37">
        <v>2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2</v>
      </c>
      <c r="AK37">
        <v>1</v>
      </c>
      <c r="AL37">
        <v>1</v>
      </c>
      <c r="AM37">
        <v>1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2</v>
      </c>
      <c r="AU37" s="33" t="str">
        <f t="shared" si="2"/>
        <v>库存为2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2</v>
      </c>
      <c r="AK38">
        <v>1</v>
      </c>
      <c r="AL38">
        <v>1</v>
      </c>
      <c r="AM38">
        <v>1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2"/>
        <v>库存为4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2</v>
      </c>
      <c r="J39" s="35">
        <v>0</v>
      </c>
      <c r="K39" s="35">
        <v>0</v>
      </c>
      <c r="L39" s="35">
        <v>0</v>
      </c>
      <c r="M39">
        <v>2</v>
      </c>
      <c r="N39">
        <v>0</v>
      </c>
      <c r="O39">
        <v>2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2</v>
      </c>
      <c r="AK39">
        <v>0</v>
      </c>
      <c r="AL39">
        <v>0</v>
      </c>
      <c r="AM39">
        <v>1</v>
      </c>
      <c r="AN39" s="23">
        <v>0</v>
      </c>
      <c r="AO39" s="23" t="s">
        <v>54</v>
      </c>
      <c r="AP39" s="23" t="s">
        <v>54</v>
      </c>
      <c r="AQ39" s="23">
        <v>0</v>
      </c>
      <c r="AR39" s="37">
        <v>0</v>
      </c>
      <c r="AS39" s="37">
        <v>0</v>
      </c>
      <c r="AT39" s="37">
        <v>2</v>
      </c>
      <c r="AU39" s="33" t="str">
        <f t="shared" si="2"/>
        <v>库存为2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4</v>
      </c>
      <c r="AK40">
        <v>1</v>
      </c>
      <c r="AL40">
        <v>1</v>
      </c>
      <c r="AM40">
        <v>0</v>
      </c>
      <c r="AN40" s="23">
        <v>0</v>
      </c>
      <c r="AO40" s="23">
        <v>0</v>
      </c>
      <c r="AP40" s="23">
        <v>0</v>
      </c>
      <c r="AQ40" s="23" t="s">
        <v>54</v>
      </c>
      <c r="AR40" s="37">
        <v>0</v>
      </c>
      <c r="AS40" s="37">
        <v>0</v>
      </c>
      <c r="AT40" s="37">
        <v>2</v>
      </c>
      <c r="AU40" s="33" t="str">
        <f t="shared" si="2"/>
        <v>库存为2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7</v>
      </c>
      <c r="J41" s="35">
        <v>0</v>
      </c>
      <c r="K41" s="35">
        <v>0</v>
      </c>
      <c r="L41" s="35">
        <v>0</v>
      </c>
      <c r="M41">
        <v>7</v>
      </c>
      <c r="N41">
        <v>1</v>
      </c>
      <c r="O41">
        <v>7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2</v>
      </c>
      <c r="AL41">
        <v>2</v>
      </c>
      <c r="AM41">
        <v>0</v>
      </c>
      <c r="AN41" s="23" t="s">
        <v>54</v>
      </c>
      <c r="AO41" s="23">
        <v>0</v>
      </c>
      <c r="AP41" s="23">
        <v>0</v>
      </c>
      <c r="AQ41" s="23" t="s">
        <v>54</v>
      </c>
      <c r="AR41" s="37">
        <v>0</v>
      </c>
      <c r="AS41" s="37">
        <v>0</v>
      </c>
      <c r="AT41" s="37">
        <v>7</v>
      </c>
      <c r="AU41" s="33" t="str">
        <f t="shared" si="2"/>
        <v>库存为7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10</v>
      </c>
      <c r="J42" s="35">
        <v>0</v>
      </c>
      <c r="K42" s="35">
        <v>0</v>
      </c>
      <c r="L42" s="35">
        <v>0</v>
      </c>
      <c r="M42">
        <v>10</v>
      </c>
      <c r="N42">
        <v>0</v>
      </c>
      <c r="O42">
        <v>9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3</v>
      </c>
      <c r="AK42">
        <v>0</v>
      </c>
      <c r="AL42">
        <v>0</v>
      </c>
      <c r="AM42">
        <v>0</v>
      </c>
      <c r="AN42" s="23">
        <v>0</v>
      </c>
      <c r="AO42" s="23" t="s">
        <v>54</v>
      </c>
      <c r="AP42" s="23" t="s">
        <v>54</v>
      </c>
      <c r="AQ42" s="23" t="s">
        <v>54</v>
      </c>
      <c r="AR42" s="37">
        <v>0</v>
      </c>
      <c r="AS42" s="37">
        <v>0</v>
      </c>
      <c r="AT42" s="37">
        <v>10</v>
      </c>
      <c r="AU42" s="33" t="str">
        <f t="shared" si="2"/>
        <v>库存为10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2</v>
      </c>
      <c r="AK43">
        <v>0</v>
      </c>
      <c r="AL43">
        <v>0</v>
      </c>
      <c r="AM43">
        <v>0</v>
      </c>
      <c r="AN43" s="23">
        <v>0</v>
      </c>
      <c r="AO43" s="23" t="s">
        <v>54</v>
      </c>
      <c r="AP43" s="23" t="s">
        <v>54</v>
      </c>
      <c r="AQ43" s="23" t="s">
        <v>54</v>
      </c>
      <c r="AR43" s="37">
        <v>0</v>
      </c>
      <c r="AS43" s="37">
        <v>0</v>
      </c>
      <c r="AT43" s="37">
        <v>4</v>
      </c>
      <c r="AU43" s="33" t="str">
        <f t="shared" si="2"/>
        <v>库存为4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2</v>
      </c>
      <c r="J44" s="35">
        <v>0</v>
      </c>
      <c r="K44" s="35">
        <v>0</v>
      </c>
      <c r="L44" s="35">
        <v>0</v>
      </c>
      <c r="M44">
        <v>2</v>
      </c>
      <c r="N44">
        <v>0</v>
      </c>
      <c r="O44">
        <v>2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1</v>
      </c>
      <c r="AK44">
        <v>0</v>
      </c>
      <c r="AL44">
        <v>0</v>
      </c>
      <c r="AM44">
        <v>0</v>
      </c>
      <c r="AN44" s="23">
        <v>0</v>
      </c>
      <c r="AO44" s="23" t="s">
        <v>54</v>
      </c>
      <c r="AP44" s="23" t="s">
        <v>54</v>
      </c>
      <c r="AQ44" s="23" t="s">
        <v>54</v>
      </c>
      <c r="AR44" s="37">
        <v>0</v>
      </c>
      <c r="AS44" s="37">
        <v>0</v>
      </c>
      <c r="AT44" s="37">
        <v>2</v>
      </c>
      <c r="AU44" s="33" t="str">
        <f t="shared" si="2"/>
        <v>库存为2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4</v>
      </c>
      <c r="J45" s="35">
        <v>0</v>
      </c>
      <c r="K45" s="35">
        <v>0</v>
      </c>
      <c r="L45" s="35">
        <v>0</v>
      </c>
      <c r="M45">
        <v>4</v>
      </c>
      <c r="N45">
        <v>0</v>
      </c>
      <c r="O45">
        <v>3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3</v>
      </c>
      <c r="AK45">
        <v>2</v>
      </c>
      <c r="AL45">
        <v>2</v>
      </c>
      <c r="AM45">
        <v>0</v>
      </c>
      <c r="AN45" s="23">
        <v>0</v>
      </c>
      <c r="AO45" s="23">
        <v>0</v>
      </c>
      <c r="AP45" s="23">
        <v>0</v>
      </c>
      <c r="AQ45" s="23" t="s">
        <v>54</v>
      </c>
      <c r="AR45" s="37">
        <v>0</v>
      </c>
      <c r="AS45" s="37">
        <v>0</v>
      </c>
      <c r="AT45" s="37">
        <v>4</v>
      </c>
      <c r="AU45" s="33" t="str">
        <f t="shared" si="2"/>
        <v>库存为4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5</v>
      </c>
      <c r="J46" s="35">
        <v>0</v>
      </c>
      <c r="K46" s="35">
        <v>0</v>
      </c>
      <c r="L46" s="35">
        <v>0</v>
      </c>
      <c r="M46">
        <v>5</v>
      </c>
      <c r="N46">
        <v>0</v>
      </c>
      <c r="O46">
        <v>5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2</v>
      </c>
      <c r="AK46">
        <v>0</v>
      </c>
      <c r="AL46">
        <v>0</v>
      </c>
      <c r="AM46">
        <v>1</v>
      </c>
      <c r="AN46" s="23">
        <v>0</v>
      </c>
      <c r="AO46" s="23" t="s">
        <v>54</v>
      </c>
      <c r="AP46" s="23" t="s">
        <v>54</v>
      </c>
      <c r="AQ46" s="23">
        <v>0</v>
      </c>
      <c r="AR46" s="37">
        <v>0</v>
      </c>
      <c r="AS46" s="37">
        <v>0</v>
      </c>
      <c r="AT46" s="37">
        <v>5</v>
      </c>
      <c r="AU46" s="33" t="str">
        <f t="shared" si="2"/>
        <v>库存为5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1</v>
      </c>
      <c r="J47" s="35">
        <v>0</v>
      </c>
      <c r="K47" s="35">
        <v>0</v>
      </c>
      <c r="L47" s="35">
        <v>0</v>
      </c>
      <c r="M47">
        <v>1</v>
      </c>
      <c r="N47">
        <v>0</v>
      </c>
      <c r="O47">
        <v>1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2</v>
      </c>
      <c r="AN47" s="23" t="s">
        <v>54</v>
      </c>
      <c r="AO47" s="23" t="s">
        <v>54</v>
      </c>
      <c r="AP47" s="23" t="s">
        <v>54</v>
      </c>
      <c r="AQ47" s="23">
        <v>0</v>
      </c>
      <c r="AR47" s="37">
        <v>0</v>
      </c>
      <c r="AS47" s="37">
        <v>0</v>
      </c>
      <c r="AT47" s="37">
        <v>1</v>
      </c>
      <c r="AU47" s="33" t="str">
        <f t="shared" si="2"/>
        <v>库存为1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5</v>
      </c>
      <c r="J48" s="35">
        <v>0</v>
      </c>
      <c r="K48" s="35">
        <v>0</v>
      </c>
      <c r="L48" s="35">
        <v>0</v>
      </c>
      <c r="M48">
        <v>5</v>
      </c>
      <c r="N48">
        <v>0</v>
      </c>
      <c r="O48">
        <v>5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2</v>
      </c>
      <c r="AK48">
        <v>0</v>
      </c>
      <c r="AL48">
        <v>0</v>
      </c>
      <c r="AM48">
        <v>1</v>
      </c>
      <c r="AN48" s="23">
        <v>0</v>
      </c>
      <c r="AO48" s="23" t="s">
        <v>54</v>
      </c>
      <c r="AP48" s="23" t="s">
        <v>54</v>
      </c>
      <c r="AQ48" s="23">
        <v>0</v>
      </c>
      <c r="AR48" s="37">
        <v>0</v>
      </c>
      <c r="AS48" s="37">
        <v>0</v>
      </c>
      <c r="AT48" s="37">
        <v>5</v>
      </c>
      <c r="AU48" s="33" t="str">
        <f t="shared" si="2"/>
        <v>库存为5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1</v>
      </c>
      <c r="AK49">
        <v>1</v>
      </c>
      <c r="AL49">
        <v>1</v>
      </c>
      <c r="AM49">
        <v>0</v>
      </c>
      <c r="AN49" s="23">
        <v>0</v>
      </c>
      <c r="AO49" s="23">
        <v>0</v>
      </c>
      <c r="AP49" s="23">
        <v>0</v>
      </c>
      <c r="AQ49" s="23" t="s">
        <v>54</v>
      </c>
      <c r="AR49" s="37">
        <v>0</v>
      </c>
      <c r="AS49" s="37">
        <v>0</v>
      </c>
      <c r="AT49" s="37">
        <v>5</v>
      </c>
      <c r="AU49" s="33" t="str">
        <f t="shared" si="2"/>
        <v>库存为5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7">
        <v>0</v>
      </c>
      <c r="AS50" s="37">
        <v>0</v>
      </c>
      <c r="AT50" s="37">
        <v>5</v>
      </c>
      <c r="AU50" s="33" t="str">
        <f t="shared" si="2"/>
        <v>库存为5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1</v>
      </c>
      <c r="AK51">
        <v>1</v>
      </c>
      <c r="AL51">
        <v>1</v>
      </c>
      <c r="AM51">
        <v>0</v>
      </c>
      <c r="AN51" s="23">
        <v>0</v>
      </c>
      <c r="AO51" s="23">
        <v>0</v>
      </c>
      <c r="AP51" s="23">
        <v>0</v>
      </c>
      <c r="AQ51" s="23" t="s">
        <v>54</v>
      </c>
      <c r="AR51" s="37">
        <v>0</v>
      </c>
      <c r="AS51" s="37">
        <v>0</v>
      </c>
      <c r="AT51" s="37">
        <v>5</v>
      </c>
      <c r="AU51" s="33" t="str">
        <f t="shared" si="2"/>
        <v>库存为5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5</v>
      </c>
      <c r="J52" s="35">
        <v>0</v>
      </c>
      <c r="K52" s="35">
        <v>0</v>
      </c>
      <c r="L52" s="35">
        <v>0</v>
      </c>
      <c r="M52">
        <v>5</v>
      </c>
      <c r="N52">
        <v>0</v>
      </c>
      <c r="O52">
        <v>5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4</v>
      </c>
      <c r="AK52">
        <v>1</v>
      </c>
      <c r="AL52">
        <v>1</v>
      </c>
      <c r="AM52">
        <v>0</v>
      </c>
      <c r="AN52" s="23">
        <v>0</v>
      </c>
      <c r="AO52" s="23">
        <v>0</v>
      </c>
      <c r="AP52" s="23">
        <v>0</v>
      </c>
      <c r="AQ52" s="23" t="s">
        <v>54</v>
      </c>
      <c r="AR52" s="37">
        <v>0</v>
      </c>
      <c r="AS52" s="37">
        <v>0</v>
      </c>
      <c r="AT52" s="37">
        <v>5</v>
      </c>
      <c r="AU52" s="33" t="str">
        <f t="shared" si="2"/>
        <v>库存为5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53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4</v>
      </c>
      <c r="J53" s="35">
        <v>0</v>
      </c>
      <c r="K53" s="35">
        <v>0</v>
      </c>
      <c r="L53" s="35">
        <v>0</v>
      </c>
      <c r="M53">
        <v>4</v>
      </c>
      <c r="N53">
        <v>0</v>
      </c>
      <c r="O53">
        <v>4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2</v>
      </c>
      <c r="AK53">
        <v>0</v>
      </c>
      <c r="AL53">
        <v>0</v>
      </c>
      <c r="AM53">
        <v>0</v>
      </c>
      <c r="AN53" s="23">
        <v>0</v>
      </c>
      <c r="AO53" s="23" t="s">
        <v>54</v>
      </c>
      <c r="AP53" s="23" t="s">
        <v>54</v>
      </c>
      <c r="AQ53" s="23" t="s">
        <v>54</v>
      </c>
      <c r="AR53" s="37">
        <v>0</v>
      </c>
      <c r="AS53" s="37">
        <v>0</v>
      </c>
      <c r="AT53" s="37">
        <v>4</v>
      </c>
      <c r="AU53" s="33" t="str">
        <f t="shared" si="2"/>
        <v>库存为4</v>
      </c>
      <c r="AV53" s="38" t="str">
        <f>IFERROR(时间!$B$4+AU53,"上周无销量")</f>
        <v>上周无销量</v>
      </c>
    </row>
    <row r="54" spans="1:48">
      <c r="A54" s="21" t="s">
        <v>149</v>
      </c>
      <c r="B54" t="s">
        <v>150</v>
      </c>
      <c r="C54" t="s">
        <v>151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0</v>
      </c>
      <c r="J54" s="35">
        <v>0</v>
      </c>
      <c r="K54" s="35">
        <v>0</v>
      </c>
      <c r="L54" s="35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0</v>
      </c>
      <c r="AU54" s="33" t="str">
        <f t="shared" si="2"/>
        <v>库存为0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151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2</v>
      </c>
      <c r="J55" s="35">
        <v>0</v>
      </c>
      <c r="K55" s="35">
        <v>0</v>
      </c>
      <c r="L55" s="35">
        <v>0</v>
      </c>
      <c r="M55">
        <v>2</v>
      </c>
      <c r="N55">
        <v>0</v>
      </c>
      <c r="O55">
        <v>2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2</v>
      </c>
      <c r="AU55" s="33" t="str">
        <f t="shared" si="2"/>
        <v>库存为2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151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1</v>
      </c>
      <c r="J56" s="35">
        <v>0</v>
      </c>
      <c r="K56" s="35">
        <v>0</v>
      </c>
      <c r="L56" s="35">
        <v>0</v>
      </c>
      <c r="M56">
        <v>1</v>
      </c>
      <c r="N56">
        <v>0</v>
      </c>
      <c r="O56">
        <v>1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1</v>
      </c>
      <c r="AU56" s="33" t="str">
        <f t="shared" si="2"/>
        <v>库存为1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151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1</v>
      </c>
      <c r="J57" s="35">
        <v>0</v>
      </c>
      <c r="K57" s="35">
        <v>0</v>
      </c>
      <c r="L57" s="35">
        <v>0</v>
      </c>
      <c r="M57">
        <v>1</v>
      </c>
      <c r="N57">
        <v>0</v>
      </c>
      <c r="O57">
        <v>1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1</v>
      </c>
      <c r="AU57" s="33" t="str">
        <f t="shared" si="2"/>
        <v>库存为1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151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1</v>
      </c>
      <c r="AK58">
        <v>2</v>
      </c>
      <c r="AL58">
        <v>2</v>
      </c>
      <c r="AM58">
        <v>0</v>
      </c>
      <c r="AN58" s="23">
        <v>0</v>
      </c>
      <c r="AO58" s="23">
        <v>0</v>
      </c>
      <c r="AP58" s="23">
        <v>0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151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2</v>
      </c>
      <c r="J59" s="35">
        <v>0</v>
      </c>
      <c r="K59" s="35">
        <v>0</v>
      </c>
      <c r="L59" s="35">
        <v>0</v>
      </c>
      <c r="M59">
        <v>2</v>
      </c>
      <c r="N59">
        <v>0</v>
      </c>
      <c r="O59">
        <v>2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7">
        <v>0</v>
      </c>
      <c r="AS59" s="37">
        <v>0</v>
      </c>
      <c r="AT59" s="37">
        <v>2</v>
      </c>
      <c r="AU59" s="33" t="str">
        <f t="shared" si="2"/>
        <v>库存为2</v>
      </c>
      <c r="AV59" s="38" t="str">
        <f>IFERROR(时间!$B$4+AU59,"上周无销量")</f>
        <v>上周无销量</v>
      </c>
    </row>
    <row r="60" spans="1:48">
      <c r="A60" s="21" t="s">
        <v>162</v>
      </c>
      <c r="B60" t="s">
        <v>163</v>
      </c>
      <c r="C60" t="s">
        <v>151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2</v>
      </c>
      <c r="J60" s="35">
        <v>0</v>
      </c>
      <c r="K60" s="35">
        <v>0</v>
      </c>
      <c r="L60" s="35">
        <v>0</v>
      </c>
      <c r="M60">
        <v>2</v>
      </c>
      <c r="N60">
        <v>0</v>
      </c>
      <c r="O60">
        <v>2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2</v>
      </c>
      <c r="AL60">
        <v>2</v>
      </c>
      <c r="AM60">
        <v>0</v>
      </c>
      <c r="AN60" s="23" t="s">
        <v>54</v>
      </c>
      <c r="AO60" s="23">
        <v>0</v>
      </c>
      <c r="AP60" s="23">
        <v>0</v>
      </c>
      <c r="AQ60" s="23" t="s">
        <v>54</v>
      </c>
      <c r="AR60" s="37">
        <v>0</v>
      </c>
      <c r="AS60" s="37">
        <v>0</v>
      </c>
      <c r="AT60" s="37">
        <v>2</v>
      </c>
      <c r="AU60" s="33" t="str">
        <f t="shared" si="2"/>
        <v>库存为2</v>
      </c>
      <c r="AV60" s="38" t="str">
        <f>IFERROR(时间!$B$4+AU60,"上周无销量")</f>
        <v>上周无销量</v>
      </c>
    </row>
    <row r="61" spans="1:48">
      <c r="A61" s="21" t="s">
        <v>164</v>
      </c>
      <c r="B61" t="s">
        <v>165</v>
      </c>
      <c r="C61" t="s">
        <v>166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1</v>
      </c>
      <c r="J61" s="35">
        <v>0</v>
      </c>
      <c r="K61" s="35">
        <v>0</v>
      </c>
      <c r="L61" s="35">
        <v>0</v>
      </c>
      <c r="M61">
        <v>1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5</v>
      </c>
      <c r="AK61">
        <v>0</v>
      </c>
      <c r="AL61">
        <v>0</v>
      </c>
      <c r="AM61">
        <v>1</v>
      </c>
      <c r="AN61" s="23">
        <v>0</v>
      </c>
      <c r="AO61" s="23" t="s">
        <v>54</v>
      </c>
      <c r="AP61" s="23" t="s">
        <v>54</v>
      </c>
      <c r="AQ61" s="23">
        <v>0</v>
      </c>
      <c r="AR61" s="37">
        <v>0</v>
      </c>
      <c r="AS61" s="37">
        <v>0</v>
      </c>
      <c r="AT61" s="37">
        <v>1</v>
      </c>
      <c r="AU61" s="33" t="str">
        <f t="shared" si="2"/>
        <v>库存为1</v>
      </c>
      <c r="AV61" s="38" t="str">
        <f>IFERROR(时间!$B$4+AU61,"上周无销量")</f>
        <v>上周无销量</v>
      </c>
    </row>
    <row r="62" spans="1:48">
      <c r="A62" s="21" t="s">
        <v>167</v>
      </c>
      <c r="B62" t="s">
        <v>168</v>
      </c>
      <c r="C62" t="s">
        <v>169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3</v>
      </c>
      <c r="J62" s="35">
        <v>0</v>
      </c>
      <c r="K62" s="35">
        <v>0</v>
      </c>
      <c r="L62" s="35">
        <v>0</v>
      </c>
      <c r="M62">
        <v>3</v>
      </c>
      <c r="N62">
        <v>0</v>
      </c>
      <c r="O62">
        <v>3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1</v>
      </c>
      <c r="AK62">
        <v>1</v>
      </c>
      <c r="AL62">
        <v>1</v>
      </c>
      <c r="AM62">
        <v>2</v>
      </c>
      <c r="AN62" s="23">
        <v>0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3</v>
      </c>
      <c r="AU62" s="33" t="str">
        <f t="shared" si="2"/>
        <v>库存为3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169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3</v>
      </c>
      <c r="J63" s="35">
        <v>0</v>
      </c>
      <c r="K63" s="35">
        <v>0</v>
      </c>
      <c r="L63" s="35">
        <v>0</v>
      </c>
      <c r="M63">
        <v>3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2</v>
      </c>
      <c r="AK63">
        <v>1</v>
      </c>
      <c r="AL63">
        <v>1</v>
      </c>
      <c r="AM63">
        <v>0</v>
      </c>
      <c r="AN63" s="23">
        <v>0</v>
      </c>
      <c r="AO63" s="23">
        <v>0</v>
      </c>
      <c r="AP63" s="23">
        <v>0</v>
      </c>
      <c r="AQ63" s="23" t="s">
        <v>54</v>
      </c>
      <c r="AR63" s="37">
        <v>0</v>
      </c>
      <c r="AS63" s="37">
        <v>0</v>
      </c>
      <c r="AT63" s="37">
        <v>3</v>
      </c>
      <c r="AU63" s="33" t="str">
        <f t="shared" si="2"/>
        <v>库存为3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169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3</v>
      </c>
      <c r="J64" s="35">
        <v>0</v>
      </c>
      <c r="K64" s="35">
        <v>0</v>
      </c>
      <c r="L64" s="35">
        <v>0</v>
      </c>
      <c r="M64">
        <v>3</v>
      </c>
      <c r="N64">
        <v>0</v>
      </c>
      <c r="O64">
        <v>3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1</v>
      </c>
      <c r="AK64">
        <v>0</v>
      </c>
      <c r="AL64">
        <v>0</v>
      </c>
      <c r="AM64">
        <v>2</v>
      </c>
      <c r="AN64" s="23">
        <v>0</v>
      </c>
      <c r="AO64" s="23" t="s">
        <v>54</v>
      </c>
      <c r="AP64" s="23" t="s">
        <v>54</v>
      </c>
      <c r="AQ64" s="23">
        <v>0</v>
      </c>
      <c r="AR64" s="37">
        <v>0</v>
      </c>
      <c r="AS64" s="37">
        <v>0</v>
      </c>
      <c r="AT64" s="37">
        <v>3</v>
      </c>
      <c r="AU64" s="33" t="str">
        <f t="shared" si="2"/>
        <v>库存为3</v>
      </c>
      <c r="AV64" s="38" t="str">
        <f>IFERROR(时间!$B$4+AU64,"上周无销量")</f>
        <v>上周无销量</v>
      </c>
    </row>
    <row r="65" spans="1:48">
      <c r="A65" s="21" t="s">
        <v>174</v>
      </c>
      <c r="B65" t="s">
        <v>175</v>
      </c>
      <c r="C65" t="s">
        <v>169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3</v>
      </c>
      <c r="J65" s="35">
        <v>0</v>
      </c>
      <c r="K65" s="35">
        <v>0</v>
      </c>
      <c r="L65" s="35">
        <v>0</v>
      </c>
      <c r="M65">
        <v>3</v>
      </c>
      <c r="N65">
        <v>0</v>
      </c>
      <c r="O65">
        <v>3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4</v>
      </c>
      <c r="AK65">
        <v>2</v>
      </c>
      <c r="AL65">
        <v>2</v>
      </c>
      <c r="AM65">
        <v>3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3</v>
      </c>
      <c r="AU65" s="33" t="str">
        <f t="shared" si="2"/>
        <v>库存为3</v>
      </c>
      <c r="AV65" s="38" t="str">
        <f>IFERROR(时间!$B$4+AU65,"上周无销量")</f>
        <v>上周无销量</v>
      </c>
    </row>
    <row r="66" spans="1:48">
      <c r="A66" s="21" t="s">
        <v>176</v>
      </c>
      <c r="B66" t="s">
        <v>177</v>
      </c>
      <c r="C66" t="s">
        <v>169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0</v>
      </c>
      <c r="J66" s="35">
        <v>0</v>
      </c>
      <c r="K66" s="35">
        <v>0</v>
      </c>
      <c r="L66" s="35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7">
        <v>0</v>
      </c>
      <c r="AS66" s="37">
        <v>0</v>
      </c>
      <c r="AT66" s="37">
        <v>0</v>
      </c>
      <c r="AU66" s="33" t="str">
        <f t="shared" si="2"/>
        <v>库存为0</v>
      </c>
      <c r="AV66" s="38" t="str">
        <f>IFERROR(时间!$B$4+AU66,"上周无销量")</f>
        <v>上周无销量</v>
      </c>
    </row>
    <row r="67" spans="1:48">
      <c r="A67" s="21" t="s">
        <v>178</v>
      </c>
      <c r="B67" t="s">
        <v>179</v>
      </c>
      <c r="C67" t="s">
        <v>180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2</v>
      </c>
      <c r="J67" s="35">
        <v>0</v>
      </c>
      <c r="K67" s="35">
        <v>0</v>
      </c>
      <c r="L67" s="35">
        <v>0</v>
      </c>
      <c r="M67">
        <v>2</v>
      </c>
      <c r="N67">
        <v>0</v>
      </c>
      <c r="O67">
        <v>2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1</v>
      </c>
      <c r="AK67">
        <v>1</v>
      </c>
      <c r="AL67">
        <v>1</v>
      </c>
      <c r="AM67">
        <v>0</v>
      </c>
      <c r="AN67" s="23">
        <v>0</v>
      </c>
      <c r="AO67" s="23">
        <v>0</v>
      </c>
      <c r="AP67" s="23">
        <v>0</v>
      </c>
      <c r="AQ67" s="23" t="s">
        <v>54</v>
      </c>
      <c r="AR67" s="37">
        <v>0</v>
      </c>
      <c r="AS67" s="37">
        <v>0</v>
      </c>
      <c r="AT67" s="37">
        <v>2</v>
      </c>
      <c r="AU67" s="33" t="str">
        <f t="shared" si="2"/>
        <v>库存为2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180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1</v>
      </c>
      <c r="J68" s="35">
        <v>0</v>
      </c>
      <c r="K68" s="35">
        <v>0</v>
      </c>
      <c r="L68" s="35">
        <v>0</v>
      </c>
      <c r="M68">
        <v>1</v>
      </c>
      <c r="N68">
        <v>0</v>
      </c>
      <c r="O68">
        <v>1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1</v>
      </c>
      <c r="AK68">
        <v>0</v>
      </c>
      <c r="AL68">
        <v>0</v>
      </c>
      <c r="AM68">
        <v>2</v>
      </c>
      <c r="AN68" s="23">
        <v>0</v>
      </c>
      <c r="AO68" s="23" t="s">
        <v>54</v>
      </c>
      <c r="AP68" s="23" t="s">
        <v>54</v>
      </c>
      <c r="AQ68" s="23">
        <v>0</v>
      </c>
      <c r="AR68" s="37">
        <v>0</v>
      </c>
      <c r="AS68" s="37">
        <v>0</v>
      </c>
      <c r="AT68" s="37">
        <v>1</v>
      </c>
      <c r="AU68" s="33" t="str">
        <f t="shared" si="2"/>
        <v>库存为1</v>
      </c>
      <c r="AV68" s="38" t="str">
        <f>IFERROR(时间!$B$4+AU68,"上周无销量")</f>
        <v>上周无销量</v>
      </c>
    </row>
    <row r="69" spans="1:48">
      <c r="A69" s="21" t="s">
        <v>183</v>
      </c>
      <c r="B69" t="s">
        <v>184</v>
      </c>
      <c r="C69" t="s">
        <v>180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2</v>
      </c>
      <c r="J69" s="35">
        <v>0</v>
      </c>
      <c r="K69" s="35">
        <v>0</v>
      </c>
      <c r="L69" s="35">
        <v>0</v>
      </c>
      <c r="M69">
        <v>2</v>
      </c>
      <c r="N69">
        <v>0</v>
      </c>
      <c r="O69">
        <v>2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2</v>
      </c>
      <c r="AK69">
        <v>0</v>
      </c>
      <c r="AL69">
        <v>0</v>
      </c>
      <c r="AM69">
        <v>2</v>
      </c>
      <c r="AN69" s="23">
        <v>0</v>
      </c>
      <c r="AO69" s="23" t="s">
        <v>54</v>
      </c>
      <c r="AP69" s="23" t="s">
        <v>54</v>
      </c>
      <c r="AQ69" s="23">
        <v>0</v>
      </c>
      <c r="AR69" s="37">
        <v>0</v>
      </c>
      <c r="AS69" s="37">
        <v>0</v>
      </c>
      <c r="AT69" s="37">
        <v>2</v>
      </c>
      <c r="AU69" s="33" t="str">
        <f t="shared" ref="AU69:AU132" si="4">IF(AR69="","库存为"&amp;M69,IF(AS69=0,"库存为"&amp;M69,INT(M69/AR69)))</f>
        <v>库存为2</v>
      </c>
      <c r="AV69" s="38" t="str">
        <f>IFERROR(时间!$B$4+AU69,"上周无销量")</f>
        <v>上周无销量</v>
      </c>
    </row>
    <row r="70" spans="1:48">
      <c r="A70" s="21" t="s">
        <v>185</v>
      </c>
      <c r="B70" t="s">
        <v>186</v>
      </c>
      <c r="C70" t="s">
        <v>180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2</v>
      </c>
      <c r="J70" s="35">
        <v>0</v>
      </c>
      <c r="K70" s="35">
        <v>0</v>
      </c>
      <c r="L70" s="35">
        <v>0</v>
      </c>
      <c r="M70">
        <v>2</v>
      </c>
      <c r="N70">
        <v>0</v>
      </c>
      <c r="O70">
        <v>2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1</v>
      </c>
      <c r="AK70">
        <v>0</v>
      </c>
      <c r="AL70">
        <v>0</v>
      </c>
      <c r="AM70">
        <v>0</v>
      </c>
      <c r="AN70" s="23">
        <v>0</v>
      </c>
      <c r="AO70" s="23" t="s">
        <v>54</v>
      </c>
      <c r="AP70" s="23" t="s">
        <v>54</v>
      </c>
      <c r="AQ70" s="23" t="s">
        <v>54</v>
      </c>
      <c r="AR70" s="37">
        <v>0</v>
      </c>
      <c r="AS70" s="37">
        <v>0</v>
      </c>
      <c r="AT70" s="37">
        <v>2</v>
      </c>
      <c r="AU70" s="33" t="str">
        <f t="shared" si="4"/>
        <v>库存为2</v>
      </c>
      <c r="AV70" s="38" t="str">
        <f>IFERROR(时间!$B$4+AU70,"上周无销量")</f>
        <v>上周无销量</v>
      </c>
    </row>
    <row r="71" spans="1:48">
      <c r="A71" s="21" t="s">
        <v>187</v>
      </c>
      <c r="B71" t="s">
        <v>188</v>
      </c>
      <c r="C71" t="s">
        <v>189</v>
      </c>
      <c r="D71" s="33">
        <v>1</v>
      </c>
      <c r="E71" s="33">
        <v>1</v>
      </c>
      <c r="F71" s="33">
        <v>1</v>
      </c>
      <c r="G71" s="33">
        <v>1</v>
      </c>
      <c r="H71" s="34">
        <v>29.99</v>
      </c>
      <c r="I71">
        <v>0</v>
      </c>
      <c r="J71" s="35">
        <v>0</v>
      </c>
      <c r="K71" s="35">
        <v>0</v>
      </c>
      <c r="L71" s="35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1</v>
      </c>
      <c r="AK71">
        <v>3</v>
      </c>
      <c r="AL71">
        <v>3</v>
      </c>
      <c r="AM71">
        <v>5</v>
      </c>
      <c r="AN71" s="23">
        <v>1</v>
      </c>
      <c r="AO71" s="23">
        <v>0.333333333333333</v>
      </c>
      <c r="AP71" s="23">
        <v>0.333333333333333</v>
      </c>
      <c r="AQ71" s="23">
        <v>0.2</v>
      </c>
      <c r="AR71" s="37">
        <v>0.142857142857143</v>
      </c>
      <c r="AS71" s="37">
        <v>8.57142857142857</v>
      </c>
      <c r="AT71" s="37">
        <v>-8.57142857142857</v>
      </c>
      <c r="AU71" s="33">
        <f t="shared" si="4"/>
        <v>0</v>
      </c>
      <c r="AV71" s="38">
        <f>IFERROR(时间!$B$4+AU71,"上周无销量")</f>
        <v>43290</v>
      </c>
    </row>
    <row r="72" spans="1:48">
      <c r="A72" s="21" t="s">
        <v>190</v>
      </c>
      <c r="B72" t="s">
        <v>191</v>
      </c>
      <c r="C72" t="s">
        <v>189</v>
      </c>
      <c r="D72" s="33">
        <v>0</v>
      </c>
      <c r="E72" s="33">
        <v>0</v>
      </c>
      <c r="F72" s="33">
        <v>1</v>
      </c>
      <c r="G72" s="33">
        <v>0</v>
      </c>
      <c r="H72" s="34">
        <v>29.99</v>
      </c>
      <c r="I72">
        <v>2</v>
      </c>
      <c r="J72" s="35">
        <v>0</v>
      </c>
      <c r="K72" s="35">
        <v>0</v>
      </c>
      <c r="L72" s="35">
        <v>0</v>
      </c>
      <c r="M72">
        <v>2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2</v>
      </c>
      <c r="AK72">
        <v>5</v>
      </c>
      <c r="AL72">
        <v>5</v>
      </c>
      <c r="AM72">
        <v>3</v>
      </c>
      <c r="AN72" s="23">
        <v>0</v>
      </c>
      <c r="AO72" s="23">
        <v>0</v>
      </c>
      <c r="AP72" s="23">
        <v>0.2</v>
      </c>
      <c r="AQ72" s="23">
        <v>0</v>
      </c>
      <c r="AR72" s="37">
        <v>0</v>
      </c>
      <c r="AS72" s="37">
        <v>0</v>
      </c>
      <c r="AT72" s="37">
        <v>2</v>
      </c>
      <c r="AU72" s="33" t="str">
        <f t="shared" si="4"/>
        <v>库存为2</v>
      </c>
      <c r="AV72" s="38" t="str">
        <f>IFERROR(时间!$B$4+AU72,"上周无销量")</f>
        <v>上周无销量</v>
      </c>
    </row>
    <row r="73" spans="1:48">
      <c r="A73" s="21" t="s">
        <v>192</v>
      </c>
      <c r="B73" t="s">
        <v>193</v>
      </c>
      <c r="C73" t="s">
        <v>189</v>
      </c>
      <c r="D73" s="33">
        <v>1</v>
      </c>
      <c r="E73" s="33">
        <v>1</v>
      </c>
      <c r="F73" s="33">
        <v>0</v>
      </c>
      <c r="G73" s="33">
        <v>0</v>
      </c>
      <c r="H73" s="34">
        <v>29.99</v>
      </c>
      <c r="I73">
        <v>1</v>
      </c>
      <c r="J73" s="35">
        <v>0</v>
      </c>
      <c r="K73" s="35">
        <v>0</v>
      </c>
      <c r="L73" s="35">
        <v>0</v>
      </c>
      <c r="M73">
        <v>1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4</v>
      </c>
      <c r="AK73">
        <v>1</v>
      </c>
      <c r="AL73">
        <v>1</v>
      </c>
      <c r="AM73">
        <v>2</v>
      </c>
      <c r="AN73" s="23">
        <v>0.25</v>
      </c>
      <c r="AO73" s="23">
        <v>1</v>
      </c>
      <c r="AP73" s="23">
        <v>0</v>
      </c>
      <c r="AQ73" s="23">
        <v>0</v>
      </c>
      <c r="AR73" s="37">
        <v>0.142857142857143</v>
      </c>
      <c r="AS73" s="37">
        <v>8.57142857142857</v>
      </c>
      <c r="AT73" s="37">
        <v>-7.57142857142857</v>
      </c>
      <c r="AU73" s="33">
        <f t="shared" si="4"/>
        <v>7</v>
      </c>
      <c r="AV73" s="38">
        <f>IFERROR(时间!$B$4+AU73,"上周无销量")</f>
        <v>43297</v>
      </c>
    </row>
    <row r="74" spans="1:48">
      <c r="A74" s="21" t="s">
        <v>194</v>
      </c>
      <c r="B74" t="s">
        <v>195</v>
      </c>
      <c r="C74" t="s">
        <v>189</v>
      </c>
      <c r="D74" s="33">
        <v>0</v>
      </c>
      <c r="E74" s="33">
        <v>0</v>
      </c>
      <c r="F74" s="33">
        <v>1</v>
      </c>
      <c r="G74" s="33">
        <v>2</v>
      </c>
      <c r="H74" s="34">
        <v>29.99</v>
      </c>
      <c r="I74">
        <v>0</v>
      </c>
      <c r="J74" s="35">
        <v>0</v>
      </c>
      <c r="K74" s="35">
        <v>0</v>
      </c>
      <c r="L74" s="35">
        <v>0</v>
      </c>
      <c r="M74">
        <v>0</v>
      </c>
      <c r="N74">
        <v>2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2</v>
      </c>
      <c r="AL74">
        <v>2</v>
      </c>
      <c r="AM74">
        <v>2</v>
      </c>
      <c r="AN74" s="23" t="s">
        <v>54</v>
      </c>
      <c r="AO74" s="23">
        <v>0</v>
      </c>
      <c r="AP74" s="23">
        <v>0.5</v>
      </c>
      <c r="AQ74" s="23">
        <v>1</v>
      </c>
      <c r="AR74" s="37">
        <v>0</v>
      </c>
      <c r="AS74" s="37">
        <v>0</v>
      </c>
      <c r="AT74" s="37">
        <v>0</v>
      </c>
      <c r="AU74" s="33" t="str">
        <f t="shared" si="4"/>
        <v>库存为0</v>
      </c>
      <c r="AV74" s="38" t="str">
        <f>IFERROR(时间!$B$4+AU74,"上周无销量")</f>
        <v>上周无销量</v>
      </c>
    </row>
    <row r="75" spans="1:48">
      <c r="A75" s="21" t="s">
        <v>196</v>
      </c>
      <c r="B75" t="s">
        <v>197</v>
      </c>
      <c r="C75" t="s">
        <v>198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2</v>
      </c>
      <c r="AK75">
        <v>0</v>
      </c>
      <c r="AL75">
        <v>0</v>
      </c>
      <c r="AM75">
        <v>1</v>
      </c>
      <c r="AN75" s="23">
        <v>0</v>
      </c>
      <c r="AO75" s="23" t="s">
        <v>54</v>
      </c>
      <c r="AP75" s="23" t="s">
        <v>54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198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4</v>
      </c>
      <c r="AK76">
        <v>1</v>
      </c>
      <c r="AL76">
        <v>1</v>
      </c>
      <c r="AM76">
        <v>1</v>
      </c>
      <c r="AN76" s="23">
        <v>0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198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1</v>
      </c>
      <c r="J77" s="35">
        <v>0</v>
      </c>
      <c r="K77" s="35">
        <v>0</v>
      </c>
      <c r="L77" s="35">
        <v>0</v>
      </c>
      <c r="M77">
        <v>1</v>
      </c>
      <c r="N77">
        <v>0</v>
      </c>
      <c r="O77">
        <v>1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2</v>
      </c>
      <c r="AK77">
        <v>1</v>
      </c>
      <c r="AL77">
        <v>1</v>
      </c>
      <c r="AM77">
        <v>1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1</v>
      </c>
      <c r="AU77" s="33" t="str">
        <f t="shared" si="4"/>
        <v>库存为1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198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1</v>
      </c>
      <c r="J78" s="35">
        <v>0</v>
      </c>
      <c r="K78" s="35">
        <v>0</v>
      </c>
      <c r="L78" s="35">
        <v>0</v>
      </c>
      <c r="M78">
        <v>1</v>
      </c>
      <c r="N78">
        <v>0</v>
      </c>
      <c r="O78">
        <v>1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3</v>
      </c>
      <c r="AK78">
        <v>0</v>
      </c>
      <c r="AL78">
        <v>0</v>
      </c>
      <c r="AM78">
        <v>1</v>
      </c>
      <c r="AN78" s="23">
        <v>0</v>
      </c>
      <c r="AO78" s="23" t="s">
        <v>54</v>
      </c>
      <c r="AP78" s="23" t="s">
        <v>54</v>
      </c>
      <c r="AQ78" s="23">
        <v>0</v>
      </c>
      <c r="AR78" s="37">
        <v>0</v>
      </c>
      <c r="AS78" s="37">
        <v>0</v>
      </c>
      <c r="AT78" s="37">
        <v>1</v>
      </c>
      <c r="AU78" s="33" t="str">
        <f t="shared" si="4"/>
        <v>库存为1</v>
      </c>
      <c r="AV78" s="38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198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1</v>
      </c>
      <c r="J79" s="35">
        <v>0</v>
      </c>
      <c r="K79" s="35">
        <v>0</v>
      </c>
      <c r="L79" s="35">
        <v>0</v>
      </c>
      <c r="M79">
        <v>1</v>
      </c>
      <c r="N79">
        <v>0</v>
      </c>
      <c r="O79">
        <v>1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3</v>
      </c>
      <c r="AK79">
        <v>0</v>
      </c>
      <c r="AL79">
        <v>0</v>
      </c>
      <c r="AM79">
        <v>0</v>
      </c>
      <c r="AN79" s="23">
        <v>0</v>
      </c>
      <c r="AO79" s="23" t="s">
        <v>54</v>
      </c>
      <c r="AP79" s="23" t="s">
        <v>54</v>
      </c>
      <c r="AQ79" s="23" t="s">
        <v>54</v>
      </c>
      <c r="AR79" s="37">
        <v>0</v>
      </c>
      <c r="AS79" s="37">
        <v>0</v>
      </c>
      <c r="AT79" s="37">
        <v>1</v>
      </c>
      <c r="AU79" s="33" t="str">
        <f t="shared" si="4"/>
        <v>库存为1</v>
      </c>
      <c r="AV79" s="38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198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3</v>
      </c>
      <c r="J80" s="35">
        <v>0</v>
      </c>
      <c r="K80" s="35">
        <v>0</v>
      </c>
      <c r="L80" s="35">
        <v>0</v>
      </c>
      <c r="M80">
        <v>3</v>
      </c>
      <c r="N80">
        <v>0</v>
      </c>
      <c r="O80">
        <v>2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2</v>
      </c>
      <c r="AK80">
        <v>0</v>
      </c>
      <c r="AL80">
        <v>0</v>
      </c>
      <c r="AM80">
        <v>1</v>
      </c>
      <c r="AN80" s="23">
        <v>0</v>
      </c>
      <c r="AO80" s="23" t="s">
        <v>54</v>
      </c>
      <c r="AP80" s="23" t="s">
        <v>54</v>
      </c>
      <c r="AQ80" s="23">
        <v>0</v>
      </c>
      <c r="AR80" s="37">
        <v>0</v>
      </c>
      <c r="AS80" s="37">
        <v>0</v>
      </c>
      <c r="AT80" s="37">
        <v>3</v>
      </c>
      <c r="AU80" s="33" t="str">
        <f t="shared" si="4"/>
        <v>库存为3</v>
      </c>
      <c r="AV80" s="38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211</v>
      </c>
      <c r="D81" s="33">
        <v>0</v>
      </c>
      <c r="E81" s="33">
        <v>0</v>
      </c>
      <c r="F81" s="33">
        <v>0</v>
      </c>
      <c r="G81" s="33">
        <v>0</v>
      </c>
      <c r="H81" s="34">
        <v>0</v>
      </c>
      <c r="I81">
        <v>8</v>
      </c>
      <c r="J81" s="35">
        <v>0</v>
      </c>
      <c r="K81" s="35">
        <v>0</v>
      </c>
      <c r="L81" s="35">
        <v>0</v>
      </c>
      <c r="M81">
        <v>8</v>
      </c>
      <c r="N81">
        <v>0</v>
      </c>
      <c r="O81">
        <v>8</v>
      </c>
      <c r="P81">
        <v>0</v>
      </c>
      <c r="Q81">
        <v>38</v>
      </c>
      <c r="R81">
        <v>0</v>
      </c>
      <c r="S81">
        <v>133</v>
      </c>
      <c r="T81">
        <v>0</v>
      </c>
      <c r="U81">
        <v>2</v>
      </c>
      <c r="V81">
        <v>0</v>
      </c>
      <c r="W81">
        <v>2</v>
      </c>
      <c r="X81" s="23" t="s">
        <v>54</v>
      </c>
      <c r="Y81" s="23">
        <v>0.0526315789473684</v>
      </c>
      <c r="Z81" s="23" t="s">
        <v>54</v>
      </c>
      <c r="AA81" s="23">
        <v>0.0150375939849624</v>
      </c>
      <c r="AB81">
        <v>0</v>
      </c>
      <c r="AC81">
        <v>0.25</v>
      </c>
      <c r="AD81">
        <v>0</v>
      </c>
      <c r="AE81">
        <v>0.27</v>
      </c>
      <c r="AF81" s="23" t="s">
        <v>54</v>
      </c>
      <c r="AG81" s="23">
        <v>0</v>
      </c>
      <c r="AH81" s="23" t="s">
        <v>54</v>
      </c>
      <c r="AI81" s="23">
        <v>0</v>
      </c>
      <c r="AJ81">
        <v>2</v>
      </c>
      <c r="AK81">
        <v>1</v>
      </c>
      <c r="AL81">
        <v>1</v>
      </c>
      <c r="AM81">
        <v>0</v>
      </c>
      <c r="AN81" s="23">
        <v>0</v>
      </c>
      <c r="AO81" s="23">
        <v>0</v>
      </c>
      <c r="AP81" s="23">
        <v>0</v>
      </c>
      <c r="AQ81" s="23" t="s">
        <v>54</v>
      </c>
      <c r="AR81" s="37">
        <v>0</v>
      </c>
      <c r="AS81" s="37">
        <v>0</v>
      </c>
      <c r="AT81" s="37">
        <v>8</v>
      </c>
      <c r="AU81" s="33" t="str">
        <f t="shared" si="4"/>
        <v>库存为8</v>
      </c>
      <c r="AV81" s="38" t="str">
        <f>IFERROR(时间!$B$4+AU81,"上周无销量")</f>
        <v>上周无销量</v>
      </c>
    </row>
    <row r="82" spans="1:48">
      <c r="A82" s="21" t="s">
        <v>212</v>
      </c>
      <c r="B82" t="s">
        <v>213</v>
      </c>
      <c r="C82" t="s">
        <v>211</v>
      </c>
      <c r="D82" s="33">
        <v>0</v>
      </c>
      <c r="E82" s="33">
        <v>0</v>
      </c>
      <c r="F82" s="33">
        <v>0</v>
      </c>
      <c r="G82" s="33">
        <v>1</v>
      </c>
      <c r="H82" s="34">
        <v>25.99</v>
      </c>
      <c r="I82">
        <v>2</v>
      </c>
      <c r="J82" s="35">
        <v>0</v>
      </c>
      <c r="K82" s="35">
        <v>0</v>
      </c>
      <c r="L82" s="35">
        <v>1</v>
      </c>
      <c r="M82">
        <v>3</v>
      </c>
      <c r="N82">
        <v>0</v>
      </c>
      <c r="O82">
        <v>4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5</v>
      </c>
      <c r="AK82">
        <v>3</v>
      </c>
      <c r="AL82">
        <v>3</v>
      </c>
      <c r="AM82">
        <v>2</v>
      </c>
      <c r="AN82" s="23">
        <v>0</v>
      </c>
      <c r="AO82" s="23">
        <v>0</v>
      </c>
      <c r="AP82" s="23">
        <v>0</v>
      </c>
      <c r="AQ82" s="23">
        <v>0.5</v>
      </c>
      <c r="AR82" s="37">
        <v>0</v>
      </c>
      <c r="AS82" s="37">
        <v>0</v>
      </c>
      <c r="AT82" s="37">
        <v>3</v>
      </c>
      <c r="AU82" s="33" t="str">
        <f t="shared" si="4"/>
        <v>库存为3</v>
      </c>
      <c r="AV82" s="38" t="str">
        <f>IFERROR(时间!$B$4+AU82,"上周无销量")</f>
        <v>上周无销量</v>
      </c>
    </row>
    <row r="83" spans="1:48">
      <c r="A83" s="21" t="s">
        <v>214</v>
      </c>
      <c r="B83" t="s">
        <v>215</v>
      </c>
      <c r="C83" t="s">
        <v>211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3</v>
      </c>
      <c r="J83" s="35">
        <v>0</v>
      </c>
      <c r="K83" s="35">
        <v>0</v>
      </c>
      <c r="L83" s="35">
        <v>0</v>
      </c>
      <c r="M83">
        <v>3</v>
      </c>
      <c r="N83">
        <v>0</v>
      </c>
      <c r="O83">
        <v>2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3</v>
      </c>
      <c r="AK83">
        <v>0</v>
      </c>
      <c r="AL83">
        <v>0</v>
      </c>
      <c r="AM83">
        <v>1</v>
      </c>
      <c r="AN83" s="23">
        <v>0</v>
      </c>
      <c r="AO83" s="23" t="s">
        <v>54</v>
      </c>
      <c r="AP83" s="23" t="s">
        <v>54</v>
      </c>
      <c r="AQ83" s="23">
        <v>0</v>
      </c>
      <c r="AR83" s="37">
        <v>0</v>
      </c>
      <c r="AS83" s="37">
        <v>0</v>
      </c>
      <c r="AT83" s="37">
        <v>3</v>
      </c>
      <c r="AU83" s="33" t="str">
        <f t="shared" si="4"/>
        <v>库存为3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211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5</v>
      </c>
      <c r="J84" s="35">
        <v>0</v>
      </c>
      <c r="K84" s="35">
        <v>0</v>
      </c>
      <c r="L84" s="35">
        <v>0</v>
      </c>
      <c r="M84">
        <v>5</v>
      </c>
      <c r="N84">
        <v>0</v>
      </c>
      <c r="O84">
        <v>5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3</v>
      </c>
      <c r="AK84">
        <v>0</v>
      </c>
      <c r="AL84">
        <v>0</v>
      </c>
      <c r="AM84">
        <v>0</v>
      </c>
      <c r="AN84" s="23">
        <v>0</v>
      </c>
      <c r="AO84" s="23" t="s">
        <v>54</v>
      </c>
      <c r="AP84" s="23" t="s">
        <v>54</v>
      </c>
      <c r="AQ84" s="23" t="s">
        <v>54</v>
      </c>
      <c r="AR84" s="37">
        <v>0</v>
      </c>
      <c r="AS84" s="37">
        <v>0</v>
      </c>
      <c r="AT84" s="37">
        <v>5</v>
      </c>
      <c r="AU84" s="33" t="str">
        <f t="shared" si="4"/>
        <v>库存为5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211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4</v>
      </c>
      <c r="J85" s="35">
        <v>0</v>
      </c>
      <c r="K85" s="35">
        <v>0</v>
      </c>
      <c r="L85" s="35">
        <v>0</v>
      </c>
      <c r="M85">
        <v>4</v>
      </c>
      <c r="N85">
        <v>0</v>
      </c>
      <c r="O85">
        <v>4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2</v>
      </c>
      <c r="AK85">
        <v>3</v>
      </c>
      <c r="AL85">
        <v>3</v>
      </c>
      <c r="AM85">
        <v>2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4</v>
      </c>
      <c r="AU85" s="33" t="str">
        <f t="shared" si="4"/>
        <v>库存为4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211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1</v>
      </c>
      <c r="J86" s="35">
        <v>0</v>
      </c>
      <c r="K86" s="35">
        <v>0</v>
      </c>
      <c r="L86" s="35">
        <v>0</v>
      </c>
      <c r="M86">
        <v>1</v>
      </c>
      <c r="N86">
        <v>0</v>
      </c>
      <c r="O86">
        <v>1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4</v>
      </c>
      <c r="AK86">
        <v>0</v>
      </c>
      <c r="AL86">
        <v>0</v>
      </c>
      <c r="AM86">
        <v>0</v>
      </c>
      <c r="AN86" s="23">
        <v>0</v>
      </c>
      <c r="AO86" s="23" t="s">
        <v>54</v>
      </c>
      <c r="AP86" s="23" t="s">
        <v>54</v>
      </c>
      <c r="AQ86" s="23" t="s">
        <v>54</v>
      </c>
      <c r="AR86" s="37">
        <v>0</v>
      </c>
      <c r="AS86" s="37">
        <v>0</v>
      </c>
      <c r="AT86" s="37">
        <v>1</v>
      </c>
      <c r="AU86" s="33" t="str">
        <f t="shared" si="4"/>
        <v>库存为1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211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</v>
      </c>
      <c r="J87" s="35">
        <v>0</v>
      </c>
      <c r="K87" s="35">
        <v>0</v>
      </c>
      <c r="L87" s="35">
        <v>0</v>
      </c>
      <c r="M87">
        <v>2</v>
      </c>
      <c r="N87">
        <v>0</v>
      </c>
      <c r="O87">
        <v>2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4</v>
      </c>
      <c r="AK87">
        <v>2</v>
      </c>
      <c r="AL87">
        <v>2</v>
      </c>
      <c r="AM87">
        <v>2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2</v>
      </c>
      <c r="AU87" s="33" t="str">
        <f t="shared" si="4"/>
        <v>库存为2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211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2</v>
      </c>
      <c r="J88" s="35">
        <v>0</v>
      </c>
      <c r="K88" s="35">
        <v>0</v>
      </c>
      <c r="L88" s="35">
        <v>0</v>
      </c>
      <c r="M88">
        <v>2</v>
      </c>
      <c r="N88">
        <v>0</v>
      </c>
      <c r="O88">
        <v>2</v>
      </c>
      <c r="P88">
        <v>398</v>
      </c>
      <c r="Q88">
        <v>462</v>
      </c>
      <c r="R88">
        <v>374</v>
      </c>
      <c r="S88">
        <v>550</v>
      </c>
      <c r="T88">
        <v>1</v>
      </c>
      <c r="U88">
        <v>0</v>
      </c>
      <c r="V88">
        <v>4</v>
      </c>
      <c r="W88">
        <v>3</v>
      </c>
      <c r="X88" s="23">
        <v>0.00251256281407035</v>
      </c>
      <c r="Y88" s="23">
        <v>0</v>
      </c>
      <c r="Z88" s="23">
        <v>0.0106951871657754</v>
      </c>
      <c r="AA88" s="23">
        <v>0.00545454545454545</v>
      </c>
      <c r="AB88">
        <v>0.04</v>
      </c>
      <c r="AC88">
        <v>0</v>
      </c>
      <c r="AD88">
        <v>0.61</v>
      </c>
      <c r="AE88">
        <v>0.41</v>
      </c>
      <c r="AF88" s="23">
        <v>0</v>
      </c>
      <c r="AG88" s="23" t="s">
        <v>54</v>
      </c>
      <c r="AH88" s="23">
        <v>0</v>
      </c>
      <c r="AI88" s="23">
        <v>0</v>
      </c>
      <c r="AJ88">
        <v>5</v>
      </c>
      <c r="AK88">
        <v>2</v>
      </c>
      <c r="AL88">
        <v>2</v>
      </c>
      <c r="AM88">
        <v>2</v>
      </c>
      <c r="AN88" s="23">
        <v>0</v>
      </c>
      <c r="AO88" s="23">
        <v>0</v>
      </c>
      <c r="AP88" s="23">
        <v>0</v>
      </c>
      <c r="AQ88" s="23">
        <v>0</v>
      </c>
      <c r="AR88" s="37">
        <v>0</v>
      </c>
      <c r="AS88" s="37">
        <v>0</v>
      </c>
      <c r="AT88" s="37">
        <v>2</v>
      </c>
      <c r="AU88" s="33" t="str">
        <f t="shared" si="4"/>
        <v>库存为2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211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2</v>
      </c>
      <c r="J89" s="35">
        <v>0</v>
      </c>
      <c r="K89" s="35">
        <v>0</v>
      </c>
      <c r="L89" s="35">
        <v>0</v>
      </c>
      <c r="M89">
        <v>2</v>
      </c>
      <c r="N89">
        <v>0</v>
      </c>
      <c r="O89">
        <v>1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2</v>
      </c>
      <c r="AK89">
        <v>3</v>
      </c>
      <c r="AL89">
        <v>3</v>
      </c>
      <c r="AM89">
        <v>0</v>
      </c>
      <c r="AN89" s="23">
        <v>0</v>
      </c>
      <c r="AO89" s="23">
        <v>0</v>
      </c>
      <c r="AP89" s="23">
        <v>0</v>
      </c>
      <c r="AQ89" s="23" t="s">
        <v>54</v>
      </c>
      <c r="AR89" s="37">
        <v>0</v>
      </c>
      <c r="AS89" s="37">
        <v>0</v>
      </c>
      <c r="AT89" s="37">
        <v>2</v>
      </c>
      <c r="AU89" s="33" t="str">
        <f t="shared" si="4"/>
        <v>库存为2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211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0</v>
      </c>
      <c r="J90" s="35">
        <v>0</v>
      </c>
      <c r="K90" s="35">
        <v>0</v>
      </c>
      <c r="L90" s="35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7">
        <v>0</v>
      </c>
      <c r="AS90" s="37">
        <v>0</v>
      </c>
      <c r="AT90" s="37">
        <v>0</v>
      </c>
      <c r="AU90" s="33" t="str">
        <f t="shared" si="4"/>
        <v>库存为0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211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1</v>
      </c>
      <c r="J91" s="35">
        <v>0</v>
      </c>
      <c r="K91" s="35">
        <v>0</v>
      </c>
      <c r="L91" s="35">
        <v>0</v>
      </c>
      <c r="M91">
        <v>1</v>
      </c>
      <c r="N91">
        <v>0</v>
      </c>
      <c r="O91">
        <v>1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4</v>
      </c>
      <c r="AK91">
        <v>1</v>
      </c>
      <c r="AL91">
        <v>1</v>
      </c>
      <c r="AM91">
        <v>2</v>
      </c>
      <c r="AN91" s="23">
        <v>0</v>
      </c>
      <c r="AO91" s="23">
        <v>0</v>
      </c>
      <c r="AP91" s="23">
        <v>0</v>
      </c>
      <c r="AQ91" s="23">
        <v>0</v>
      </c>
      <c r="AR91" s="37">
        <v>0</v>
      </c>
      <c r="AS91" s="37">
        <v>0</v>
      </c>
      <c r="AT91" s="37">
        <v>1</v>
      </c>
      <c r="AU91" s="33" t="str">
        <f t="shared" si="4"/>
        <v>库存为1</v>
      </c>
      <c r="AV91" s="38" t="str">
        <f>IFERROR(时间!$B$4+AU91,"上周无销量")</f>
        <v>上周无销量</v>
      </c>
    </row>
    <row r="92" spans="1:48">
      <c r="A92" s="21" t="s">
        <v>232</v>
      </c>
      <c r="B92" t="s">
        <v>233</v>
      </c>
      <c r="C92" t="s">
        <v>211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0</v>
      </c>
      <c r="J92" s="35">
        <v>0</v>
      </c>
      <c r="K92" s="35">
        <v>0</v>
      </c>
      <c r="L92" s="35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7">
        <v>0</v>
      </c>
      <c r="AS92" s="37">
        <v>0</v>
      </c>
      <c r="AT92" s="37">
        <v>0</v>
      </c>
      <c r="AU92" s="33" t="str">
        <f t="shared" si="4"/>
        <v>库存为0</v>
      </c>
      <c r="AV92" s="38" t="str">
        <f>IFERROR(时间!$B$4+AU92,"上周无销量")</f>
        <v>上周无销量</v>
      </c>
    </row>
    <row r="93" spans="1:48">
      <c r="A93" s="21" t="s">
        <v>234</v>
      </c>
      <c r="B93" t="s">
        <v>235</v>
      </c>
      <c r="C93" t="s">
        <v>211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4</v>
      </c>
      <c r="J93" s="35">
        <v>0</v>
      </c>
      <c r="K93" s="35">
        <v>0</v>
      </c>
      <c r="L93" s="35">
        <v>0</v>
      </c>
      <c r="M93">
        <v>4</v>
      </c>
      <c r="N93">
        <v>0</v>
      </c>
      <c r="O93">
        <v>4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4</v>
      </c>
      <c r="AK93">
        <v>1</v>
      </c>
      <c r="AL93">
        <v>1</v>
      </c>
      <c r="AM93">
        <v>1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4</v>
      </c>
      <c r="AU93" s="33" t="str">
        <f t="shared" si="4"/>
        <v>库存为4</v>
      </c>
      <c r="AV93" s="38" t="str">
        <f>IFERROR(时间!$B$4+AU93,"上周无销量")</f>
        <v>上周无销量</v>
      </c>
    </row>
    <row r="94" spans="1:48">
      <c r="A94" s="21" t="s">
        <v>236</v>
      </c>
      <c r="B94" t="s">
        <v>237</v>
      </c>
      <c r="C94" t="s">
        <v>211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2</v>
      </c>
      <c r="J94" s="35">
        <v>0</v>
      </c>
      <c r="K94" s="35">
        <v>0</v>
      </c>
      <c r="L94" s="35">
        <v>1</v>
      </c>
      <c r="M94">
        <v>3</v>
      </c>
      <c r="N94">
        <v>0</v>
      </c>
      <c r="O94">
        <v>4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3</v>
      </c>
      <c r="AK94">
        <v>0</v>
      </c>
      <c r="AL94">
        <v>0</v>
      </c>
      <c r="AM94">
        <v>1</v>
      </c>
      <c r="AN94" s="23">
        <v>0</v>
      </c>
      <c r="AO94" s="23" t="s">
        <v>54</v>
      </c>
      <c r="AP94" s="23" t="s">
        <v>54</v>
      </c>
      <c r="AQ94" s="23">
        <v>0</v>
      </c>
      <c r="AR94" s="37">
        <v>0</v>
      </c>
      <c r="AS94" s="37">
        <v>0</v>
      </c>
      <c r="AT94" s="37">
        <v>3</v>
      </c>
      <c r="AU94" s="33" t="str">
        <f t="shared" si="4"/>
        <v>库存为3</v>
      </c>
      <c r="AV94" s="38" t="str">
        <f>IFERROR(时间!$B$4+AU94,"上周无销量")</f>
        <v>上周无销量</v>
      </c>
    </row>
    <row r="95" spans="1:48">
      <c r="A95" s="21" t="s">
        <v>238</v>
      </c>
      <c r="B95" t="s">
        <v>239</v>
      </c>
      <c r="C95" t="s">
        <v>240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3</v>
      </c>
      <c r="J95" s="35">
        <v>0</v>
      </c>
      <c r="K95" s="35">
        <v>0</v>
      </c>
      <c r="L95" s="35">
        <v>0</v>
      </c>
      <c r="M95">
        <v>3</v>
      </c>
      <c r="N95">
        <v>0</v>
      </c>
      <c r="O95">
        <v>3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3</v>
      </c>
      <c r="AK95">
        <v>0</v>
      </c>
      <c r="AL95">
        <v>0</v>
      </c>
      <c r="AM95">
        <v>1</v>
      </c>
      <c r="AN95" s="23">
        <v>0</v>
      </c>
      <c r="AO95" s="23" t="s">
        <v>54</v>
      </c>
      <c r="AP95" s="23" t="s">
        <v>54</v>
      </c>
      <c r="AQ95" s="23">
        <v>0</v>
      </c>
      <c r="AR95" s="37">
        <v>0</v>
      </c>
      <c r="AS95" s="37">
        <v>0</v>
      </c>
      <c r="AT95" s="37">
        <v>3</v>
      </c>
      <c r="AU95" s="33" t="str">
        <f t="shared" si="4"/>
        <v>库存为3</v>
      </c>
      <c r="AV95" s="38" t="str">
        <f>IFERROR(时间!$B$4+AU95,"上周无销量")</f>
        <v>上周无销量</v>
      </c>
    </row>
    <row r="96" spans="1:48">
      <c r="A96" s="21" t="s">
        <v>241</v>
      </c>
      <c r="B96" t="s">
        <v>242</v>
      </c>
      <c r="C96" t="s">
        <v>240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2</v>
      </c>
      <c r="J96" s="35">
        <v>0</v>
      </c>
      <c r="K96" s="35">
        <v>0</v>
      </c>
      <c r="L96" s="35">
        <v>0</v>
      </c>
      <c r="M96">
        <v>2</v>
      </c>
      <c r="N96">
        <v>0</v>
      </c>
      <c r="O96">
        <v>2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5</v>
      </c>
      <c r="AK96">
        <v>0</v>
      </c>
      <c r="AL96">
        <v>0</v>
      </c>
      <c r="AM96">
        <v>2</v>
      </c>
      <c r="AN96" s="23">
        <v>0</v>
      </c>
      <c r="AO96" s="23" t="s">
        <v>54</v>
      </c>
      <c r="AP96" s="23" t="s">
        <v>54</v>
      </c>
      <c r="AQ96" s="23">
        <v>0</v>
      </c>
      <c r="AR96" s="37">
        <v>0</v>
      </c>
      <c r="AS96" s="37">
        <v>0</v>
      </c>
      <c r="AT96" s="37">
        <v>2</v>
      </c>
      <c r="AU96" s="33" t="str">
        <f t="shared" si="4"/>
        <v>库存为2</v>
      </c>
      <c r="AV96" s="38" t="str">
        <f>IFERROR(时间!$B$4+AU96,"上周无销量")</f>
        <v>上周无销量</v>
      </c>
    </row>
    <row r="97" spans="1:48">
      <c r="A97" s="21" t="s">
        <v>243</v>
      </c>
      <c r="B97" t="s">
        <v>244</v>
      </c>
      <c r="C97" t="s">
        <v>245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2</v>
      </c>
      <c r="J97" s="35">
        <v>0</v>
      </c>
      <c r="K97" s="35">
        <v>0</v>
      </c>
      <c r="L97" s="35">
        <v>0</v>
      </c>
      <c r="M97">
        <v>2</v>
      </c>
      <c r="N97">
        <v>0</v>
      </c>
      <c r="O97">
        <v>2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3</v>
      </c>
      <c r="AK97">
        <v>2</v>
      </c>
      <c r="AL97">
        <v>2</v>
      </c>
      <c r="AM97">
        <v>0</v>
      </c>
      <c r="AN97" s="23">
        <v>0</v>
      </c>
      <c r="AO97" s="23">
        <v>0</v>
      </c>
      <c r="AP97" s="23">
        <v>0</v>
      </c>
      <c r="AQ97" s="23" t="s">
        <v>54</v>
      </c>
      <c r="AR97" s="37">
        <v>0</v>
      </c>
      <c r="AS97" s="37">
        <v>0</v>
      </c>
      <c r="AT97" s="37">
        <v>2</v>
      </c>
      <c r="AU97" s="33" t="str">
        <f t="shared" si="4"/>
        <v>库存为2</v>
      </c>
      <c r="AV97" s="38" t="str">
        <f>IFERROR(时间!$B$4+AU97,"上周无销量")</f>
        <v>上周无销量</v>
      </c>
    </row>
    <row r="98" spans="1:48">
      <c r="A98" s="21" t="s">
        <v>246</v>
      </c>
      <c r="B98" t="s">
        <v>247</v>
      </c>
      <c r="C98" t="s">
        <v>245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1</v>
      </c>
      <c r="J98" s="35">
        <v>0</v>
      </c>
      <c r="K98" s="35">
        <v>0</v>
      </c>
      <c r="L98" s="35">
        <v>0</v>
      </c>
      <c r="M98">
        <v>1</v>
      </c>
      <c r="N98">
        <v>0</v>
      </c>
      <c r="O98">
        <v>1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2</v>
      </c>
      <c r="AK98">
        <v>0</v>
      </c>
      <c r="AL98">
        <v>0</v>
      </c>
      <c r="AM98">
        <v>0</v>
      </c>
      <c r="AN98" s="23">
        <v>0</v>
      </c>
      <c r="AO98" s="23" t="s">
        <v>54</v>
      </c>
      <c r="AP98" s="23" t="s">
        <v>54</v>
      </c>
      <c r="AQ98" s="23" t="s">
        <v>54</v>
      </c>
      <c r="AR98" s="37">
        <v>0</v>
      </c>
      <c r="AS98" s="37">
        <v>0</v>
      </c>
      <c r="AT98" s="37">
        <v>1</v>
      </c>
      <c r="AU98" s="33" t="str">
        <f t="shared" si="4"/>
        <v>库存为1</v>
      </c>
      <c r="AV98" s="38" t="str">
        <f>IFERROR(时间!$B$4+AU98,"上周无销量")</f>
        <v>上周无销量</v>
      </c>
    </row>
    <row r="99" spans="1:48">
      <c r="A99" s="21" t="s">
        <v>248</v>
      </c>
      <c r="B99" t="s">
        <v>249</v>
      </c>
      <c r="C99" t="s">
        <v>245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1</v>
      </c>
      <c r="J99" s="35">
        <v>0</v>
      </c>
      <c r="K99" s="35">
        <v>0</v>
      </c>
      <c r="L99" s="35">
        <v>0</v>
      </c>
      <c r="M99">
        <v>1</v>
      </c>
      <c r="N99">
        <v>0</v>
      </c>
      <c r="O99">
        <v>1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2</v>
      </c>
      <c r="AK99">
        <v>2</v>
      </c>
      <c r="AL99">
        <v>2</v>
      </c>
      <c r="AM99">
        <v>1</v>
      </c>
      <c r="AN99" s="23">
        <v>0</v>
      </c>
      <c r="AO99" s="23">
        <v>0</v>
      </c>
      <c r="AP99" s="23">
        <v>0</v>
      </c>
      <c r="AQ99" s="23">
        <v>0</v>
      </c>
      <c r="AR99" s="37">
        <v>0</v>
      </c>
      <c r="AS99" s="37">
        <v>0</v>
      </c>
      <c r="AT99" s="37">
        <v>1</v>
      </c>
      <c r="AU99" s="33" t="str">
        <f t="shared" si="4"/>
        <v>库存为1</v>
      </c>
      <c r="AV99" s="38" t="str">
        <f>IFERROR(时间!$B$4+AU99,"上周无销量")</f>
        <v>上周无销量</v>
      </c>
    </row>
    <row r="100" spans="1:48">
      <c r="A100" s="21" t="s">
        <v>250</v>
      </c>
      <c r="B100" t="s">
        <v>251</v>
      </c>
      <c r="C100" t="s">
        <v>245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5</v>
      </c>
      <c r="J100" s="35">
        <v>0</v>
      </c>
      <c r="K100" s="35">
        <v>0</v>
      </c>
      <c r="L100" s="35">
        <v>0</v>
      </c>
      <c r="M100">
        <v>5</v>
      </c>
      <c r="N100">
        <v>0</v>
      </c>
      <c r="O100">
        <v>5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4</v>
      </c>
      <c r="AK100">
        <v>1</v>
      </c>
      <c r="AL100">
        <v>1</v>
      </c>
      <c r="AM100">
        <v>3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5</v>
      </c>
      <c r="AU100" s="33" t="str">
        <f t="shared" si="4"/>
        <v>库存为5</v>
      </c>
      <c r="AV100" s="38" t="str">
        <f>IFERROR(时间!$B$4+AU100,"上周无销量")</f>
        <v>上周无销量</v>
      </c>
    </row>
    <row r="101" spans="1:48">
      <c r="A101" s="21" t="s">
        <v>252</v>
      </c>
      <c r="B101" t="s">
        <v>253</v>
      </c>
      <c r="C101" t="s">
        <v>254</v>
      </c>
      <c r="D101" s="33">
        <v>0</v>
      </c>
      <c r="E101" s="33">
        <v>0</v>
      </c>
      <c r="F101" s="33">
        <v>1</v>
      </c>
      <c r="G101" s="33">
        <v>0</v>
      </c>
      <c r="H101" s="34">
        <v>18.96</v>
      </c>
      <c r="I101">
        <v>1</v>
      </c>
      <c r="J101" s="35">
        <v>0</v>
      </c>
      <c r="K101" s="35">
        <v>0</v>
      </c>
      <c r="L101" s="35">
        <v>0</v>
      </c>
      <c r="M101">
        <v>1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1</v>
      </c>
      <c r="AK101">
        <v>1</v>
      </c>
      <c r="AL101">
        <v>1</v>
      </c>
      <c r="AM101">
        <v>1</v>
      </c>
      <c r="AN101" s="23">
        <v>0</v>
      </c>
      <c r="AO101" s="23">
        <v>0</v>
      </c>
      <c r="AP101" s="23">
        <v>1</v>
      </c>
      <c r="AQ101" s="23">
        <v>0</v>
      </c>
      <c r="AR101" s="37">
        <v>0</v>
      </c>
      <c r="AS101" s="37">
        <v>0</v>
      </c>
      <c r="AT101" s="37">
        <v>1</v>
      </c>
      <c r="AU101" s="33" t="str">
        <f t="shared" si="4"/>
        <v>库存为1</v>
      </c>
      <c r="AV101" s="38" t="str">
        <f>IFERROR(时间!$B$4+AU101,"上周无销量")</f>
        <v>上周无销量</v>
      </c>
    </row>
    <row r="102" spans="1:48">
      <c r="A102" s="21" t="s">
        <v>255</v>
      </c>
      <c r="B102" t="s">
        <v>256</v>
      </c>
      <c r="C102" t="s">
        <v>245</v>
      </c>
      <c r="D102" s="33">
        <v>1</v>
      </c>
      <c r="E102" s="33">
        <v>0</v>
      </c>
      <c r="F102" s="33">
        <v>0</v>
      </c>
      <c r="G102" s="33">
        <v>0</v>
      </c>
      <c r="H102" s="34">
        <v>18.96</v>
      </c>
      <c r="I102">
        <v>0</v>
      </c>
      <c r="J102" s="35">
        <v>0</v>
      </c>
      <c r="K102" s="35">
        <v>0</v>
      </c>
      <c r="L102" s="35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7">
        <v>0.142857142857143</v>
      </c>
      <c r="AS102" s="37">
        <v>8.57142857142857</v>
      </c>
      <c r="AT102" s="37">
        <v>-8.57142857142857</v>
      </c>
      <c r="AU102" s="33">
        <f t="shared" si="4"/>
        <v>0</v>
      </c>
      <c r="AV102" s="38">
        <f>IFERROR(时间!$B$4+AU102,"上周无销量")</f>
        <v>43290</v>
      </c>
    </row>
    <row r="103" spans="1:48">
      <c r="A103" s="21" t="s">
        <v>257</v>
      </c>
      <c r="B103" t="s">
        <v>258</v>
      </c>
      <c r="C103" t="s">
        <v>245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2</v>
      </c>
      <c r="AK103">
        <v>1</v>
      </c>
      <c r="AL103">
        <v>1</v>
      </c>
      <c r="AM103">
        <v>1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1</v>
      </c>
      <c r="AU103" s="33" t="str">
        <f t="shared" si="4"/>
        <v>库存为1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245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1</v>
      </c>
      <c r="J104" s="35">
        <v>0</v>
      </c>
      <c r="K104" s="35">
        <v>0</v>
      </c>
      <c r="L104" s="35">
        <v>0</v>
      </c>
      <c r="M104">
        <v>1</v>
      </c>
      <c r="N104">
        <v>0</v>
      </c>
      <c r="O104">
        <v>1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3</v>
      </c>
      <c r="AK104">
        <v>1</v>
      </c>
      <c r="AL104">
        <v>1</v>
      </c>
      <c r="AM104">
        <v>0</v>
      </c>
      <c r="AN104" s="23">
        <v>0</v>
      </c>
      <c r="AO104" s="23">
        <v>0</v>
      </c>
      <c r="AP104" s="23">
        <v>0</v>
      </c>
      <c r="AQ104" s="23" t="s">
        <v>54</v>
      </c>
      <c r="AR104" s="37">
        <v>0</v>
      </c>
      <c r="AS104" s="37">
        <v>0</v>
      </c>
      <c r="AT104" s="37">
        <v>1</v>
      </c>
      <c r="AU104" s="33" t="str">
        <f t="shared" si="4"/>
        <v>库存为1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245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3</v>
      </c>
      <c r="AK105">
        <v>0</v>
      </c>
      <c r="AL105">
        <v>0</v>
      </c>
      <c r="AM105">
        <v>0</v>
      </c>
      <c r="AN105" s="23">
        <v>0</v>
      </c>
      <c r="AO105" s="23" t="s">
        <v>54</v>
      </c>
      <c r="AP105" s="23" t="s">
        <v>54</v>
      </c>
      <c r="AQ105" s="23" t="s">
        <v>54</v>
      </c>
      <c r="AR105" s="37">
        <v>0</v>
      </c>
      <c r="AS105" s="37">
        <v>0</v>
      </c>
      <c r="AT105" s="37">
        <v>1</v>
      </c>
      <c r="AU105" s="33" t="str">
        <f t="shared" si="4"/>
        <v>库存为1</v>
      </c>
      <c r="AV105" s="38" t="str">
        <f>IFERROR(时间!$B$4+AU105,"上周无销量")</f>
        <v>上周无销量</v>
      </c>
    </row>
    <row r="106" spans="1:48">
      <c r="A106" s="21" t="s">
        <v>263</v>
      </c>
      <c r="B106" t="s">
        <v>264</v>
      </c>
      <c r="C106" t="s">
        <v>245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3</v>
      </c>
      <c r="J106" s="35">
        <v>0</v>
      </c>
      <c r="K106" s="35">
        <v>0</v>
      </c>
      <c r="L106" s="35">
        <v>0</v>
      </c>
      <c r="M106">
        <v>3</v>
      </c>
      <c r="N106">
        <v>0</v>
      </c>
      <c r="O106">
        <v>2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2</v>
      </c>
      <c r="AK106">
        <v>0</v>
      </c>
      <c r="AL106">
        <v>0</v>
      </c>
      <c r="AM106">
        <v>3</v>
      </c>
      <c r="AN106" s="23">
        <v>0</v>
      </c>
      <c r="AO106" s="23" t="s">
        <v>54</v>
      </c>
      <c r="AP106" s="23" t="s">
        <v>54</v>
      </c>
      <c r="AQ106" s="23">
        <v>0</v>
      </c>
      <c r="AR106" s="37">
        <v>0</v>
      </c>
      <c r="AS106" s="37">
        <v>0</v>
      </c>
      <c r="AT106" s="37">
        <v>3</v>
      </c>
      <c r="AU106" s="33" t="str">
        <f t="shared" si="4"/>
        <v>库存为3</v>
      </c>
      <c r="AV106" s="38" t="str">
        <f>IFERROR(时间!$B$4+AU106,"上周无销量")</f>
        <v>上周无销量</v>
      </c>
    </row>
    <row r="107" spans="1:48">
      <c r="A107" s="21" t="s">
        <v>265</v>
      </c>
      <c r="B107" t="s">
        <v>266</v>
      </c>
      <c r="C107" t="s">
        <v>245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1</v>
      </c>
      <c r="J107" s="35">
        <v>0</v>
      </c>
      <c r="K107" s="35">
        <v>0</v>
      </c>
      <c r="L107" s="35">
        <v>0</v>
      </c>
      <c r="M107">
        <v>1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1</v>
      </c>
      <c r="AK107">
        <v>1</v>
      </c>
      <c r="AL107">
        <v>1</v>
      </c>
      <c r="AM107">
        <v>0</v>
      </c>
      <c r="AN107" s="23">
        <v>0</v>
      </c>
      <c r="AO107" s="23">
        <v>0</v>
      </c>
      <c r="AP107" s="23">
        <v>0</v>
      </c>
      <c r="AQ107" s="23" t="s">
        <v>54</v>
      </c>
      <c r="AR107" s="37">
        <v>0</v>
      </c>
      <c r="AS107" s="37">
        <v>0</v>
      </c>
      <c r="AT107" s="37">
        <v>1</v>
      </c>
      <c r="AU107" s="33" t="str">
        <f t="shared" si="4"/>
        <v>库存为1</v>
      </c>
      <c r="AV107" s="38" t="str">
        <f>IFERROR(时间!$B$4+AU107,"上周无销量")</f>
        <v>上周无销量</v>
      </c>
    </row>
    <row r="108" spans="1:48">
      <c r="A108" s="21" t="s">
        <v>267</v>
      </c>
      <c r="B108" t="s">
        <v>268</v>
      </c>
      <c r="C108" t="s">
        <v>245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2</v>
      </c>
      <c r="J108" s="35">
        <v>0</v>
      </c>
      <c r="K108" s="35">
        <v>0</v>
      </c>
      <c r="L108" s="35">
        <v>0</v>
      </c>
      <c r="M108">
        <v>2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2</v>
      </c>
      <c r="AK108">
        <v>4</v>
      </c>
      <c r="AL108">
        <v>4</v>
      </c>
      <c r="AM108">
        <v>1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2</v>
      </c>
      <c r="AU108" s="33" t="str">
        <f t="shared" si="4"/>
        <v>库存为2</v>
      </c>
      <c r="AV108" s="38" t="str">
        <f>IFERROR(时间!$B$4+AU108,"上周无销量")</f>
        <v>上周无销量</v>
      </c>
    </row>
    <row r="109" spans="1:48">
      <c r="A109" s="21" t="s">
        <v>269</v>
      </c>
      <c r="B109" t="s">
        <v>270</v>
      </c>
      <c r="C109" t="s">
        <v>245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2</v>
      </c>
      <c r="J109" s="35">
        <v>0</v>
      </c>
      <c r="K109" s="35">
        <v>0</v>
      </c>
      <c r="L109" s="35">
        <v>0</v>
      </c>
      <c r="M109">
        <v>2</v>
      </c>
      <c r="N109">
        <v>0</v>
      </c>
      <c r="O109">
        <v>2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3</v>
      </c>
      <c r="AK109">
        <v>0</v>
      </c>
      <c r="AL109">
        <v>0</v>
      </c>
      <c r="AM109">
        <v>1</v>
      </c>
      <c r="AN109" s="23">
        <v>0</v>
      </c>
      <c r="AO109" s="23" t="s">
        <v>54</v>
      </c>
      <c r="AP109" s="23" t="s">
        <v>54</v>
      </c>
      <c r="AQ109" s="23">
        <v>0</v>
      </c>
      <c r="AR109" s="37">
        <v>0</v>
      </c>
      <c r="AS109" s="37">
        <v>0</v>
      </c>
      <c r="AT109" s="37">
        <v>2</v>
      </c>
      <c r="AU109" s="33" t="str">
        <f t="shared" si="4"/>
        <v>库存为2</v>
      </c>
      <c r="AV109" s="38" t="str">
        <f>IFERROR(时间!$B$4+AU109,"上周无销量")</f>
        <v>上周无销量</v>
      </c>
    </row>
    <row r="110" spans="1:48">
      <c r="A110" s="21" t="s">
        <v>271</v>
      </c>
      <c r="B110" t="s">
        <v>272</v>
      </c>
      <c r="C110" t="s">
        <v>273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1</v>
      </c>
      <c r="J110" s="35">
        <v>0</v>
      </c>
      <c r="K110" s="35">
        <v>0</v>
      </c>
      <c r="L110" s="35">
        <v>0</v>
      </c>
      <c r="M110">
        <v>1</v>
      </c>
      <c r="N110">
        <v>0</v>
      </c>
      <c r="O110">
        <v>1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1</v>
      </c>
      <c r="AK110">
        <v>0</v>
      </c>
      <c r="AL110">
        <v>0</v>
      </c>
      <c r="AM110">
        <v>0</v>
      </c>
      <c r="AN110" s="23">
        <v>0</v>
      </c>
      <c r="AO110" s="23" t="s">
        <v>54</v>
      </c>
      <c r="AP110" s="23" t="s">
        <v>54</v>
      </c>
      <c r="AQ110" s="23" t="s">
        <v>54</v>
      </c>
      <c r="AR110" s="37">
        <v>0</v>
      </c>
      <c r="AS110" s="37">
        <v>0</v>
      </c>
      <c r="AT110" s="37">
        <v>1</v>
      </c>
      <c r="AU110" s="33" t="str">
        <f t="shared" si="4"/>
        <v>库存为1</v>
      </c>
      <c r="AV110" s="38" t="str">
        <f>IFERROR(时间!$B$4+AU110,"上周无销量")</f>
        <v>上周无销量</v>
      </c>
    </row>
    <row r="111" spans="1:48">
      <c r="A111" s="21" t="s">
        <v>274</v>
      </c>
      <c r="B111" t="s">
        <v>275</v>
      </c>
      <c r="C111" t="s">
        <v>276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0</v>
      </c>
      <c r="J111" s="35">
        <v>0</v>
      </c>
      <c r="K111" s="35">
        <v>0</v>
      </c>
      <c r="L111" s="35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7">
        <v>0</v>
      </c>
      <c r="AS111" s="37">
        <v>0</v>
      </c>
      <c r="AT111" s="37">
        <v>0</v>
      </c>
      <c r="AU111" s="33" t="str">
        <f t="shared" si="4"/>
        <v>库存为0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276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2</v>
      </c>
      <c r="J112" s="35">
        <v>0</v>
      </c>
      <c r="K112" s="35">
        <v>0</v>
      </c>
      <c r="L112" s="35">
        <v>0</v>
      </c>
      <c r="M112">
        <v>2</v>
      </c>
      <c r="N112">
        <v>0</v>
      </c>
      <c r="O112">
        <v>2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4</v>
      </c>
      <c r="AK112">
        <v>0</v>
      </c>
      <c r="AL112">
        <v>0</v>
      </c>
      <c r="AM112">
        <v>0</v>
      </c>
      <c r="AN112" s="23">
        <v>0</v>
      </c>
      <c r="AO112" s="23" t="s">
        <v>54</v>
      </c>
      <c r="AP112" s="23" t="s">
        <v>54</v>
      </c>
      <c r="AQ112" s="23" t="s">
        <v>54</v>
      </c>
      <c r="AR112" s="37">
        <v>0</v>
      </c>
      <c r="AS112" s="37">
        <v>0</v>
      </c>
      <c r="AT112" s="37">
        <v>2</v>
      </c>
      <c r="AU112" s="33" t="str">
        <f t="shared" si="4"/>
        <v>库存为2</v>
      </c>
      <c r="AV112" s="38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276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10</v>
      </c>
      <c r="J113" s="35">
        <v>0</v>
      </c>
      <c r="K113" s="35">
        <v>0</v>
      </c>
      <c r="L113" s="35">
        <v>0</v>
      </c>
      <c r="M113">
        <v>10</v>
      </c>
      <c r="N113">
        <v>0</v>
      </c>
      <c r="O113">
        <v>10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1</v>
      </c>
      <c r="AK113">
        <v>0</v>
      </c>
      <c r="AL113">
        <v>0</v>
      </c>
      <c r="AM113">
        <v>1</v>
      </c>
      <c r="AN113" s="23">
        <v>0</v>
      </c>
      <c r="AO113" s="23" t="s">
        <v>54</v>
      </c>
      <c r="AP113" s="23" t="s">
        <v>54</v>
      </c>
      <c r="AQ113" s="23">
        <v>0</v>
      </c>
      <c r="AR113" s="37">
        <v>0</v>
      </c>
      <c r="AS113" s="37">
        <v>0</v>
      </c>
      <c r="AT113" s="37">
        <v>10</v>
      </c>
      <c r="AU113" s="33" t="str">
        <f t="shared" si="4"/>
        <v>库存为10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276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2</v>
      </c>
      <c r="J114" s="35">
        <v>0</v>
      </c>
      <c r="K114" s="35">
        <v>0</v>
      </c>
      <c r="L114" s="35">
        <v>0</v>
      </c>
      <c r="M114">
        <v>2</v>
      </c>
      <c r="N114">
        <v>0</v>
      </c>
      <c r="O114">
        <v>2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3</v>
      </c>
      <c r="AK114">
        <v>2</v>
      </c>
      <c r="AL114">
        <v>2</v>
      </c>
      <c r="AM114">
        <v>1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2</v>
      </c>
      <c r="AU114" s="33" t="str">
        <f t="shared" si="4"/>
        <v>库存为2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276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2</v>
      </c>
      <c r="J115" s="35">
        <v>0</v>
      </c>
      <c r="K115" s="35">
        <v>0</v>
      </c>
      <c r="L115" s="35">
        <v>0</v>
      </c>
      <c r="M115">
        <v>2</v>
      </c>
      <c r="N115">
        <v>0</v>
      </c>
      <c r="O115">
        <v>2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2</v>
      </c>
      <c r="AK115">
        <v>0</v>
      </c>
      <c r="AL115">
        <v>0</v>
      </c>
      <c r="AM115">
        <v>2</v>
      </c>
      <c r="AN115" s="23">
        <v>0</v>
      </c>
      <c r="AO115" s="23" t="s">
        <v>54</v>
      </c>
      <c r="AP115" s="23" t="s">
        <v>54</v>
      </c>
      <c r="AQ115" s="23">
        <v>0</v>
      </c>
      <c r="AR115" s="37">
        <v>0</v>
      </c>
      <c r="AS115" s="37">
        <v>0</v>
      </c>
      <c r="AT115" s="37">
        <v>2</v>
      </c>
      <c r="AU115" s="33" t="str">
        <f t="shared" si="4"/>
        <v>库存为2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276</v>
      </c>
      <c r="D116" s="33">
        <v>0</v>
      </c>
      <c r="E116" s="33">
        <v>1</v>
      </c>
      <c r="F116" s="33">
        <v>0</v>
      </c>
      <c r="G116" s="33">
        <v>0</v>
      </c>
      <c r="H116" s="34">
        <v>17.99</v>
      </c>
      <c r="I116">
        <v>2</v>
      </c>
      <c r="J116" s="35">
        <v>0</v>
      </c>
      <c r="K116" s="35">
        <v>0</v>
      </c>
      <c r="L116" s="35">
        <v>0</v>
      </c>
      <c r="M116">
        <v>2</v>
      </c>
      <c r="N116">
        <v>0</v>
      </c>
      <c r="O116">
        <v>2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3</v>
      </c>
      <c r="AK116">
        <v>2</v>
      </c>
      <c r="AL116">
        <v>2</v>
      </c>
      <c r="AM116">
        <v>1</v>
      </c>
      <c r="AN116" s="23">
        <v>0</v>
      </c>
      <c r="AO116" s="23">
        <v>0.5</v>
      </c>
      <c r="AP116" s="23">
        <v>0</v>
      </c>
      <c r="AQ116" s="23">
        <v>0</v>
      </c>
      <c r="AR116" s="37">
        <v>0</v>
      </c>
      <c r="AS116" s="37">
        <v>0</v>
      </c>
      <c r="AT116" s="37">
        <v>2</v>
      </c>
      <c r="AU116" s="33" t="str">
        <f t="shared" si="4"/>
        <v>库存为2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276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3</v>
      </c>
      <c r="J117" s="35">
        <v>0</v>
      </c>
      <c r="K117" s="35">
        <v>0</v>
      </c>
      <c r="L117" s="35">
        <v>0</v>
      </c>
      <c r="M117">
        <v>3</v>
      </c>
      <c r="N117">
        <v>0</v>
      </c>
      <c r="O117">
        <v>3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3</v>
      </c>
      <c r="AK117">
        <v>1</v>
      </c>
      <c r="AL117">
        <v>1</v>
      </c>
      <c r="AM117">
        <v>1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3</v>
      </c>
      <c r="AU117" s="33" t="str">
        <f t="shared" si="4"/>
        <v>库存为3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276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6</v>
      </c>
      <c r="J118" s="35">
        <v>0</v>
      </c>
      <c r="K118" s="35">
        <v>0</v>
      </c>
      <c r="L118" s="35">
        <v>0</v>
      </c>
      <c r="M118">
        <v>6</v>
      </c>
      <c r="N118">
        <v>0</v>
      </c>
      <c r="O118">
        <v>6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3</v>
      </c>
      <c r="AK118">
        <v>1</v>
      </c>
      <c r="AL118">
        <v>1</v>
      </c>
      <c r="AM118">
        <v>0</v>
      </c>
      <c r="AN118" s="23">
        <v>0</v>
      </c>
      <c r="AO118" s="23">
        <v>0</v>
      </c>
      <c r="AP118" s="23">
        <v>0</v>
      </c>
      <c r="AQ118" s="23" t="s">
        <v>54</v>
      </c>
      <c r="AR118" s="37">
        <v>0</v>
      </c>
      <c r="AS118" s="37">
        <v>0</v>
      </c>
      <c r="AT118" s="37">
        <v>6</v>
      </c>
      <c r="AU118" s="33" t="str">
        <f t="shared" si="4"/>
        <v>库存为6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276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4</v>
      </c>
      <c r="J119" s="35">
        <v>0</v>
      </c>
      <c r="K119" s="35">
        <v>0</v>
      </c>
      <c r="L119" s="35">
        <v>0</v>
      </c>
      <c r="M119">
        <v>4</v>
      </c>
      <c r="N119">
        <v>0</v>
      </c>
      <c r="O119">
        <v>4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1</v>
      </c>
      <c r="AK119">
        <v>1</v>
      </c>
      <c r="AL119">
        <v>1</v>
      </c>
      <c r="AM119">
        <v>0</v>
      </c>
      <c r="AN119" s="23">
        <v>0</v>
      </c>
      <c r="AO119" s="23">
        <v>0</v>
      </c>
      <c r="AP119" s="23">
        <v>0</v>
      </c>
      <c r="AQ119" s="23" t="s">
        <v>54</v>
      </c>
      <c r="AR119" s="37">
        <v>0</v>
      </c>
      <c r="AS119" s="37">
        <v>0</v>
      </c>
      <c r="AT119" s="37">
        <v>4</v>
      </c>
      <c r="AU119" s="33" t="str">
        <f t="shared" si="4"/>
        <v>库存为4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276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5</v>
      </c>
      <c r="J120" s="35">
        <v>0</v>
      </c>
      <c r="K120" s="35">
        <v>0</v>
      </c>
      <c r="L120" s="35">
        <v>0</v>
      </c>
      <c r="M120">
        <v>5</v>
      </c>
      <c r="N120">
        <v>0</v>
      </c>
      <c r="O120">
        <v>5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2</v>
      </c>
      <c r="AK120">
        <v>1</v>
      </c>
      <c r="AL120">
        <v>1</v>
      </c>
      <c r="AM120">
        <v>1</v>
      </c>
      <c r="AN120" s="23">
        <v>0</v>
      </c>
      <c r="AO120" s="23">
        <v>0</v>
      </c>
      <c r="AP120" s="23">
        <v>0</v>
      </c>
      <c r="AQ120" s="23">
        <v>0</v>
      </c>
      <c r="AR120" s="37">
        <v>0</v>
      </c>
      <c r="AS120" s="37">
        <v>0</v>
      </c>
      <c r="AT120" s="37">
        <v>5</v>
      </c>
      <c r="AU120" s="33" t="str">
        <f t="shared" si="4"/>
        <v>库存为5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276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4</v>
      </c>
      <c r="J121" s="35">
        <v>0</v>
      </c>
      <c r="K121" s="35">
        <v>0</v>
      </c>
      <c r="L121" s="35">
        <v>0</v>
      </c>
      <c r="M121">
        <v>4</v>
      </c>
      <c r="N121">
        <v>0</v>
      </c>
      <c r="O121">
        <v>4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3</v>
      </c>
      <c r="AK121">
        <v>0</v>
      </c>
      <c r="AL121">
        <v>0</v>
      </c>
      <c r="AM121">
        <v>1</v>
      </c>
      <c r="AN121" s="23">
        <v>0</v>
      </c>
      <c r="AO121" s="23" t="s">
        <v>54</v>
      </c>
      <c r="AP121" s="23" t="s">
        <v>54</v>
      </c>
      <c r="AQ121" s="23">
        <v>0</v>
      </c>
      <c r="AR121" s="37">
        <v>0</v>
      </c>
      <c r="AS121" s="37">
        <v>0</v>
      </c>
      <c r="AT121" s="37">
        <v>4</v>
      </c>
      <c r="AU121" s="33" t="str">
        <f t="shared" si="4"/>
        <v>库存为4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276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6</v>
      </c>
      <c r="J122" s="35">
        <v>0</v>
      </c>
      <c r="K122" s="35">
        <v>0</v>
      </c>
      <c r="L122" s="35">
        <v>0</v>
      </c>
      <c r="M122">
        <v>6</v>
      </c>
      <c r="N122">
        <v>0</v>
      </c>
      <c r="O122">
        <v>6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1</v>
      </c>
      <c r="AK122">
        <v>2</v>
      </c>
      <c r="AL122">
        <v>2</v>
      </c>
      <c r="AM122">
        <v>1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6</v>
      </c>
      <c r="AU122" s="33" t="str">
        <f t="shared" si="4"/>
        <v>库存为6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276</v>
      </c>
      <c r="D123" s="33">
        <v>0</v>
      </c>
      <c r="E123" s="33">
        <v>1</v>
      </c>
      <c r="F123" s="33">
        <v>0</v>
      </c>
      <c r="G123" s="33">
        <v>0</v>
      </c>
      <c r="H123" s="34">
        <v>11.99</v>
      </c>
      <c r="I123">
        <v>4</v>
      </c>
      <c r="J123" s="35">
        <v>0</v>
      </c>
      <c r="K123" s="35">
        <v>0</v>
      </c>
      <c r="L123" s="35">
        <v>0</v>
      </c>
      <c r="M123">
        <v>4</v>
      </c>
      <c r="N123">
        <v>1</v>
      </c>
      <c r="O123">
        <v>3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2</v>
      </c>
      <c r="AK123">
        <v>1</v>
      </c>
      <c r="AL123">
        <v>1</v>
      </c>
      <c r="AM123">
        <v>0</v>
      </c>
      <c r="AN123" s="23">
        <v>0</v>
      </c>
      <c r="AO123" s="23">
        <v>1</v>
      </c>
      <c r="AP123" s="23">
        <v>0</v>
      </c>
      <c r="AQ123" s="23" t="s">
        <v>54</v>
      </c>
      <c r="AR123" s="37">
        <v>0</v>
      </c>
      <c r="AS123" s="37">
        <v>0</v>
      </c>
      <c r="AT123" s="37">
        <v>4</v>
      </c>
      <c r="AU123" s="33" t="str">
        <f t="shared" si="4"/>
        <v>库存为4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276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6</v>
      </c>
      <c r="J124" s="35">
        <v>0</v>
      </c>
      <c r="K124" s="35">
        <v>0</v>
      </c>
      <c r="L124" s="35">
        <v>0</v>
      </c>
      <c r="M124">
        <v>6</v>
      </c>
      <c r="N124">
        <v>0</v>
      </c>
      <c r="O124">
        <v>6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1</v>
      </c>
      <c r="AK124">
        <v>0</v>
      </c>
      <c r="AL124">
        <v>0</v>
      </c>
      <c r="AM124">
        <v>0</v>
      </c>
      <c r="AN124" s="23">
        <v>0</v>
      </c>
      <c r="AO124" s="23" t="s">
        <v>54</v>
      </c>
      <c r="AP124" s="23" t="s">
        <v>54</v>
      </c>
      <c r="AQ124" s="23" t="s">
        <v>54</v>
      </c>
      <c r="AR124" s="37">
        <v>0</v>
      </c>
      <c r="AS124" s="37">
        <v>0</v>
      </c>
      <c r="AT124" s="37">
        <v>6</v>
      </c>
      <c r="AU124" s="33" t="str">
        <f t="shared" si="4"/>
        <v>库存为6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276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10</v>
      </c>
      <c r="J125" s="35">
        <v>0</v>
      </c>
      <c r="K125" s="35">
        <v>0</v>
      </c>
      <c r="L125" s="35">
        <v>0</v>
      </c>
      <c r="M125">
        <v>10</v>
      </c>
      <c r="N125">
        <v>0</v>
      </c>
      <c r="O125">
        <v>10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2</v>
      </c>
      <c r="AK125">
        <v>2</v>
      </c>
      <c r="AL125">
        <v>2</v>
      </c>
      <c r="AM125">
        <v>1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10</v>
      </c>
      <c r="AU125" s="33" t="str">
        <f t="shared" si="4"/>
        <v>库存为10</v>
      </c>
      <c r="AV125" s="38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276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2</v>
      </c>
      <c r="J126" s="35">
        <v>0</v>
      </c>
      <c r="K126" s="35">
        <v>0</v>
      </c>
      <c r="L126" s="35">
        <v>0</v>
      </c>
      <c r="M126">
        <v>2</v>
      </c>
      <c r="N126">
        <v>0</v>
      </c>
      <c r="O126">
        <v>2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2</v>
      </c>
      <c r="AK126">
        <v>1</v>
      </c>
      <c r="AL126">
        <v>1</v>
      </c>
      <c r="AM126">
        <v>0</v>
      </c>
      <c r="AN126" s="23">
        <v>0</v>
      </c>
      <c r="AO126" s="23">
        <v>0</v>
      </c>
      <c r="AP126" s="23">
        <v>0</v>
      </c>
      <c r="AQ126" s="23" t="s">
        <v>54</v>
      </c>
      <c r="AR126" s="37">
        <v>0</v>
      </c>
      <c r="AS126" s="37">
        <v>0</v>
      </c>
      <c r="AT126" s="37">
        <v>2</v>
      </c>
      <c r="AU126" s="33" t="str">
        <f t="shared" si="4"/>
        <v>库存为2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276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5</v>
      </c>
      <c r="J127" s="35">
        <v>0</v>
      </c>
      <c r="K127" s="35">
        <v>0</v>
      </c>
      <c r="L127" s="35">
        <v>0</v>
      </c>
      <c r="M127">
        <v>5</v>
      </c>
      <c r="N127">
        <v>0</v>
      </c>
      <c r="O127">
        <v>5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1</v>
      </c>
      <c r="AK127">
        <v>1</v>
      </c>
      <c r="AL127">
        <v>1</v>
      </c>
      <c r="AM127">
        <v>1</v>
      </c>
      <c r="AN127" s="23">
        <v>0</v>
      </c>
      <c r="AO127" s="23">
        <v>0</v>
      </c>
      <c r="AP127" s="23">
        <v>0</v>
      </c>
      <c r="AQ127" s="23">
        <v>0</v>
      </c>
      <c r="AR127" s="37">
        <v>0</v>
      </c>
      <c r="AS127" s="37">
        <v>0</v>
      </c>
      <c r="AT127" s="37">
        <v>5</v>
      </c>
      <c r="AU127" s="33" t="str">
        <f t="shared" si="4"/>
        <v>库存为5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276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5</v>
      </c>
      <c r="J128" s="35">
        <v>0</v>
      </c>
      <c r="K128" s="35">
        <v>0</v>
      </c>
      <c r="L128" s="35">
        <v>0</v>
      </c>
      <c r="M128">
        <v>5</v>
      </c>
      <c r="N128">
        <v>0</v>
      </c>
      <c r="O128">
        <v>5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2</v>
      </c>
      <c r="AK128">
        <v>0</v>
      </c>
      <c r="AL128">
        <v>0</v>
      </c>
      <c r="AM128">
        <v>0</v>
      </c>
      <c r="AN128" s="23">
        <v>0</v>
      </c>
      <c r="AO128" s="23" t="s">
        <v>54</v>
      </c>
      <c r="AP128" s="23" t="s">
        <v>54</v>
      </c>
      <c r="AQ128" s="23" t="s">
        <v>54</v>
      </c>
      <c r="AR128" s="37">
        <v>0</v>
      </c>
      <c r="AS128" s="37">
        <v>0</v>
      </c>
      <c r="AT128" s="37">
        <v>5</v>
      </c>
      <c r="AU128" s="33" t="str">
        <f t="shared" si="4"/>
        <v>库存为5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276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7">
        <v>0</v>
      </c>
      <c r="AS129" s="37">
        <v>0</v>
      </c>
      <c r="AT129" s="37">
        <v>0</v>
      </c>
      <c r="AU129" s="33" t="str">
        <f t="shared" si="4"/>
        <v>库存为0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276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1</v>
      </c>
      <c r="J130" s="35">
        <v>0</v>
      </c>
      <c r="K130" s="35">
        <v>0</v>
      </c>
      <c r="L130" s="35">
        <v>0</v>
      </c>
      <c r="M130">
        <v>1</v>
      </c>
      <c r="N130">
        <v>0</v>
      </c>
      <c r="O130">
        <v>1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3</v>
      </c>
      <c r="AK130">
        <v>0</v>
      </c>
      <c r="AL130">
        <v>0</v>
      </c>
      <c r="AM130">
        <v>2</v>
      </c>
      <c r="AN130" s="23">
        <v>0</v>
      </c>
      <c r="AO130" s="23" t="s">
        <v>54</v>
      </c>
      <c r="AP130" s="23" t="s">
        <v>54</v>
      </c>
      <c r="AQ130" s="23">
        <v>0</v>
      </c>
      <c r="AR130" s="37">
        <v>0</v>
      </c>
      <c r="AS130" s="37">
        <v>0</v>
      </c>
      <c r="AT130" s="37">
        <v>1</v>
      </c>
      <c r="AU130" s="33" t="str">
        <f t="shared" si="4"/>
        <v>库存为1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276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4</v>
      </c>
      <c r="J131" s="35">
        <v>0</v>
      </c>
      <c r="K131" s="35">
        <v>0</v>
      </c>
      <c r="L131" s="35">
        <v>0</v>
      </c>
      <c r="M131">
        <v>4</v>
      </c>
      <c r="N131">
        <v>0</v>
      </c>
      <c r="O131">
        <v>4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4</v>
      </c>
      <c r="AK131">
        <v>1</v>
      </c>
      <c r="AL131">
        <v>1</v>
      </c>
      <c r="AM131">
        <v>2</v>
      </c>
      <c r="AN131" s="23">
        <v>0</v>
      </c>
      <c r="AO131" s="23">
        <v>0</v>
      </c>
      <c r="AP131" s="23">
        <v>0</v>
      </c>
      <c r="AQ131" s="23">
        <v>0</v>
      </c>
      <c r="AR131" s="37">
        <v>0</v>
      </c>
      <c r="AS131" s="37">
        <v>0</v>
      </c>
      <c r="AT131" s="37">
        <v>4</v>
      </c>
      <c r="AU131" s="33" t="str">
        <f t="shared" si="4"/>
        <v>库存为4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276</v>
      </c>
      <c r="D132" s="33">
        <v>1</v>
      </c>
      <c r="E132" s="33">
        <v>0</v>
      </c>
      <c r="F132" s="33">
        <v>0</v>
      </c>
      <c r="G132" s="33">
        <v>0</v>
      </c>
      <c r="H132" s="34">
        <v>17.99</v>
      </c>
      <c r="I132">
        <v>5</v>
      </c>
      <c r="J132" s="35">
        <v>0</v>
      </c>
      <c r="K132" s="35">
        <v>0</v>
      </c>
      <c r="L132" s="35">
        <v>0</v>
      </c>
      <c r="M132">
        <v>5</v>
      </c>
      <c r="N132">
        <v>0</v>
      </c>
      <c r="O132">
        <v>5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1</v>
      </c>
      <c r="AK132">
        <v>0</v>
      </c>
      <c r="AL132">
        <v>0</v>
      </c>
      <c r="AM132">
        <v>2</v>
      </c>
      <c r="AN132" s="23">
        <v>1</v>
      </c>
      <c r="AO132" s="23" t="s">
        <v>54</v>
      </c>
      <c r="AP132" s="23" t="s">
        <v>54</v>
      </c>
      <c r="AQ132" s="23">
        <v>0</v>
      </c>
      <c r="AR132" s="37">
        <v>0.142857142857143</v>
      </c>
      <c r="AS132" s="37">
        <v>8.57142857142857</v>
      </c>
      <c r="AT132" s="37">
        <v>-3.57142857142857</v>
      </c>
      <c r="AU132" s="33">
        <f t="shared" si="4"/>
        <v>35</v>
      </c>
      <c r="AV132" s="38">
        <f>IFERROR(时间!$B$4+AU132,"上周无销量")</f>
        <v>43325</v>
      </c>
    </row>
    <row r="133" spans="1:48">
      <c r="A133" s="21" t="s">
        <v>319</v>
      </c>
      <c r="B133" t="s">
        <v>320</v>
      </c>
      <c r="C133" t="s">
        <v>276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11</v>
      </c>
      <c r="J133" s="35">
        <v>0</v>
      </c>
      <c r="K133" s="35">
        <v>0</v>
      </c>
      <c r="L133" s="35">
        <v>0</v>
      </c>
      <c r="M133">
        <v>11</v>
      </c>
      <c r="N133">
        <v>0</v>
      </c>
      <c r="O133">
        <v>11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1</v>
      </c>
      <c r="AK133">
        <v>1</v>
      </c>
      <c r="AL133">
        <v>1</v>
      </c>
      <c r="AM133">
        <v>2</v>
      </c>
      <c r="AN133" s="23">
        <v>0</v>
      </c>
      <c r="AO133" s="23">
        <v>0</v>
      </c>
      <c r="AP133" s="23">
        <v>0</v>
      </c>
      <c r="AQ133" s="23">
        <v>0</v>
      </c>
      <c r="AR133" s="37">
        <v>0</v>
      </c>
      <c r="AS133" s="37">
        <v>0</v>
      </c>
      <c r="AT133" s="37">
        <v>11</v>
      </c>
      <c r="AU133" s="33" t="str">
        <f t="shared" ref="AU133:AU196" si="5">IF(AR133="","库存为"&amp;M133,IF(AS133=0,"库存为"&amp;M133,INT(M133/AR133)))</f>
        <v>库存为11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276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6</v>
      </c>
      <c r="J134" s="35">
        <v>0</v>
      </c>
      <c r="K134" s="35">
        <v>0</v>
      </c>
      <c r="L134" s="35">
        <v>0</v>
      </c>
      <c r="M134">
        <v>6</v>
      </c>
      <c r="N134">
        <v>1</v>
      </c>
      <c r="O134">
        <v>6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1</v>
      </c>
      <c r="AK134">
        <v>0</v>
      </c>
      <c r="AL134">
        <v>0</v>
      </c>
      <c r="AM134">
        <v>1</v>
      </c>
      <c r="AN134" s="23">
        <v>0</v>
      </c>
      <c r="AO134" s="23" t="s">
        <v>54</v>
      </c>
      <c r="AP134" s="23" t="s">
        <v>54</v>
      </c>
      <c r="AQ134" s="23">
        <v>0</v>
      </c>
      <c r="AR134" s="37">
        <v>0</v>
      </c>
      <c r="AS134" s="37">
        <v>0</v>
      </c>
      <c r="AT134" s="37">
        <v>6</v>
      </c>
      <c r="AU134" s="33" t="str">
        <f t="shared" si="5"/>
        <v>库存为6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276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8</v>
      </c>
      <c r="J135" s="35">
        <v>0</v>
      </c>
      <c r="K135" s="35">
        <v>0</v>
      </c>
      <c r="L135" s="35">
        <v>0</v>
      </c>
      <c r="M135">
        <v>8</v>
      </c>
      <c r="N135">
        <v>0</v>
      </c>
      <c r="O135">
        <v>8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1</v>
      </c>
      <c r="AK135">
        <v>0</v>
      </c>
      <c r="AL135">
        <v>0</v>
      </c>
      <c r="AM135">
        <v>2</v>
      </c>
      <c r="AN135" s="23">
        <v>0</v>
      </c>
      <c r="AO135" s="23" t="s">
        <v>54</v>
      </c>
      <c r="AP135" s="23" t="s">
        <v>54</v>
      </c>
      <c r="AQ135" s="23">
        <v>0</v>
      </c>
      <c r="AR135" s="37">
        <v>0</v>
      </c>
      <c r="AS135" s="37">
        <v>0</v>
      </c>
      <c r="AT135" s="37">
        <v>8</v>
      </c>
      <c r="AU135" s="33" t="str">
        <f t="shared" si="5"/>
        <v>库存为8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276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6</v>
      </c>
      <c r="J136" s="35">
        <v>0</v>
      </c>
      <c r="K136" s="35">
        <v>0</v>
      </c>
      <c r="L136" s="35">
        <v>0</v>
      </c>
      <c r="M136">
        <v>6</v>
      </c>
      <c r="N136">
        <v>0</v>
      </c>
      <c r="O136">
        <v>6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2</v>
      </c>
      <c r="AK136">
        <v>1</v>
      </c>
      <c r="AL136">
        <v>1</v>
      </c>
      <c r="AM136">
        <v>1</v>
      </c>
      <c r="AN136" s="23">
        <v>0</v>
      </c>
      <c r="AO136" s="23">
        <v>0</v>
      </c>
      <c r="AP136" s="23">
        <v>0</v>
      </c>
      <c r="AQ136" s="23">
        <v>0</v>
      </c>
      <c r="AR136" s="37">
        <v>0</v>
      </c>
      <c r="AS136" s="37">
        <v>0</v>
      </c>
      <c r="AT136" s="37">
        <v>6</v>
      </c>
      <c r="AU136" s="33" t="str">
        <f t="shared" si="5"/>
        <v>库存为6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276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3</v>
      </c>
      <c r="J137" s="35">
        <v>0</v>
      </c>
      <c r="K137" s="35">
        <v>0</v>
      </c>
      <c r="L137" s="35">
        <v>0</v>
      </c>
      <c r="M137">
        <v>3</v>
      </c>
      <c r="N137">
        <v>0</v>
      </c>
      <c r="O137">
        <v>3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1</v>
      </c>
      <c r="AK137">
        <v>0</v>
      </c>
      <c r="AL137">
        <v>0</v>
      </c>
      <c r="AM137">
        <v>2</v>
      </c>
      <c r="AN137" s="23">
        <v>0</v>
      </c>
      <c r="AO137" s="23" t="s">
        <v>54</v>
      </c>
      <c r="AP137" s="23" t="s">
        <v>54</v>
      </c>
      <c r="AQ137" s="23">
        <v>0</v>
      </c>
      <c r="AR137" s="37">
        <v>0</v>
      </c>
      <c r="AS137" s="37">
        <v>0</v>
      </c>
      <c r="AT137" s="37">
        <v>3</v>
      </c>
      <c r="AU137" s="33" t="str">
        <f t="shared" si="5"/>
        <v>库存为3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276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4</v>
      </c>
      <c r="J138" s="35">
        <v>0</v>
      </c>
      <c r="K138" s="35">
        <v>0</v>
      </c>
      <c r="L138" s="35">
        <v>0</v>
      </c>
      <c r="M138">
        <v>4</v>
      </c>
      <c r="N138">
        <v>0</v>
      </c>
      <c r="O138">
        <v>4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1</v>
      </c>
      <c r="AK138">
        <v>0</v>
      </c>
      <c r="AL138">
        <v>0</v>
      </c>
      <c r="AM138">
        <v>0</v>
      </c>
      <c r="AN138" s="23">
        <v>0</v>
      </c>
      <c r="AO138" s="23" t="s">
        <v>54</v>
      </c>
      <c r="AP138" s="23" t="s">
        <v>54</v>
      </c>
      <c r="AQ138" s="23" t="s">
        <v>54</v>
      </c>
      <c r="AR138" s="37">
        <v>0</v>
      </c>
      <c r="AS138" s="37">
        <v>0</v>
      </c>
      <c r="AT138" s="37">
        <v>4</v>
      </c>
      <c r="AU138" s="33" t="str">
        <f t="shared" si="5"/>
        <v>库存为4</v>
      </c>
      <c r="AV138" s="38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276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9</v>
      </c>
      <c r="J139" s="35">
        <v>0</v>
      </c>
      <c r="K139" s="35">
        <v>0</v>
      </c>
      <c r="L139" s="35">
        <v>0</v>
      </c>
      <c r="M139">
        <v>9</v>
      </c>
      <c r="N139">
        <v>0</v>
      </c>
      <c r="O139">
        <v>9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1</v>
      </c>
      <c r="AK139">
        <v>0</v>
      </c>
      <c r="AL139">
        <v>0</v>
      </c>
      <c r="AM139">
        <v>1</v>
      </c>
      <c r="AN139" s="23">
        <v>0</v>
      </c>
      <c r="AO139" s="23" t="s">
        <v>54</v>
      </c>
      <c r="AP139" s="23" t="s">
        <v>54</v>
      </c>
      <c r="AQ139" s="23">
        <v>0</v>
      </c>
      <c r="AR139" s="37">
        <v>0</v>
      </c>
      <c r="AS139" s="37">
        <v>0</v>
      </c>
      <c r="AT139" s="37">
        <v>9</v>
      </c>
      <c r="AU139" s="33" t="str">
        <f t="shared" si="5"/>
        <v>库存为9</v>
      </c>
      <c r="AV139" s="38" t="str">
        <f>IFERROR(时间!$B$4+AU139,"上周无销量")</f>
        <v>上周无销量</v>
      </c>
    </row>
    <row r="140" spans="1:48">
      <c r="A140" s="21" t="s">
        <v>333</v>
      </c>
      <c r="B140" t="s">
        <v>334</v>
      </c>
      <c r="C140" t="s">
        <v>276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5</v>
      </c>
      <c r="J140" s="35">
        <v>0</v>
      </c>
      <c r="K140" s="35">
        <v>0</v>
      </c>
      <c r="L140" s="35">
        <v>0</v>
      </c>
      <c r="M140">
        <v>5</v>
      </c>
      <c r="N140">
        <v>0</v>
      </c>
      <c r="O140">
        <v>5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1</v>
      </c>
      <c r="AK140">
        <v>2</v>
      </c>
      <c r="AL140">
        <v>2</v>
      </c>
      <c r="AM140">
        <v>0</v>
      </c>
      <c r="AN140" s="23">
        <v>0</v>
      </c>
      <c r="AO140" s="23">
        <v>0</v>
      </c>
      <c r="AP140" s="23">
        <v>0</v>
      </c>
      <c r="AQ140" s="23" t="s">
        <v>54</v>
      </c>
      <c r="AR140" s="37">
        <v>0</v>
      </c>
      <c r="AS140" s="37">
        <v>0</v>
      </c>
      <c r="AT140" s="37">
        <v>5</v>
      </c>
      <c r="AU140" s="33" t="str">
        <f t="shared" si="5"/>
        <v>库存为5</v>
      </c>
      <c r="AV140" s="38" t="str">
        <f>IFERROR(时间!$B$4+AU140,"上周无销量")</f>
        <v>上周无销量</v>
      </c>
    </row>
    <row r="141" spans="1:48">
      <c r="A141" s="21" t="s">
        <v>335</v>
      </c>
      <c r="B141" t="s">
        <v>336</v>
      </c>
      <c r="C141" t="s">
        <v>276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0</v>
      </c>
      <c r="J141" s="35">
        <v>0</v>
      </c>
      <c r="K141" s="35">
        <v>0</v>
      </c>
      <c r="L141" s="35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7">
        <v>0</v>
      </c>
      <c r="AS141" s="37">
        <v>0</v>
      </c>
      <c r="AT141" s="37">
        <v>0</v>
      </c>
      <c r="AU141" s="33" t="str">
        <f t="shared" si="5"/>
        <v>库存为0</v>
      </c>
      <c r="AV141" s="38" t="str">
        <f>IFERROR(时间!$B$4+AU141,"上周无销量")</f>
        <v>上周无销量</v>
      </c>
    </row>
    <row r="142" spans="1:48">
      <c r="A142" s="21" t="s">
        <v>337</v>
      </c>
      <c r="B142" t="s">
        <v>338</v>
      </c>
      <c r="C142" t="s">
        <v>276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0</v>
      </c>
      <c r="J142" s="35">
        <v>0</v>
      </c>
      <c r="K142" s="35">
        <v>0</v>
      </c>
      <c r="L142" s="35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7">
        <v>0</v>
      </c>
      <c r="AS142" s="37">
        <v>0</v>
      </c>
      <c r="AT142" s="37">
        <v>0</v>
      </c>
      <c r="AU142" s="33" t="str">
        <f t="shared" si="5"/>
        <v>库存为0</v>
      </c>
      <c r="AV142" s="38" t="str">
        <f>IFERROR(时间!$B$4+AU142,"上周无销量")</f>
        <v>上周无销量</v>
      </c>
    </row>
    <row r="143" spans="1:48">
      <c r="A143" s="21" t="s">
        <v>339</v>
      </c>
      <c r="B143" t="s">
        <v>340</v>
      </c>
      <c r="C143" t="s">
        <v>276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3</v>
      </c>
      <c r="J143" s="35">
        <v>0</v>
      </c>
      <c r="K143" s="35">
        <v>0</v>
      </c>
      <c r="L143" s="35">
        <v>0</v>
      </c>
      <c r="M143">
        <v>3</v>
      </c>
      <c r="N143">
        <v>0</v>
      </c>
      <c r="O143">
        <v>3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1</v>
      </c>
      <c r="AK143">
        <v>0</v>
      </c>
      <c r="AL143">
        <v>0</v>
      </c>
      <c r="AM143">
        <v>2</v>
      </c>
      <c r="AN143" s="23">
        <v>0</v>
      </c>
      <c r="AO143" s="23" t="s">
        <v>54</v>
      </c>
      <c r="AP143" s="23" t="s">
        <v>54</v>
      </c>
      <c r="AQ143" s="23">
        <v>0</v>
      </c>
      <c r="AR143" s="37">
        <v>0</v>
      </c>
      <c r="AS143" s="37">
        <v>0</v>
      </c>
      <c r="AT143" s="37">
        <v>3</v>
      </c>
      <c r="AU143" s="33" t="str">
        <f t="shared" si="5"/>
        <v>库存为3</v>
      </c>
      <c r="AV143" s="38" t="str">
        <f>IFERROR(时间!$B$4+AU143,"上周无销量")</f>
        <v>上周无销量</v>
      </c>
    </row>
    <row r="144" spans="1:48">
      <c r="A144" s="21" t="s">
        <v>341</v>
      </c>
      <c r="B144" t="s">
        <v>342</v>
      </c>
      <c r="C144" t="s">
        <v>276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7</v>
      </c>
      <c r="J144" s="35">
        <v>0</v>
      </c>
      <c r="K144" s="35">
        <v>0</v>
      </c>
      <c r="L144" s="35">
        <v>0</v>
      </c>
      <c r="M144">
        <v>7</v>
      </c>
      <c r="N144">
        <v>0</v>
      </c>
      <c r="O144">
        <v>7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2</v>
      </c>
      <c r="AK144">
        <v>1</v>
      </c>
      <c r="AL144">
        <v>1</v>
      </c>
      <c r="AM144">
        <v>1</v>
      </c>
      <c r="AN144" s="23">
        <v>0</v>
      </c>
      <c r="AO144" s="23">
        <v>0</v>
      </c>
      <c r="AP144" s="23">
        <v>0</v>
      </c>
      <c r="AQ144" s="23">
        <v>0</v>
      </c>
      <c r="AR144" s="37">
        <v>0</v>
      </c>
      <c r="AS144" s="37">
        <v>0</v>
      </c>
      <c r="AT144" s="37">
        <v>7</v>
      </c>
      <c r="AU144" s="33" t="str">
        <f t="shared" si="5"/>
        <v>库存为7</v>
      </c>
      <c r="AV144" s="38" t="str">
        <f>IFERROR(时间!$B$4+AU144,"上周无销量")</f>
        <v>上周无销量</v>
      </c>
    </row>
    <row r="145" spans="1:48">
      <c r="A145" s="21" t="s">
        <v>343</v>
      </c>
      <c r="B145" t="s">
        <v>344</v>
      </c>
      <c r="C145" t="s">
        <v>276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1</v>
      </c>
      <c r="J145" s="35">
        <v>0</v>
      </c>
      <c r="K145" s="35">
        <v>0</v>
      </c>
      <c r="L145" s="35">
        <v>0</v>
      </c>
      <c r="M145">
        <v>1</v>
      </c>
      <c r="N145">
        <v>0</v>
      </c>
      <c r="O145">
        <v>1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4</v>
      </c>
      <c r="AK145">
        <v>2</v>
      </c>
      <c r="AL145">
        <v>2</v>
      </c>
      <c r="AM145">
        <v>0</v>
      </c>
      <c r="AN145" s="23">
        <v>0</v>
      </c>
      <c r="AO145" s="23">
        <v>0</v>
      </c>
      <c r="AP145" s="23">
        <v>0</v>
      </c>
      <c r="AQ145" s="23" t="s">
        <v>54</v>
      </c>
      <c r="AR145" s="37">
        <v>0</v>
      </c>
      <c r="AS145" s="37">
        <v>0</v>
      </c>
      <c r="AT145" s="37">
        <v>1</v>
      </c>
      <c r="AU145" s="33" t="str">
        <f t="shared" si="5"/>
        <v>库存为1</v>
      </c>
      <c r="AV145" s="38" t="str">
        <f>IFERROR(时间!$B$4+AU145,"上周无销量")</f>
        <v>上周无销量</v>
      </c>
    </row>
    <row r="146" spans="1:48">
      <c r="A146" s="21" t="s">
        <v>345</v>
      </c>
      <c r="B146" t="s">
        <v>346</v>
      </c>
      <c r="C146" t="s">
        <v>347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0</v>
      </c>
      <c r="J146" s="35">
        <v>0</v>
      </c>
      <c r="K146" s="35">
        <v>0</v>
      </c>
      <c r="L146" s="35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7">
        <v>0</v>
      </c>
      <c r="AS146" s="37">
        <v>0</v>
      </c>
      <c r="AT146" s="37">
        <v>0</v>
      </c>
      <c r="AU146" s="33" t="str">
        <f t="shared" si="5"/>
        <v>库存为0</v>
      </c>
      <c r="AV146" s="38" t="str">
        <f>IFERROR(时间!$B$4+AU146,"上周无销量")</f>
        <v>上周无销量</v>
      </c>
    </row>
    <row r="147" spans="1:48">
      <c r="A147" s="21" t="s">
        <v>348</v>
      </c>
      <c r="B147" t="s">
        <v>349</v>
      </c>
      <c r="C147" t="s">
        <v>347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0</v>
      </c>
      <c r="J147" s="35">
        <v>0</v>
      </c>
      <c r="K147" s="35">
        <v>0</v>
      </c>
      <c r="L147" s="35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7">
        <v>0</v>
      </c>
      <c r="AS147" s="37">
        <v>0</v>
      </c>
      <c r="AT147" s="37">
        <v>0</v>
      </c>
      <c r="AU147" s="33" t="str">
        <f t="shared" si="5"/>
        <v>库存为0</v>
      </c>
      <c r="AV147" s="38" t="str">
        <f>IFERROR(时间!$B$4+AU147,"上周无销量")</f>
        <v>上周无销量</v>
      </c>
    </row>
    <row r="148" spans="1:48">
      <c r="A148" s="21" t="s">
        <v>350</v>
      </c>
      <c r="B148" t="s">
        <v>351</v>
      </c>
      <c r="C148" t="s">
        <v>352</v>
      </c>
      <c r="D148" s="33">
        <v>0</v>
      </c>
      <c r="E148" s="33">
        <v>0</v>
      </c>
      <c r="F148" s="33">
        <v>1</v>
      </c>
      <c r="G148" s="33">
        <v>0</v>
      </c>
      <c r="H148" s="34">
        <v>16.99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2</v>
      </c>
      <c r="AN148" s="23" t="s">
        <v>54</v>
      </c>
      <c r="AO148" s="23" t="s">
        <v>54</v>
      </c>
      <c r="AP148" s="23" t="s">
        <v>54</v>
      </c>
      <c r="AQ148" s="23">
        <v>0</v>
      </c>
      <c r="AR148" s="37">
        <v>0</v>
      </c>
      <c r="AS148" s="37">
        <v>0</v>
      </c>
      <c r="AT148" s="37">
        <v>0</v>
      </c>
      <c r="AU148" s="33" t="str">
        <f t="shared" si="5"/>
        <v>库存为0</v>
      </c>
      <c r="AV148" s="38" t="str">
        <f>IFERROR(时间!$B$4+AU148,"上周无销量")</f>
        <v>上周无销量</v>
      </c>
    </row>
    <row r="149" spans="1:48">
      <c r="A149" s="21" t="s">
        <v>353</v>
      </c>
      <c r="B149" t="s">
        <v>354</v>
      </c>
      <c r="C149" t="s">
        <v>352</v>
      </c>
      <c r="D149" s="33">
        <v>0</v>
      </c>
      <c r="E149" s="33">
        <v>0</v>
      </c>
      <c r="F149" s="33">
        <v>1</v>
      </c>
      <c r="G149" s="33">
        <v>0</v>
      </c>
      <c r="H149" s="34">
        <v>15.99</v>
      </c>
      <c r="I149">
        <v>0</v>
      </c>
      <c r="J149" s="35">
        <v>0</v>
      </c>
      <c r="K149" s="35">
        <v>0</v>
      </c>
      <c r="L149" s="35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4</v>
      </c>
      <c r="AL149">
        <v>4</v>
      </c>
      <c r="AM149">
        <v>8</v>
      </c>
      <c r="AN149" s="23" t="s">
        <v>54</v>
      </c>
      <c r="AO149" s="23">
        <v>0</v>
      </c>
      <c r="AP149" s="23">
        <v>0.25</v>
      </c>
      <c r="AQ149" s="23">
        <v>0</v>
      </c>
      <c r="AR149" s="37">
        <v>0</v>
      </c>
      <c r="AS149" s="37">
        <v>0</v>
      </c>
      <c r="AT149" s="37">
        <v>0</v>
      </c>
      <c r="AU149" s="33" t="str">
        <f t="shared" si="5"/>
        <v>库存为0</v>
      </c>
      <c r="AV149" s="38" t="str">
        <f>IFERROR(时间!$B$4+AU149,"上周无销量")</f>
        <v>上周无销量</v>
      </c>
    </row>
    <row r="150" spans="1:48">
      <c r="A150" s="21" t="s">
        <v>355</v>
      </c>
      <c r="B150" t="s">
        <v>356</v>
      </c>
      <c r="C150" t="s">
        <v>352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7">
        <v>0</v>
      </c>
      <c r="AS150" s="37">
        <v>0</v>
      </c>
      <c r="AT150" s="37">
        <v>0</v>
      </c>
      <c r="AU150" s="33" t="str">
        <f t="shared" si="5"/>
        <v>库存为0</v>
      </c>
      <c r="AV150" s="38" t="str">
        <f>IFERROR(时间!$B$4+AU150,"上周无销量")</f>
        <v>上周无销量</v>
      </c>
    </row>
    <row r="151" spans="1:48">
      <c r="A151" s="21" t="s">
        <v>357</v>
      </c>
      <c r="B151" t="s">
        <v>358</v>
      </c>
      <c r="C151" t="s">
        <v>352</v>
      </c>
      <c r="D151" s="33">
        <v>0</v>
      </c>
      <c r="E151" s="33">
        <v>0</v>
      </c>
      <c r="F151" s="33">
        <v>1</v>
      </c>
      <c r="G151" s="33">
        <v>0</v>
      </c>
      <c r="H151" s="34">
        <v>17.99</v>
      </c>
      <c r="I151">
        <v>5</v>
      </c>
      <c r="J151" s="35">
        <v>0</v>
      </c>
      <c r="K151" s="35">
        <v>0</v>
      </c>
      <c r="L151" s="35">
        <v>0</v>
      </c>
      <c r="M151">
        <v>5</v>
      </c>
      <c r="N151">
        <v>0</v>
      </c>
      <c r="O151">
        <v>4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18</v>
      </c>
      <c r="AK151">
        <v>4</v>
      </c>
      <c r="AL151">
        <v>4</v>
      </c>
      <c r="AM151">
        <v>5</v>
      </c>
      <c r="AN151" s="23">
        <v>0</v>
      </c>
      <c r="AO151" s="23">
        <v>0</v>
      </c>
      <c r="AP151" s="23">
        <v>0.25</v>
      </c>
      <c r="AQ151" s="23">
        <v>0</v>
      </c>
      <c r="AR151" s="37">
        <v>0</v>
      </c>
      <c r="AS151" s="37">
        <v>0</v>
      </c>
      <c r="AT151" s="37">
        <v>5</v>
      </c>
      <c r="AU151" s="33" t="str">
        <f t="shared" si="5"/>
        <v>库存为5</v>
      </c>
      <c r="AV151" s="38" t="str">
        <f>IFERROR(时间!$B$4+AU151,"上周无销量")</f>
        <v>上周无销量</v>
      </c>
    </row>
    <row r="152" spans="1:48">
      <c r="A152" s="21" t="s">
        <v>359</v>
      </c>
      <c r="B152" t="s">
        <v>360</v>
      </c>
      <c r="C152" t="s">
        <v>361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7">
        <v>0</v>
      </c>
      <c r="AS152" s="37">
        <v>0</v>
      </c>
      <c r="AT152" s="37">
        <v>0</v>
      </c>
      <c r="AU152" s="33" t="str">
        <f t="shared" si="5"/>
        <v>库存为0</v>
      </c>
      <c r="AV152" s="38" t="str">
        <f>IFERROR(时间!$B$4+AU152,"上周无销量")</f>
        <v>上周无销量</v>
      </c>
    </row>
    <row r="153" spans="1:48">
      <c r="A153" s="21" t="s">
        <v>362</v>
      </c>
      <c r="B153" t="s">
        <v>363</v>
      </c>
      <c r="C153" t="s">
        <v>361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0</v>
      </c>
      <c r="J153" s="35">
        <v>0</v>
      </c>
      <c r="K153" s="35">
        <v>0</v>
      </c>
      <c r="L153" s="35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7">
        <v>0</v>
      </c>
      <c r="AS153" s="37">
        <v>0</v>
      </c>
      <c r="AT153" s="37">
        <v>0</v>
      </c>
      <c r="AU153" s="33" t="str">
        <f t="shared" si="5"/>
        <v>库存为0</v>
      </c>
      <c r="AV153" s="38" t="str">
        <f>IFERROR(时间!$B$4+AU153,"上周无销量")</f>
        <v>上周无销量</v>
      </c>
    </row>
    <row r="154" spans="1:48">
      <c r="A154" s="21" t="s">
        <v>364</v>
      </c>
      <c r="B154" t="s">
        <v>365</v>
      </c>
      <c r="C154" t="s">
        <v>361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0</v>
      </c>
      <c r="J154" s="35">
        <v>0</v>
      </c>
      <c r="K154" s="35">
        <v>0</v>
      </c>
      <c r="L154" s="35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7">
        <v>0</v>
      </c>
      <c r="AS154" s="37">
        <v>0</v>
      </c>
      <c r="AT154" s="37">
        <v>0</v>
      </c>
      <c r="AU154" s="33" t="str">
        <f t="shared" si="5"/>
        <v>库存为0</v>
      </c>
      <c r="AV154" s="38" t="str">
        <f>IFERROR(时间!$B$4+AU154,"上周无销量")</f>
        <v>上周无销量</v>
      </c>
    </row>
    <row r="155" spans="1:48">
      <c r="A155" s="21" t="s">
        <v>366</v>
      </c>
      <c r="B155" t="s">
        <v>367</v>
      </c>
      <c r="C155" t="s">
        <v>361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28</v>
      </c>
      <c r="AK155">
        <v>0</v>
      </c>
      <c r="AL155">
        <v>0</v>
      </c>
      <c r="AM155">
        <v>0</v>
      </c>
      <c r="AN155" s="23">
        <v>0</v>
      </c>
      <c r="AO155" s="23" t="s">
        <v>54</v>
      </c>
      <c r="AP155" s="23" t="s">
        <v>54</v>
      </c>
      <c r="AQ155" s="23" t="s">
        <v>54</v>
      </c>
      <c r="AR155" s="37">
        <v>0</v>
      </c>
      <c r="AS155" s="37">
        <v>0</v>
      </c>
      <c r="AT155" s="37">
        <v>0</v>
      </c>
      <c r="AU155" s="33" t="str">
        <f t="shared" si="5"/>
        <v>库存为0</v>
      </c>
      <c r="AV155" s="38" t="str">
        <f>IFERROR(时间!$B$4+AU155,"上周无销量")</f>
        <v>上周无销量</v>
      </c>
    </row>
    <row r="156" spans="1:48">
      <c r="A156" s="21" t="s">
        <v>368</v>
      </c>
      <c r="B156" t="s">
        <v>369</v>
      </c>
      <c r="C156" t="s">
        <v>361</v>
      </c>
      <c r="D156" s="33">
        <v>0</v>
      </c>
      <c r="E156" s="33">
        <v>0</v>
      </c>
      <c r="F156" s="33">
        <v>0</v>
      </c>
      <c r="G156" s="33">
        <v>1</v>
      </c>
      <c r="H156" s="34">
        <v>18.99</v>
      </c>
      <c r="I156">
        <v>0</v>
      </c>
      <c r="J156" s="35">
        <v>0</v>
      </c>
      <c r="K156" s="35">
        <v>0</v>
      </c>
      <c r="L156" s="35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7">
        <v>0</v>
      </c>
      <c r="AS156" s="37">
        <v>0</v>
      </c>
      <c r="AT156" s="37">
        <v>0</v>
      </c>
      <c r="AU156" s="33" t="str">
        <f t="shared" si="5"/>
        <v>库存为0</v>
      </c>
      <c r="AV156" s="38" t="str">
        <f>IFERROR(时间!$B$4+AU156,"上周无销量")</f>
        <v>上周无销量</v>
      </c>
    </row>
    <row r="157" spans="1:48">
      <c r="A157" s="21" t="s">
        <v>370</v>
      </c>
      <c r="B157" t="s">
        <v>371</v>
      </c>
      <c r="C157" t="s">
        <v>361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7">
        <v>0</v>
      </c>
      <c r="AS157" s="37">
        <v>0</v>
      </c>
      <c r="AT157" s="37">
        <v>0</v>
      </c>
      <c r="AU157" s="33" t="str">
        <f t="shared" si="5"/>
        <v>库存为0</v>
      </c>
      <c r="AV157" s="38" t="str">
        <f>IFERROR(时间!$B$4+AU157,"上周无销量")</f>
        <v>上周无销量</v>
      </c>
    </row>
    <row r="158" spans="1:48">
      <c r="A158" s="21" t="s">
        <v>372</v>
      </c>
      <c r="B158" t="s">
        <v>373</v>
      </c>
      <c r="C158" t="s">
        <v>361</v>
      </c>
      <c r="D158" s="33">
        <v>0</v>
      </c>
      <c r="E158" s="33">
        <v>1</v>
      </c>
      <c r="F158" s="33">
        <v>0</v>
      </c>
      <c r="G158" s="33">
        <v>0</v>
      </c>
      <c r="H158" s="34">
        <v>20.99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32</v>
      </c>
      <c r="AL158">
        <v>32</v>
      </c>
      <c r="AM158">
        <v>6</v>
      </c>
      <c r="AN158" s="23" t="s">
        <v>54</v>
      </c>
      <c r="AO158" s="23">
        <v>0.03125</v>
      </c>
      <c r="AP158" s="23">
        <v>0</v>
      </c>
      <c r="AQ158" s="23">
        <v>0</v>
      </c>
      <c r="AR158" s="37">
        <v>0</v>
      </c>
      <c r="AS158" s="37">
        <v>0</v>
      </c>
      <c r="AT158" s="37">
        <v>0</v>
      </c>
      <c r="AU158" s="33" t="str">
        <f t="shared" si="5"/>
        <v>库存为0</v>
      </c>
      <c r="AV158" s="38" t="str">
        <f>IFERROR(时间!$B$4+AU158,"上周无销量")</f>
        <v>上周无销量</v>
      </c>
    </row>
    <row r="159" spans="1:48">
      <c r="A159" s="21" t="s">
        <v>374</v>
      </c>
      <c r="B159" t="s">
        <v>375</v>
      </c>
      <c r="C159" t="s">
        <v>376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10</v>
      </c>
      <c r="J159" s="35">
        <v>0</v>
      </c>
      <c r="K159" s="35">
        <v>0</v>
      </c>
      <c r="L159" s="35">
        <v>0</v>
      </c>
      <c r="M159">
        <v>10</v>
      </c>
      <c r="N159">
        <v>0</v>
      </c>
      <c r="O159">
        <v>10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1</v>
      </c>
      <c r="AL159">
        <v>1</v>
      </c>
      <c r="AM159">
        <v>1</v>
      </c>
      <c r="AN159" s="23" t="s">
        <v>54</v>
      </c>
      <c r="AO159" s="23">
        <v>0</v>
      </c>
      <c r="AP159" s="23">
        <v>0</v>
      </c>
      <c r="AQ159" s="23">
        <v>0</v>
      </c>
      <c r="AR159" s="37">
        <v>0</v>
      </c>
      <c r="AS159" s="37">
        <v>0</v>
      </c>
      <c r="AT159" s="37">
        <v>10</v>
      </c>
      <c r="AU159" s="33" t="str">
        <f t="shared" si="5"/>
        <v>库存为10</v>
      </c>
      <c r="AV159" s="38" t="str">
        <f>IFERROR(时间!$B$4+AU159,"上周无销量")</f>
        <v>上周无销量</v>
      </c>
    </row>
    <row r="160" spans="1:48">
      <c r="A160" s="21" t="s">
        <v>377</v>
      </c>
      <c r="B160" t="s">
        <v>378</v>
      </c>
      <c r="C160" t="s">
        <v>376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9</v>
      </c>
      <c r="J160" s="35">
        <v>0</v>
      </c>
      <c r="K160" s="35">
        <v>0</v>
      </c>
      <c r="L160" s="35">
        <v>0</v>
      </c>
      <c r="M160">
        <v>9</v>
      </c>
      <c r="N160">
        <v>0</v>
      </c>
      <c r="O160">
        <v>9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2</v>
      </c>
      <c r="AK160">
        <v>1</v>
      </c>
      <c r="AL160">
        <v>1</v>
      </c>
      <c r="AM160">
        <v>2</v>
      </c>
      <c r="AN160" s="23">
        <v>0</v>
      </c>
      <c r="AO160" s="23">
        <v>0</v>
      </c>
      <c r="AP160" s="23">
        <v>0</v>
      </c>
      <c r="AQ160" s="23">
        <v>0</v>
      </c>
      <c r="AR160" s="37">
        <v>0</v>
      </c>
      <c r="AS160" s="37">
        <v>0</v>
      </c>
      <c r="AT160" s="37">
        <v>9</v>
      </c>
      <c r="AU160" s="33" t="str">
        <f t="shared" si="5"/>
        <v>库存为9</v>
      </c>
      <c r="AV160" s="38" t="str">
        <f>IFERROR(时间!$B$4+AU160,"上周无销量")</f>
        <v>上周无销量</v>
      </c>
    </row>
    <row r="161" spans="1:48">
      <c r="A161" s="21" t="s">
        <v>379</v>
      </c>
      <c r="B161" t="s">
        <v>380</v>
      </c>
      <c r="C161" t="s">
        <v>376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0</v>
      </c>
      <c r="J161" s="35">
        <v>0</v>
      </c>
      <c r="K161" s="35">
        <v>0</v>
      </c>
      <c r="L161" s="35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7">
        <v>0</v>
      </c>
      <c r="AS161" s="37">
        <v>0</v>
      </c>
      <c r="AT161" s="37">
        <v>0</v>
      </c>
      <c r="AU161" s="33" t="str">
        <f t="shared" si="5"/>
        <v>库存为0</v>
      </c>
      <c r="AV161" s="38" t="str">
        <f>IFERROR(时间!$B$4+AU161,"上周无销量")</f>
        <v>上周无销量</v>
      </c>
    </row>
    <row r="162" spans="1:48">
      <c r="A162" s="21" t="s">
        <v>381</v>
      </c>
      <c r="B162" t="s">
        <v>382</v>
      </c>
      <c r="C162" t="s">
        <v>376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8</v>
      </c>
      <c r="J162" s="35">
        <v>0</v>
      </c>
      <c r="K162" s="35">
        <v>0</v>
      </c>
      <c r="L162" s="35">
        <v>0</v>
      </c>
      <c r="M162">
        <v>8</v>
      </c>
      <c r="N162">
        <v>0</v>
      </c>
      <c r="O162">
        <v>8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4</v>
      </c>
      <c r="AK162">
        <v>0</v>
      </c>
      <c r="AL162">
        <v>0</v>
      </c>
      <c r="AM162">
        <v>0</v>
      </c>
      <c r="AN162" s="23">
        <v>0</v>
      </c>
      <c r="AO162" s="23" t="s">
        <v>54</v>
      </c>
      <c r="AP162" s="23" t="s">
        <v>54</v>
      </c>
      <c r="AQ162" s="23" t="s">
        <v>54</v>
      </c>
      <c r="AR162" s="37">
        <v>0</v>
      </c>
      <c r="AS162" s="37">
        <v>0</v>
      </c>
      <c r="AT162" s="37">
        <v>8</v>
      </c>
      <c r="AU162" s="33" t="str">
        <f t="shared" si="5"/>
        <v>库存为8</v>
      </c>
      <c r="AV162" s="38" t="str">
        <f>IFERROR(时间!$B$4+AU162,"上周无销量")</f>
        <v>上周无销量</v>
      </c>
    </row>
    <row r="163" spans="1:48">
      <c r="A163" s="21" t="s">
        <v>383</v>
      </c>
      <c r="B163" t="s">
        <v>384</v>
      </c>
      <c r="C163" t="s">
        <v>376</v>
      </c>
      <c r="D163" s="33">
        <v>0</v>
      </c>
      <c r="E163" s="33">
        <v>0</v>
      </c>
      <c r="F163" s="33">
        <v>0</v>
      </c>
      <c r="G163" s="33">
        <v>1</v>
      </c>
      <c r="H163" s="34">
        <v>18.99</v>
      </c>
      <c r="I163">
        <v>2</v>
      </c>
      <c r="J163" s="35">
        <v>0</v>
      </c>
      <c r="K163" s="35">
        <v>0</v>
      </c>
      <c r="L163" s="35">
        <v>0</v>
      </c>
      <c r="M163">
        <v>2</v>
      </c>
      <c r="N163">
        <v>0</v>
      </c>
      <c r="O163">
        <v>2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1</v>
      </c>
      <c r="AK163">
        <v>1</v>
      </c>
      <c r="AL163">
        <v>1</v>
      </c>
      <c r="AM163">
        <v>1</v>
      </c>
      <c r="AN163" s="23">
        <v>0</v>
      </c>
      <c r="AO163" s="23">
        <v>0</v>
      </c>
      <c r="AP163" s="23">
        <v>0</v>
      </c>
      <c r="AQ163" s="23">
        <v>1</v>
      </c>
      <c r="AR163" s="37">
        <v>0</v>
      </c>
      <c r="AS163" s="37">
        <v>0</v>
      </c>
      <c r="AT163" s="37">
        <v>2</v>
      </c>
      <c r="AU163" s="33" t="str">
        <f t="shared" si="5"/>
        <v>库存为2</v>
      </c>
      <c r="AV163" s="38" t="str">
        <f>IFERROR(时间!$B$4+AU163,"上周无销量")</f>
        <v>上周无销量</v>
      </c>
    </row>
    <row r="164" spans="1:48">
      <c r="A164" s="21" t="s">
        <v>385</v>
      </c>
      <c r="B164" t="s">
        <v>386</v>
      </c>
      <c r="C164" t="s">
        <v>376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4</v>
      </c>
      <c r="J164" s="35">
        <v>0</v>
      </c>
      <c r="K164" s="35">
        <v>0</v>
      </c>
      <c r="L164" s="35">
        <v>0</v>
      </c>
      <c r="M164">
        <v>4</v>
      </c>
      <c r="N164">
        <v>0</v>
      </c>
      <c r="O164">
        <v>4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4</v>
      </c>
      <c r="AK164">
        <v>1</v>
      </c>
      <c r="AL164">
        <v>1</v>
      </c>
      <c r="AM164">
        <v>1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4</v>
      </c>
      <c r="AU164" s="33" t="str">
        <f t="shared" si="5"/>
        <v>库存为4</v>
      </c>
      <c r="AV164" s="38" t="str">
        <f>IFERROR(时间!$B$4+AU164,"上周无销量")</f>
        <v>上周无销量</v>
      </c>
    </row>
    <row r="165" spans="1:48">
      <c r="A165" s="21" t="s">
        <v>387</v>
      </c>
      <c r="B165" t="s">
        <v>388</v>
      </c>
      <c r="C165" t="s">
        <v>376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2</v>
      </c>
      <c r="J165" s="35">
        <v>0</v>
      </c>
      <c r="K165" s="35">
        <v>0</v>
      </c>
      <c r="L165" s="35">
        <v>0</v>
      </c>
      <c r="M165">
        <v>2</v>
      </c>
      <c r="N165">
        <v>0</v>
      </c>
      <c r="O165">
        <v>1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2</v>
      </c>
      <c r="AK165">
        <v>1</v>
      </c>
      <c r="AL165">
        <v>1</v>
      </c>
      <c r="AM165">
        <v>2</v>
      </c>
      <c r="AN165" s="23">
        <v>0</v>
      </c>
      <c r="AO165" s="23">
        <v>0</v>
      </c>
      <c r="AP165" s="23">
        <v>0</v>
      </c>
      <c r="AQ165" s="23">
        <v>0</v>
      </c>
      <c r="AR165" s="37">
        <v>0</v>
      </c>
      <c r="AS165" s="37">
        <v>0</v>
      </c>
      <c r="AT165" s="37">
        <v>2</v>
      </c>
      <c r="AU165" s="33" t="str">
        <f t="shared" si="5"/>
        <v>库存为2</v>
      </c>
      <c r="AV165" s="38" t="str">
        <f>IFERROR(时间!$B$4+AU165,"上周无销量")</f>
        <v>上周无销量</v>
      </c>
    </row>
    <row r="166" spans="1:48">
      <c r="A166" s="21" t="s">
        <v>389</v>
      </c>
      <c r="B166" t="s">
        <v>390</v>
      </c>
      <c r="C166" t="s">
        <v>376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8</v>
      </c>
      <c r="J166" s="35">
        <v>0</v>
      </c>
      <c r="K166" s="35">
        <v>0</v>
      </c>
      <c r="L166" s="35">
        <v>0</v>
      </c>
      <c r="M166">
        <v>8</v>
      </c>
      <c r="N166">
        <v>0</v>
      </c>
      <c r="O166">
        <v>8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2</v>
      </c>
      <c r="AK166">
        <v>1</v>
      </c>
      <c r="AL166">
        <v>1</v>
      </c>
      <c r="AM166">
        <v>2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8</v>
      </c>
      <c r="AU166" s="33" t="str">
        <f t="shared" si="5"/>
        <v>库存为8</v>
      </c>
      <c r="AV166" s="38" t="str">
        <f>IFERROR(时间!$B$4+AU166,"上周无销量")</f>
        <v>上周无销量</v>
      </c>
    </row>
    <row r="167" spans="1:48">
      <c r="A167" s="21" t="s">
        <v>391</v>
      </c>
      <c r="B167" t="s">
        <v>392</v>
      </c>
      <c r="C167" t="s">
        <v>376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0</v>
      </c>
      <c r="J167" s="35">
        <v>0</v>
      </c>
      <c r="K167" s="35">
        <v>0</v>
      </c>
      <c r="L167" s="35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7">
        <v>0</v>
      </c>
      <c r="AS167" s="37">
        <v>0</v>
      </c>
      <c r="AT167" s="37">
        <v>0</v>
      </c>
      <c r="AU167" s="33" t="str">
        <f t="shared" si="5"/>
        <v>库存为0</v>
      </c>
      <c r="AV167" s="38" t="str">
        <f>IFERROR(时间!$B$4+AU167,"上周无销量")</f>
        <v>上周无销量</v>
      </c>
    </row>
    <row r="168" spans="1:48">
      <c r="A168" s="21" t="s">
        <v>393</v>
      </c>
      <c r="B168" t="s">
        <v>394</v>
      </c>
      <c r="C168" t="s">
        <v>376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5</v>
      </c>
      <c r="J168" s="35">
        <v>0</v>
      </c>
      <c r="K168" s="35">
        <v>0</v>
      </c>
      <c r="L168" s="35">
        <v>0</v>
      </c>
      <c r="M168">
        <v>5</v>
      </c>
      <c r="N168">
        <v>0</v>
      </c>
      <c r="O168">
        <v>5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1</v>
      </c>
      <c r="AK168">
        <v>1</v>
      </c>
      <c r="AL168">
        <v>1</v>
      </c>
      <c r="AM168">
        <v>1</v>
      </c>
      <c r="AN168" s="23">
        <v>0</v>
      </c>
      <c r="AO168" s="23">
        <v>0</v>
      </c>
      <c r="AP168" s="23">
        <v>0</v>
      </c>
      <c r="AQ168" s="23">
        <v>0</v>
      </c>
      <c r="AR168" s="37">
        <v>0</v>
      </c>
      <c r="AS168" s="37">
        <v>0</v>
      </c>
      <c r="AT168" s="37">
        <v>5</v>
      </c>
      <c r="AU168" s="33" t="str">
        <f t="shared" si="5"/>
        <v>库存为5</v>
      </c>
      <c r="AV168" s="38" t="str">
        <f>IFERROR(时间!$B$4+AU168,"上周无销量")</f>
        <v>上周无销量</v>
      </c>
    </row>
    <row r="169" spans="1:48">
      <c r="A169" s="21" t="s">
        <v>395</v>
      </c>
      <c r="B169" t="s">
        <v>396</v>
      </c>
      <c r="C169" t="s">
        <v>376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6</v>
      </c>
      <c r="J169" s="35">
        <v>0</v>
      </c>
      <c r="K169" s="35">
        <v>0</v>
      </c>
      <c r="L169" s="35">
        <v>0</v>
      </c>
      <c r="M169">
        <v>6</v>
      </c>
      <c r="N169">
        <v>0</v>
      </c>
      <c r="O169">
        <v>6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3</v>
      </c>
      <c r="AL169">
        <v>3</v>
      </c>
      <c r="AM169">
        <v>2</v>
      </c>
      <c r="AN169" s="23" t="s">
        <v>54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6</v>
      </c>
      <c r="AU169" s="33" t="str">
        <f t="shared" si="5"/>
        <v>库存为6</v>
      </c>
      <c r="AV169" s="38" t="str">
        <f>IFERROR(时间!$B$4+AU169,"上周无销量")</f>
        <v>上周无销量</v>
      </c>
    </row>
    <row r="170" spans="1:48">
      <c r="A170" s="21" t="s">
        <v>397</v>
      </c>
      <c r="B170" t="s">
        <v>398</v>
      </c>
      <c r="C170" t="s">
        <v>376</v>
      </c>
      <c r="D170" s="33">
        <v>1</v>
      </c>
      <c r="E170" s="33">
        <v>0</v>
      </c>
      <c r="F170" s="33">
        <v>0</v>
      </c>
      <c r="G170" s="33">
        <v>0</v>
      </c>
      <c r="H170" s="34">
        <v>17.99</v>
      </c>
      <c r="I170">
        <v>13</v>
      </c>
      <c r="J170" s="35">
        <v>0</v>
      </c>
      <c r="K170" s="35">
        <v>0</v>
      </c>
      <c r="L170" s="35">
        <v>0</v>
      </c>
      <c r="M170">
        <v>13</v>
      </c>
      <c r="N170">
        <v>0</v>
      </c>
      <c r="O170">
        <v>12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2</v>
      </c>
      <c r="AL170">
        <v>2</v>
      </c>
      <c r="AM170">
        <v>0</v>
      </c>
      <c r="AN170" s="23">
        <v>1</v>
      </c>
      <c r="AO170" s="23">
        <v>0</v>
      </c>
      <c r="AP170" s="23">
        <v>0</v>
      </c>
      <c r="AQ170" s="23" t="s">
        <v>54</v>
      </c>
      <c r="AR170" s="37">
        <v>0.142857142857143</v>
      </c>
      <c r="AS170" s="37">
        <v>8.57142857142857</v>
      </c>
      <c r="AT170" s="37">
        <v>4.42857142857143</v>
      </c>
      <c r="AU170" s="33">
        <f t="shared" si="5"/>
        <v>91</v>
      </c>
      <c r="AV170" s="38">
        <f>IFERROR(时间!$B$4+AU170,"上周无销量")</f>
        <v>43381</v>
      </c>
    </row>
    <row r="171" spans="1:48">
      <c r="A171" s="21" t="s">
        <v>399</v>
      </c>
      <c r="B171" t="s">
        <v>400</v>
      </c>
      <c r="C171" t="s">
        <v>376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13</v>
      </c>
      <c r="J171" s="35">
        <v>0</v>
      </c>
      <c r="K171" s="35">
        <v>0</v>
      </c>
      <c r="L171" s="35">
        <v>0</v>
      </c>
      <c r="M171">
        <v>13</v>
      </c>
      <c r="N171">
        <v>0</v>
      </c>
      <c r="O171">
        <v>11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1</v>
      </c>
      <c r="AK171">
        <v>0</v>
      </c>
      <c r="AL171">
        <v>0</v>
      </c>
      <c r="AM171">
        <v>0</v>
      </c>
      <c r="AN171" s="23">
        <v>0</v>
      </c>
      <c r="AO171" s="23" t="s">
        <v>54</v>
      </c>
      <c r="AP171" s="23" t="s">
        <v>54</v>
      </c>
      <c r="AQ171" s="23" t="s">
        <v>54</v>
      </c>
      <c r="AR171" s="37">
        <v>0</v>
      </c>
      <c r="AS171" s="37">
        <v>0</v>
      </c>
      <c r="AT171" s="37">
        <v>13</v>
      </c>
      <c r="AU171" s="33" t="str">
        <f t="shared" si="5"/>
        <v>库存为13</v>
      </c>
      <c r="AV171" s="38" t="str">
        <f>IFERROR(时间!$B$4+AU171,"上周无销量")</f>
        <v>上周无销量</v>
      </c>
    </row>
    <row r="172" spans="1:48">
      <c r="A172" s="21" t="s">
        <v>401</v>
      </c>
      <c r="B172" t="s">
        <v>402</v>
      </c>
      <c r="C172" t="s">
        <v>376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10</v>
      </c>
      <c r="J172" s="35">
        <v>0</v>
      </c>
      <c r="K172" s="35">
        <v>0</v>
      </c>
      <c r="L172" s="35">
        <v>0</v>
      </c>
      <c r="M172">
        <v>10</v>
      </c>
      <c r="N172">
        <v>0</v>
      </c>
      <c r="O172">
        <v>10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1</v>
      </c>
      <c r="AK172">
        <v>1</v>
      </c>
      <c r="AL172">
        <v>1</v>
      </c>
      <c r="AM172">
        <v>1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10</v>
      </c>
      <c r="AU172" s="33" t="str">
        <f t="shared" si="5"/>
        <v>库存为10</v>
      </c>
      <c r="AV172" s="38" t="str">
        <f>IFERROR(时间!$B$4+AU172,"上周无销量")</f>
        <v>上周无销量</v>
      </c>
    </row>
    <row r="173" spans="1:48">
      <c r="A173" s="21" t="s">
        <v>403</v>
      </c>
      <c r="B173" t="s">
        <v>404</v>
      </c>
      <c r="C173" t="s">
        <v>376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5</v>
      </c>
      <c r="J173" s="35">
        <v>0</v>
      </c>
      <c r="K173" s="35">
        <v>0</v>
      </c>
      <c r="L173" s="35">
        <v>0</v>
      </c>
      <c r="M173">
        <v>5</v>
      </c>
      <c r="N173">
        <v>0</v>
      </c>
      <c r="O173">
        <v>5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2</v>
      </c>
      <c r="AK173">
        <v>0</v>
      </c>
      <c r="AL173">
        <v>0</v>
      </c>
      <c r="AM173">
        <v>0</v>
      </c>
      <c r="AN173" s="23">
        <v>0</v>
      </c>
      <c r="AO173" s="23" t="s">
        <v>54</v>
      </c>
      <c r="AP173" s="23" t="s">
        <v>54</v>
      </c>
      <c r="AQ173" s="23" t="s">
        <v>54</v>
      </c>
      <c r="AR173" s="37">
        <v>0</v>
      </c>
      <c r="AS173" s="37">
        <v>0</v>
      </c>
      <c r="AT173" s="37">
        <v>5</v>
      </c>
      <c r="AU173" s="33" t="str">
        <f t="shared" si="5"/>
        <v>库存为5</v>
      </c>
      <c r="AV173" s="38" t="str">
        <f>IFERROR(时间!$B$4+AU173,"上周无销量")</f>
        <v>上周无销量</v>
      </c>
    </row>
    <row r="174" spans="1:48">
      <c r="A174" s="21" t="s">
        <v>405</v>
      </c>
      <c r="B174" t="s">
        <v>406</v>
      </c>
      <c r="C174" t="s">
        <v>376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8</v>
      </c>
      <c r="J174" s="35">
        <v>0</v>
      </c>
      <c r="K174" s="35">
        <v>0</v>
      </c>
      <c r="L174" s="35">
        <v>0</v>
      </c>
      <c r="M174">
        <v>8</v>
      </c>
      <c r="N174">
        <v>0</v>
      </c>
      <c r="O174">
        <v>8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2</v>
      </c>
      <c r="AK174">
        <v>2</v>
      </c>
      <c r="AL174">
        <v>2</v>
      </c>
      <c r="AM174">
        <v>1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8</v>
      </c>
      <c r="AU174" s="33" t="str">
        <f t="shared" si="5"/>
        <v>库存为8</v>
      </c>
      <c r="AV174" s="38" t="str">
        <f>IFERROR(时间!$B$4+AU174,"上周无销量")</f>
        <v>上周无销量</v>
      </c>
    </row>
    <row r="175" spans="1:48">
      <c r="A175" s="21" t="s">
        <v>407</v>
      </c>
      <c r="B175" t="s">
        <v>408</v>
      </c>
      <c r="C175" t="s">
        <v>376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10</v>
      </c>
      <c r="J175" s="35">
        <v>0</v>
      </c>
      <c r="K175" s="35">
        <v>0</v>
      </c>
      <c r="L175" s="35">
        <v>0</v>
      </c>
      <c r="M175">
        <v>10</v>
      </c>
      <c r="N175">
        <v>0</v>
      </c>
      <c r="O175">
        <v>9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2</v>
      </c>
      <c r="AK175">
        <v>1</v>
      </c>
      <c r="AL175">
        <v>1</v>
      </c>
      <c r="AM175">
        <v>1</v>
      </c>
      <c r="AN175" s="23">
        <v>0</v>
      </c>
      <c r="AO175" s="23">
        <v>0</v>
      </c>
      <c r="AP175" s="23">
        <v>0</v>
      </c>
      <c r="AQ175" s="23">
        <v>0</v>
      </c>
      <c r="AR175" s="37">
        <v>0</v>
      </c>
      <c r="AS175" s="37">
        <v>0</v>
      </c>
      <c r="AT175" s="37">
        <v>10</v>
      </c>
      <c r="AU175" s="33" t="str">
        <f t="shared" si="5"/>
        <v>库存为10</v>
      </c>
      <c r="AV175" s="38" t="str">
        <f>IFERROR(时间!$B$4+AU175,"上周无销量")</f>
        <v>上周无销量</v>
      </c>
    </row>
    <row r="176" spans="1:48">
      <c r="A176" s="21" t="s">
        <v>409</v>
      </c>
      <c r="B176" t="s">
        <v>410</v>
      </c>
      <c r="C176" t="s">
        <v>376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6</v>
      </c>
      <c r="J176" s="35">
        <v>0</v>
      </c>
      <c r="K176" s="35">
        <v>0</v>
      </c>
      <c r="L176" s="35">
        <v>0</v>
      </c>
      <c r="M176">
        <v>6</v>
      </c>
      <c r="N176">
        <v>0</v>
      </c>
      <c r="O176">
        <v>6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4</v>
      </c>
      <c r="AK176">
        <v>5</v>
      </c>
      <c r="AL176">
        <v>5</v>
      </c>
      <c r="AM176">
        <v>3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6</v>
      </c>
      <c r="AU176" s="33" t="str">
        <f t="shared" si="5"/>
        <v>库存为6</v>
      </c>
      <c r="AV176" s="38" t="str">
        <f>IFERROR(时间!$B$4+AU176,"上周无销量")</f>
        <v>上周无销量</v>
      </c>
    </row>
    <row r="177" spans="1:48">
      <c r="A177" s="21" t="s">
        <v>411</v>
      </c>
      <c r="B177" t="s">
        <v>412</v>
      </c>
      <c r="C177" t="s">
        <v>376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9</v>
      </c>
      <c r="J177" s="35">
        <v>0</v>
      </c>
      <c r="K177" s="35">
        <v>0</v>
      </c>
      <c r="L177" s="35">
        <v>0</v>
      </c>
      <c r="M177">
        <v>9</v>
      </c>
      <c r="N177">
        <v>0</v>
      </c>
      <c r="O177">
        <v>8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1</v>
      </c>
      <c r="AL177">
        <v>1</v>
      </c>
      <c r="AM177">
        <v>0</v>
      </c>
      <c r="AN177" s="23" t="s">
        <v>54</v>
      </c>
      <c r="AO177" s="23">
        <v>0</v>
      </c>
      <c r="AP177" s="23">
        <v>0</v>
      </c>
      <c r="AQ177" s="23" t="s">
        <v>54</v>
      </c>
      <c r="AR177" s="37">
        <v>0</v>
      </c>
      <c r="AS177" s="37">
        <v>0</v>
      </c>
      <c r="AT177" s="37">
        <v>9</v>
      </c>
      <c r="AU177" s="33" t="str">
        <f t="shared" si="5"/>
        <v>库存为9</v>
      </c>
      <c r="AV177" s="38" t="str">
        <f>IFERROR(时间!$B$4+AU177,"上周无销量")</f>
        <v>上周无销量</v>
      </c>
    </row>
    <row r="178" spans="1:48">
      <c r="A178" s="21" t="s">
        <v>413</v>
      </c>
      <c r="B178" t="s">
        <v>414</v>
      </c>
      <c r="C178" t="s">
        <v>376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3</v>
      </c>
      <c r="J178" s="35">
        <v>0</v>
      </c>
      <c r="K178" s="35">
        <v>0</v>
      </c>
      <c r="L178" s="35">
        <v>0</v>
      </c>
      <c r="M178">
        <v>3</v>
      </c>
      <c r="N178">
        <v>0</v>
      </c>
      <c r="O178">
        <v>2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1</v>
      </c>
      <c r="AK178">
        <v>2</v>
      </c>
      <c r="AL178">
        <v>2</v>
      </c>
      <c r="AM178">
        <v>0</v>
      </c>
      <c r="AN178" s="23">
        <v>0</v>
      </c>
      <c r="AO178" s="23">
        <v>0</v>
      </c>
      <c r="AP178" s="23">
        <v>0</v>
      </c>
      <c r="AQ178" s="23" t="s">
        <v>54</v>
      </c>
      <c r="AR178" s="37">
        <v>0</v>
      </c>
      <c r="AS178" s="37">
        <v>0</v>
      </c>
      <c r="AT178" s="37">
        <v>3</v>
      </c>
      <c r="AU178" s="33" t="str">
        <f t="shared" si="5"/>
        <v>库存为3</v>
      </c>
      <c r="AV178" s="38" t="str">
        <f>IFERROR(时间!$B$4+AU178,"上周无销量")</f>
        <v>上周无销量</v>
      </c>
    </row>
    <row r="179" spans="1:48">
      <c r="A179" s="21" t="s">
        <v>415</v>
      </c>
      <c r="B179" t="s">
        <v>416</v>
      </c>
      <c r="C179" t="s">
        <v>376</v>
      </c>
      <c r="D179" s="33">
        <v>1</v>
      </c>
      <c r="E179" s="33">
        <v>0</v>
      </c>
      <c r="F179" s="33">
        <v>0</v>
      </c>
      <c r="G179" s="33">
        <v>0</v>
      </c>
      <c r="H179" s="34">
        <v>18.99</v>
      </c>
      <c r="I179">
        <v>6</v>
      </c>
      <c r="J179" s="35">
        <v>0</v>
      </c>
      <c r="K179" s="35">
        <v>0</v>
      </c>
      <c r="L179" s="35">
        <v>0</v>
      </c>
      <c r="M179">
        <v>6</v>
      </c>
      <c r="N179">
        <v>0</v>
      </c>
      <c r="O179">
        <v>6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2</v>
      </c>
      <c r="AK179">
        <v>3</v>
      </c>
      <c r="AL179">
        <v>3</v>
      </c>
      <c r="AM179">
        <v>1</v>
      </c>
      <c r="AN179" s="23">
        <v>0.5</v>
      </c>
      <c r="AO179" s="23">
        <v>0</v>
      </c>
      <c r="AP179" s="23">
        <v>0</v>
      </c>
      <c r="AQ179" s="23">
        <v>0</v>
      </c>
      <c r="AR179" s="37">
        <v>0.142857142857143</v>
      </c>
      <c r="AS179" s="37">
        <v>8.57142857142857</v>
      </c>
      <c r="AT179" s="37">
        <v>-2.57142857142857</v>
      </c>
      <c r="AU179" s="33">
        <f t="shared" si="5"/>
        <v>42</v>
      </c>
      <c r="AV179" s="38">
        <f>IFERROR(时间!$B$4+AU179,"上周无销量")</f>
        <v>43332</v>
      </c>
    </row>
    <row r="180" spans="1:48">
      <c r="A180" s="21" t="s">
        <v>417</v>
      </c>
      <c r="B180" t="s">
        <v>418</v>
      </c>
      <c r="C180" t="s">
        <v>376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5</v>
      </c>
      <c r="J180" s="35">
        <v>0</v>
      </c>
      <c r="K180" s="35">
        <v>0</v>
      </c>
      <c r="L180" s="35">
        <v>0</v>
      </c>
      <c r="M180">
        <v>5</v>
      </c>
      <c r="N180">
        <v>0</v>
      </c>
      <c r="O180">
        <v>5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2</v>
      </c>
      <c r="AK180">
        <v>0</v>
      </c>
      <c r="AL180">
        <v>0</v>
      </c>
      <c r="AM180">
        <v>0</v>
      </c>
      <c r="AN180" s="23">
        <v>0</v>
      </c>
      <c r="AO180" s="23" t="s">
        <v>54</v>
      </c>
      <c r="AP180" s="23" t="s">
        <v>54</v>
      </c>
      <c r="AQ180" s="23" t="s">
        <v>54</v>
      </c>
      <c r="AR180" s="37">
        <v>0</v>
      </c>
      <c r="AS180" s="37">
        <v>0</v>
      </c>
      <c r="AT180" s="37">
        <v>5</v>
      </c>
      <c r="AU180" s="33" t="str">
        <f t="shared" si="5"/>
        <v>库存为5</v>
      </c>
      <c r="AV180" s="38" t="str">
        <f>IFERROR(时间!$B$4+AU180,"上周无销量")</f>
        <v>上周无销量</v>
      </c>
    </row>
    <row r="181" spans="1:48">
      <c r="A181" s="21" t="s">
        <v>419</v>
      </c>
      <c r="B181" t="s">
        <v>420</v>
      </c>
      <c r="C181" t="s">
        <v>376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8</v>
      </c>
      <c r="J181" s="35">
        <v>0</v>
      </c>
      <c r="K181" s="35">
        <v>0</v>
      </c>
      <c r="L181" s="35">
        <v>0</v>
      </c>
      <c r="M181">
        <v>8</v>
      </c>
      <c r="N181">
        <v>0</v>
      </c>
      <c r="O181">
        <v>8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2</v>
      </c>
      <c r="AK181">
        <v>0</v>
      </c>
      <c r="AL181">
        <v>0</v>
      </c>
      <c r="AM181">
        <v>2</v>
      </c>
      <c r="AN181" s="23">
        <v>0</v>
      </c>
      <c r="AO181" s="23" t="s">
        <v>54</v>
      </c>
      <c r="AP181" s="23" t="s">
        <v>54</v>
      </c>
      <c r="AQ181" s="23">
        <v>0</v>
      </c>
      <c r="AR181" s="37">
        <v>0</v>
      </c>
      <c r="AS181" s="37">
        <v>0</v>
      </c>
      <c r="AT181" s="37">
        <v>8</v>
      </c>
      <c r="AU181" s="33" t="str">
        <f t="shared" si="5"/>
        <v>库存为8</v>
      </c>
      <c r="AV181" s="38" t="str">
        <f>IFERROR(时间!$B$4+AU181,"上周无销量")</f>
        <v>上周无销量</v>
      </c>
    </row>
    <row r="182" spans="1:48">
      <c r="A182" s="21" t="s">
        <v>421</v>
      </c>
      <c r="B182" t="s">
        <v>422</v>
      </c>
      <c r="C182" t="s">
        <v>376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2</v>
      </c>
      <c r="J182" s="35">
        <v>0</v>
      </c>
      <c r="K182" s="35">
        <v>0</v>
      </c>
      <c r="L182" s="35">
        <v>0</v>
      </c>
      <c r="M182">
        <v>2</v>
      </c>
      <c r="N182">
        <v>0</v>
      </c>
      <c r="O182">
        <v>2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1</v>
      </c>
      <c r="AK182">
        <v>2</v>
      </c>
      <c r="AL182">
        <v>2</v>
      </c>
      <c r="AM182">
        <v>1</v>
      </c>
      <c r="AN182" s="23">
        <v>0</v>
      </c>
      <c r="AO182" s="23">
        <v>0</v>
      </c>
      <c r="AP182" s="23">
        <v>0</v>
      </c>
      <c r="AQ182" s="23">
        <v>0</v>
      </c>
      <c r="AR182" s="37">
        <v>0</v>
      </c>
      <c r="AS182" s="37">
        <v>0</v>
      </c>
      <c r="AT182" s="37">
        <v>2</v>
      </c>
      <c r="AU182" s="33" t="str">
        <f t="shared" si="5"/>
        <v>库存为2</v>
      </c>
      <c r="AV182" s="38" t="str">
        <f>IFERROR(时间!$B$4+AU182,"上周无销量")</f>
        <v>上周无销量</v>
      </c>
    </row>
    <row r="183" spans="1:48">
      <c r="A183" s="21" t="s">
        <v>423</v>
      </c>
      <c r="B183" t="s">
        <v>424</v>
      </c>
      <c r="C183" t="s">
        <v>376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4</v>
      </c>
      <c r="J183" s="35">
        <v>0</v>
      </c>
      <c r="K183" s="35">
        <v>0</v>
      </c>
      <c r="L183" s="35">
        <v>0</v>
      </c>
      <c r="M183">
        <v>4</v>
      </c>
      <c r="N183">
        <v>0</v>
      </c>
      <c r="O183">
        <v>4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2</v>
      </c>
      <c r="AK183">
        <v>2</v>
      </c>
      <c r="AL183">
        <v>2</v>
      </c>
      <c r="AM183">
        <v>0</v>
      </c>
      <c r="AN183" s="23">
        <v>0</v>
      </c>
      <c r="AO183" s="23">
        <v>0</v>
      </c>
      <c r="AP183" s="23">
        <v>0</v>
      </c>
      <c r="AQ183" s="23" t="s">
        <v>54</v>
      </c>
      <c r="AR183" s="37">
        <v>0</v>
      </c>
      <c r="AS183" s="37">
        <v>0</v>
      </c>
      <c r="AT183" s="37">
        <v>4</v>
      </c>
      <c r="AU183" s="33" t="str">
        <f t="shared" si="5"/>
        <v>库存为4</v>
      </c>
      <c r="AV183" s="38" t="str">
        <f>IFERROR(时间!$B$4+AU183,"上周无销量")</f>
        <v>上周无销量</v>
      </c>
    </row>
    <row r="184" spans="1:48">
      <c r="A184" s="21" t="s">
        <v>425</v>
      </c>
      <c r="B184" t="s">
        <v>426</v>
      </c>
      <c r="C184" t="s">
        <v>376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6</v>
      </c>
      <c r="J184" s="35">
        <v>0</v>
      </c>
      <c r="K184" s="35">
        <v>0</v>
      </c>
      <c r="L184" s="35">
        <v>0</v>
      </c>
      <c r="M184">
        <v>6</v>
      </c>
      <c r="N184">
        <v>0</v>
      </c>
      <c r="O184">
        <v>5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3</v>
      </c>
      <c r="AK184">
        <v>2</v>
      </c>
      <c r="AL184">
        <v>2</v>
      </c>
      <c r="AM184">
        <v>2</v>
      </c>
      <c r="AN184" s="23">
        <v>0</v>
      </c>
      <c r="AO184" s="23">
        <v>0</v>
      </c>
      <c r="AP184" s="23">
        <v>0</v>
      </c>
      <c r="AQ184" s="23">
        <v>0</v>
      </c>
      <c r="AR184" s="37">
        <v>0</v>
      </c>
      <c r="AS184" s="37">
        <v>0</v>
      </c>
      <c r="AT184" s="37">
        <v>6</v>
      </c>
      <c r="AU184" s="33" t="str">
        <f t="shared" si="5"/>
        <v>库存为6</v>
      </c>
      <c r="AV184" s="38" t="str">
        <f>IFERROR(时间!$B$4+AU184,"上周无销量")</f>
        <v>上周无销量</v>
      </c>
    </row>
    <row r="185" spans="1:48">
      <c r="A185" s="21" t="s">
        <v>427</v>
      </c>
      <c r="B185" t="s">
        <v>428</v>
      </c>
      <c r="C185" t="s">
        <v>376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5</v>
      </c>
      <c r="J185" s="35">
        <v>0</v>
      </c>
      <c r="K185" s="35">
        <v>0</v>
      </c>
      <c r="L185" s="35">
        <v>0</v>
      </c>
      <c r="M185">
        <v>5</v>
      </c>
      <c r="N185">
        <v>0</v>
      </c>
      <c r="O185">
        <v>1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1</v>
      </c>
      <c r="AK185">
        <v>3</v>
      </c>
      <c r="AL185">
        <v>3</v>
      </c>
      <c r="AM185">
        <v>0</v>
      </c>
      <c r="AN185" s="23">
        <v>0</v>
      </c>
      <c r="AO185" s="23">
        <v>0</v>
      </c>
      <c r="AP185" s="23">
        <v>0</v>
      </c>
      <c r="AQ185" s="23" t="s">
        <v>54</v>
      </c>
      <c r="AR185" s="37">
        <v>0</v>
      </c>
      <c r="AS185" s="37">
        <v>0</v>
      </c>
      <c r="AT185" s="37">
        <v>5</v>
      </c>
      <c r="AU185" s="33" t="str">
        <f t="shared" si="5"/>
        <v>库存为5</v>
      </c>
      <c r="AV185" s="38" t="str">
        <f>IFERROR(时间!$B$4+AU185,"上周无销量")</f>
        <v>上周无销量</v>
      </c>
    </row>
    <row r="186" spans="1:48">
      <c r="A186" s="21" t="s">
        <v>429</v>
      </c>
      <c r="B186" t="s">
        <v>430</v>
      </c>
      <c r="C186" t="s">
        <v>376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9</v>
      </c>
      <c r="J186" s="35">
        <v>0</v>
      </c>
      <c r="K186" s="35">
        <v>0</v>
      </c>
      <c r="L186" s="35">
        <v>0</v>
      </c>
      <c r="M186">
        <v>9</v>
      </c>
      <c r="N186">
        <v>0</v>
      </c>
      <c r="O186">
        <v>9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1</v>
      </c>
      <c r="AK186">
        <v>2</v>
      </c>
      <c r="AL186">
        <v>2</v>
      </c>
      <c r="AM186">
        <v>1</v>
      </c>
      <c r="AN186" s="23">
        <v>0</v>
      </c>
      <c r="AO186" s="23">
        <v>0</v>
      </c>
      <c r="AP186" s="23">
        <v>0</v>
      </c>
      <c r="AQ186" s="23">
        <v>0</v>
      </c>
      <c r="AR186" s="37">
        <v>0</v>
      </c>
      <c r="AS186" s="37">
        <v>0</v>
      </c>
      <c r="AT186" s="37">
        <v>9</v>
      </c>
      <c r="AU186" s="33" t="str">
        <f t="shared" si="5"/>
        <v>库存为9</v>
      </c>
      <c r="AV186" s="38" t="str">
        <f>IFERROR(时间!$B$4+AU186,"上周无销量")</f>
        <v>上周无销量</v>
      </c>
    </row>
    <row r="187" spans="1:48">
      <c r="A187" s="21" t="s">
        <v>431</v>
      </c>
      <c r="B187" t="s">
        <v>432</v>
      </c>
      <c r="C187" t="s">
        <v>376</v>
      </c>
      <c r="D187" s="33">
        <v>0</v>
      </c>
      <c r="E187" s="33">
        <v>1</v>
      </c>
      <c r="F187" s="33">
        <v>0</v>
      </c>
      <c r="G187" s="33">
        <v>0</v>
      </c>
      <c r="H187" s="34">
        <v>19.99</v>
      </c>
      <c r="I187">
        <v>7</v>
      </c>
      <c r="J187" s="35">
        <v>0</v>
      </c>
      <c r="K187" s="35">
        <v>0</v>
      </c>
      <c r="L187" s="35">
        <v>0</v>
      </c>
      <c r="M187">
        <v>7</v>
      </c>
      <c r="N187">
        <v>0</v>
      </c>
      <c r="O187">
        <v>5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2</v>
      </c>
      <c r="AL187">
        <v>2</v>
      </c>
      <c r="AM187">
        <v>1</v>
      </c>
      <c r="AN187" s="23" t="s">
        <v>54</v>
      </c>
      <c r="AO187" s="23">
        <v>0.5</v>
      </c>
      <c r="AP187" s="23">
        <v>0</v>
      </c>
      <c r="AQ187" s="23">
        <v>0</v>
      </c>
      <c r="AR187" s="37">
        <v>0</v>
      </c>
      <c r="AS187" s="37">
        <v>0</v>
      </c>
      <c r="AT187" s="37">
        <v>7</v>
      </c>
      <c r="AU187" s="33" t="str">
        <f t="shared" si="5"/>
        <v>库存为7</v>
      </c>
      <c r="AV187" s="38" t="str">
        <f>IFERROR(时间!$B$4+AU187,"上周无销量")</f>
        <v>上周无销量</v>
      </c>
    </row>
    <row r="188" spans="1:48">
      <c r="A188" s="21" t="s">
        <v>433</v>
      </c>
      <c r="B188" t="s">
        <v>434</v>
      </c>
      <c r="C188" t="s">
        <v>376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6</v>
      </c>
      <c r="J188" s="35">
        <v>0</v>
      </c>
      <c r="K188" s="35">
        <v>0</v>
      </c>
      <c r="L188" s="35">
        <v>0</v>
      </c>
      <c r="M188">
        <v>6</v>
      </c>
      <c r="N188">
        <v>0</v>
      </c>
      <c r="O188">
        <v>6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2</v>
      </c>
      <c r="AK188">
        <v>2</v>
      </c>
      <c r="AL188">
        <v>2</v>
      </c>
      <c r="AM188">
        <v>0</v>
      </c>
      <c r="AN188" s="23">
        <v>0</v>
      </c>
      <c r="AO188" s="23">
        <v>0</v>
      </c>
      <c r="AP188" s="23">
        <v>0</v>
      </c>
      <c r="AQ188" s="23" t="s">
        <v>54</v>
      </c>
      <c r="AR188" s="37">
        <v>0</v>
      </c>
      <c r="AS188" s="37">
        <v>0</v>
      </c>
      <c r="AT188" s="37">
        <v>6</v>
      </c>
      <c r="AU188" s="33" t="str">
        <f t="shared" si="5"/>
        <v>库存为6</v>
      </c>
      <c r="AV188" s="38" t="str">
        <f>IFERROR(时间!$B$4+AU188,"上周无销量")</f>
        <v>上周无销量</v>
      </c>
    </row>
    <row r="189" spans="1:48">
      <c r="A189" s="21" t="s">
        <v>435</v>
      </c>
      <c r="B189" t="s">
        <v>436</v>
      </c>
      <c r="C189" t="s">
        <v>376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11</v>
      </c>
      <c r="J189" s="35">
        <v>0</v>
      </c>
      <c r="K189" s="35">
        <v>0</v>
      </c>
      <c r="L189" s="35">
        <v>0</v>
      </c>
      <c r="M189">
        <v>11</v>
      </c>
      <c r="N189">
        <v>0</v>
      </c>
      <c r="O189">
        <v>11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2</v>
      </c>
      <c r="AK189">
        <v>2</v>
      </c>
      <c r="AL189">
        <v>2</v>
      </c>
      <c r="AM189">
        <v>1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11</v>
      </c>
      <c r="AU189" s="33" t="str">
        <f t="shared" si="5"/>
        <v>库存为11</v>
      </c>
      <c r="AV189" s="38" t="str">
        <f>IFERROR(时间!$B$4+AU189,"上周无销量")</f>
        <v>上周无销量</v>
      </c>
    </row>
    <row r="190" spans="1:48">
      <c r="A190" s="21" t="s">
        <v>437</v>
      </c>
      <c r="B190" t="s">
        <v>438</v>
      </c>
      <c r="C190" t="s">
        <v>376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11</v>
      </c>
      <c r="J190" s="35">
        <v>0</v>
      </c>
      <c r="K190" s="35">
        <v>0</v>
      </c>
      <c r="L190" s="35">
        <v>0</v>
      </c>
      <c r="M190">
        <v>11</v>
      </c>
      <c r="N190">
        <v>0</v>
      </c>
      <c r="O190">
        <v>9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4</v>
      </c>
      <c r="AK190">
        <v>2</v>
      </c>
      <c r="AL190">
        <v>2</v>
      </c>
      <c r="AM190">
        <v>0</v>
      </c>
      <c r="AN190" s="23">
        <v>0</v>
      </c>
      <c r="AO190" s="23">
        <v>0</v>
      </c>
      <c r="AP190" s="23">
        <v>0</v>
      </c>
      <c r="AQ190" s="23" t="s">
        <v>54</v>
      </c>
      <c r="AR190" s="37">
        <v>0</v>
      </c>
      <c r="AS190" s="37">
        <v>0</v>
      </c>
      <c r="AT190" s="37">
        <v>11</v>
      </c>
      <c r="AU190" s="33" t="str">
        <f t="shared" si="5"/>
        <v>库存为11</v>
      </c>
      <c r="AV190" s="38" t="str">
        <f>IFERROR(时间!$B$4+AU190,"上周无销量")</f>
        <v>上周无销量</v>
      </c>
    </row>
    <row r="191" spans="1:48">
      <c r="A191" s="21" t="s">
        <v>439</v>
      </c>
      <c r="B191" t="s">
        <v>440</v>
      </c>
      <c r="C191" t="s">
        <v>376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3</v>
      </c>
      <c r="J191" s="35">
        <v>0</v>
      </c>
      <c r="K191" s="35">
        <v>0</v>
      </c>
      <c r="L191" s="35">
        <v>0</v>
      </c>
      <c r="M191">
        <v>3</v>
      </c>
      <c r="N191">
        <v>0</v>
      </c>
      <c r="O191">
        <v>3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1</v>
      </c>
      <c r="AK191">
        <v>2</v>
      </c>
      <c r="AL191">
        <v>2</v>
      </c>
      <c r="AM191">
        <v>1</v>
      </c>
      <c r="AN191" s="23">
        <v>0</v>
      </c>
      <c r="AO191" s="23">
        <v>0</v>
      </c>
      <c r="AP191" s="23">
        <v>0</v>
      </c>
      <c r="AQ191" s="23">
        <v>0</v>
      </c>
      <c r="AR191" s="37">
        <v>0</v>
      </c>
      <c r="AS191" s="37">
        <v>0</v>
      </c>
      <c r="AT191" s="37">
        <v>3</v>
      </c>
      <c r="AU191" s="33" t="str">
        <f t="shared" si="5"/>
        <v>库存为3</v>
      </c>
      <c r="AV191" s="38" t="str">
        <f>IFERROR(时间!$B$4+AU191,"上周无销量")</f>
        <v>上周无销量</v>
      </c>
    </row>
    <row r="192" spans="1:48">
      <c r="A192" s="21" t="s">
        <v>441</v>
      </c>
      <c r="B192" t="s">
        <v>442</v>
      </c>
      <c r="C192" t="s">
        <v>376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4</v>
      </c>
      <c r="J192" s="35">
        <v>0</v>
      </c>
      <c r="K192" s="35">
        <v>0</v>
      </c>
      <c r="L192" s="35">
        <v>0</v>
      </c>
      <c r="M192">
        <v>4</v>
      </c>
      <c r="N192">
        <v>0</v>
      </c>
      <c r="O192">
        <v>2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2</v>
      </c>
      <c r="AK192">
        <v>0</v>
      </c>
      <c r="AL192">
        <v>0</v>
      </c>
      <c r="AM192">
        <v>1</v>
      </c>
      <c r="AN192" s="23">
        <v>0</v>
      </c>
      <c r="AO192" s="23" t="s">
        <v>54</v>
      </c>
      <c r="AP192" s="23" t="s">
        <v>54</v>
      </c>
      <c r="AQ192" s="23">
        <v>0</v>
      </c>
      <c r="AR192" s="37">
        <v>0</v>
      </c>
      <c r="AS192" s="37">
        <v>0</v>
      </c>
      <c r="AT192" s="37">
        <v>4</v>
      </c>
      <c r="AU192" s="33" t="str">
        <f t="shared" si="5"/>
        <v>库存为4</v>
      </c>
      <c r="AV192" s="38" t="str">
        <f>IFERROR(时间!$B$4+AU192,"上周无销量")</f>
        <v>上周无销量</v>
      </c>
    </row>
    <row r="193" spans="1:48">
      <c r="A193" s="21" t="s">
        <v>443</v>
      </c>
      <c r="B193" t="s">
        <v>444</v>
      </c>
      <c r="C193" t="s">
        <v>376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6</v>
      </c>
      <c r="J193" s="35">
        <v>0</v>
      </c>
      <c r="K193" s="35">
        <v>0</v>
      </c>
      <c r="L193" s="35">
        <v>0</v>
      </c>
      <c r="M193">
        <v>6</v>
      </c>
      <c r="N193">
        <v>0</v>
      </c>
      <c r="O193">
        <v>5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1</v>
      </c>
      <c r="AL193">
        <v>1</v>
      </c>
      <c r="AM193">
        <v>1</v>
      </c>
      <c r="AN193" s="23" t="s">
        <v>54</v>
      </c>
      <c r="AO193" s="23">
        <v>0</v>
      </c>
      <c r="AP193" s="23">
        <v>0</v>
      </c>
      <c r="AQ193" s="23">
        <v>0</v>
      </c>
      <c r="AR193" s="37">
        <v>0</v>
      </c>
      <c r="AS193" s="37">
        <v>0</v>
      </c>
      <c r="AT193" s="37">
        <v>6</v>
      </c>
      <c r="AU193" s="33" t="str">
        <f t="shared" si="5"/>
        <v>库存为6</v>
      </c>
      <c r="AV193" s="38" t="str">
        <f>IFERROR(时间!$B$4+AU193,"上周无销量")</f>
        <v>上周无销量</v>
      </c>
    </row>
    <row r="194" spans="1:48">
      <c r="A194" s="21" t="s">
        <v>445</v>
      </c>
      <c r="B194" t="s">
        <v>446</v>
      </c>
      <c r="C194" t="s">
        <v>376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9</v>
      </c>
      <c r="J194" s="35">
        <v>0</v>
      </c>
      <c r="K194" s="35">
        <v>0</v>
      </c>
      <c r="L194" s="35">
        <v>0</v>
      </c>
      <c r="M194">
        <v>9</v>
      </c>
      <c r="N194">
        <v>0</v>
      </c>
      <c r="O194">
        <v>8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1</v>
      </c>
      <c r="AN194" s="23" t="s">
        <v>54</v>
      </c>
      <c r="AO194" s="23" t="s">
        <v>54</v>
      </c>
      <c r="AP194" s="23" t="s">
        <v>54</v>
      </c>
      <c r="AQ194" s="23">
        <v>0</v>
      </c>
      <c r="AR194" s="37">
        <v>0</v>
      </c>
      <c r="AS194" s="37">
        <v>0</v>
      </c>
      <c r="AT194" s="37">
        <v>9</v>
      </c>
      <c r="AU194" s="33" t="str">
        <f t="shared" si="5"/>
        <v>库存为9</v>
      </c>
      <c r="AV194" s="38" t="str">
        <f>IFERROR(时间!$B$4+AU194,"上周无销量")</f>
        <v>上周无销量</v>
      </c>
    </row>
    <row r="195" spans="1:48">
      <c r="A195" s="21" t="s">
        <v>447</v>
      </c>
      <c r="B195" t="s">
        <v>448</v>
      </c>
      <c r="C195" t="s">
        <v>376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6</v>
      </c>
      <c r="J195" s="35">
        <v>0</v>
      </c>
      <c r="K195" s="35">
        <v>0</v>
      </c>
      <c r="L195" s="35">
        <v>0</v>
      </c>
      <c r="M195">
        <v>6</v>
      </c>
      <c r="N195">
        <v>0</v>
      </c>
      <c r="O195">
        <v>5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1</v>
      </c>
      <c r="AK195">
        <v>0</v>
      </c>
      <c r="AL195">
        <v>0</v>
      </c>
      <c r="AM195">
        <v>0</v>
      </c>
      <c r="AN195" s="23">
        <v>0</v>
      </c>
      <c r="AO195" s="23" t="s">
        <v>54</v>
      </c>
      <c r="AP195" s="23" t="s">
        <v>54</v>
      </c>
      <c r="AQ195" s="23" t="s">
        <v>54</v>
      </c>
      <c r="AR195" s="37">
        <v>0</v>
      </c>
      <c r="AS195" s="37">
        <v>0</v>
      </c>
      <c r="AT195" s="37">
        <v>6</v>
      </c>
      <c r="AU195" s="33" t="str">
        <f t="shared" si="5"/>
        <v>库存为6</v>
      </c>
      <c r="AV195" s="38" t="str">
        <f>IFERROR(时间!$B$4+AU195,"上周无销量")</f>
        <v>上周无销量</v>
      </c>
    </row>
    <row r="196" spans="1:48">
      <c r="A196" s="21" t="s">
        <v>449</v>
      </c>
      <c r="B196" t="s">
        <v>450</v>
      </c>
      <c r="C196" t="s">
        <v>376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5</v>
      </c>
      <c r="J196" s="35">
        <v>0</v>
      </c>
      <c r="K196" s="35">
        <v>0</v>
      </c>
      <c r="L196" s="35">
        <v>0</v>
      </c>
      <c r="M196">
        <v>5</v>
      </c>
      <c r="N196">
        <v>0</v>
      </c>
      <c r="O196">
        <v>5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3</v>
      </c>
      <c r="AK196">
        <v>0</v>
      </c>
      <c r="AL196">
        <v>0</v>
      </c>
      <c r="AM196">
        <v>0</v>
      </c>
      <c r="AN196" s="23">
        <v>0</v>
      </c>
      <c r="AO196" s="23" t="s">
        <v>54</v>
      </c>
      <c r="AP196" s="23" t="s">
        <v>54</v>
      </c>
      <c r="AQ196" s="23" t="s">
        <v>54</v>
      </c>
      <c r="AR196" s="37">
        <v>0</v>
      </c>
      <c r="AS196" s="37">
        <v>0</v>
      </c>
      <c r="AT196" s="37">
        <v>5</v>
      </c>
      <c r="AU196" s="33" t="str">
        <f t="shared" si="5"/>
        <v>库存为5</v>
      </c>
      <c r="AV196" s="38" t="str">
        <f>IFERROR(时间!$B$4+AU196,"上周无销量")</f>
        <v>上周无销量</v>
      </c>
    </row>
    <row r="197" spans="1:48">
      <c r="A197" s="21" t="s">
        <v>451</v>
      </c>
      <c r="B197" t="s">
        <v>452</v>
      </c>
      <c r="C197" t="s">
        <v>453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0</v>
      </c>
      <c r="J197" s="35">
        <v>0</v>
      </c>
      <c r="K197" s="35">
        <v>0</v>
      </c>
      <c r="L197" s="35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7">
        <v>0</v>
      </c>
      <c r="AS197" s="37">
        <v>0</v>
      </c>
      <c r="AT197" s="37">
        <v>0</v>
      </c>
      <c r="AU197" s="33" t="str">
        <f t="shared" ref="AU197:AU260" si="6">IF(AR197="","库存为"&amp;M197,IF(AS197=0,"库存为"&amp;M197,INT(M197/AR197)))</f>
        <v>库存为0</v>
      </c>
      <c r="AV197" s="38" t="str">
        <f>IFERROR(时间!$B$4+AU197,"上周无销量")</f>
        <v>上周无销量</v>
      </c>
    </row>
    <row r="198" spans="1:48">
      <c r="A198" s="21" t="s">
        <v>454</v>
      </c>
      <c r="B198" t="s">
        <v>455</v>
      </c>
      <c r="C198" t="s">
        <v>453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1</v>
      </c>
      <c r="J198" s="35">
        <v>0</v>
      </c>
      <c r="K198" s="35">
        <v>0</v>
      </c>
      <c r="L198" s="35">
        <v>0</v>
      </c>
      <c r="M198">
        <v>1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7">
        <v>0</v>
      </c>
      <c r="AS198" s="37">
        <v>0</v>
      </c>
      <c r="AT198" s="37">
        <v>1</v>
      </c>
      <c r="AU198" s="33" t="str">
        <f t="shared" si="6"/>
        <v>库存为1</v>
      </c>
      <c r="AV198" s="38" t="str">
        <f>IFERROR(时间!$B$4+AU198,"上周无销量")</f>
        <v>上周无销量</v>
      </c>
    </row>
    <row r="199" spans="1:48">
      <c r="A199" s="21" t="s">
        <v>456</v>
      </c>
      <c r="B199" t="s">
        <v>457</v>
      </c>
      <c r="C199" t="s">
        <v>453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0</v>
      </c>
      <c r="J199" s="35">
        <v>0</v>
      </c>
      <c r="K199" s="35">
        <v>0</v>
      </c>
      <c r="L199" s="35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7">
        <v>0</v>
      </c>
      <c r="AS199" s="37">
        <v>0</v>
      </c>
      <c r="AT199" s="37">
        <v>0</v>
      </c>
      <c r="AU199" s="33" t="str">
        <f t="shared" si="6"/>
        <v>库存为0</v>
      </c>
      <c r="AV199" s="38" t="str">
        <f>IFERROR(时间!$B$4+AU199,"上周无销量")</f>
        <v>上周无销量</v>
      </c>
    </row>
    <row r="200" spans="1:48">
      <c r="A200" s="21" t="s">
        <v>458</v>
      </c>
      <c r="B200" t="s">
        <v>459</v>
      </c>
      <c r="C200" t="s">
        <v>460</v>
      </c>
      <c r="D200" s="33">
        <v>0</v>
      </c>
      <c r="E200" s="33">
        <v>4</v>
      </c>
      <c r="F200" s="33">
        <v>4</v>
      </c>
      <c r="G200" s="33">
        <v>5</v>
      </c>
      <c r="H200" s="34">
        <v>15.99</v>
      </c>
      <c r="I200">
        <v>2</v>
      </c>
      <c r="J200" s="35">
        <v>5</v>
      </c>
      <c r="K200" s="35">
        <v>0</v>
      </c>
      <c r="L200" s="35">
        <v>1</v>
      </c>
      <c r="M200">
        <v>8</v>
      </c>
      <c r="N200">
        <v>0</v>
      </c>
      <c r="O200">
        <v>0</v>
      </c>
      <c r="P200">
        <v>0</v>
      </c>
      <c r="Q200">
        <v>0</v>
      </c>
      <c r="R200">
        <v>794</v>
      </c>
      <c r="S200">
        <v>1614</v>
      </c>
      <c r="T200">
        <v>0</v>
      </c>
      <c r="U200">
        <v>0</v>
      </c>
      <c r="V200">
        <v>4</v>
      </c>
      <c r="W200">
        <v>20</v>
      </c>
      <c r="X200" s="23" t="s">
        <v>54</v>
      </c>
      <c r="Y200" s="23" t="s">
        <v>54</v>
      </c>
      <c r="Z200" s="23">
        <v>0.00503778337531486</v>
      </c>
      <c r="AA200" s="23">
        <v>0.0123915737298637</v>
      </c>
      <c r="AB200">
        <v>0</v>
      </c>
      <c r="AC200">
        <v>0</v>
      </c>
      <c r="AD200">
        <v>1.3</v>
      </c>
      <c r="AE200">
        <v>6.36</v>
      </c>
      <c r="AF200" s="23" t="s">
        <v>54</v>
      </c>
      <c r="AG200" s="23" t="s">
        <v>54</v>
      </c>
      <c r="AH200" s="23">
        <v>0.0203252032520325</v>
      </c>
      <c r="AI200" s="23">
        <v>0.0795497185741088</v>
      </c>
      <c r="AJ200">
        <v>16</v>
      </c>
      <c r="AK200">
        <v>21</v>
      </c>
      <c r="AL200">
        <v>21</v>
      </c>
      <c r="AM200">
        <v>24</v>
      </c>
      <c r="AN200" s="23">
        <v>0</v>
      </c>
      <c r="AO200" s="23">
        <v>0.19047619047619</v>
      </c>
      <c r="AP200" s="23">
        <v>0.19047619047619</v>
      </c>
      <c r="AQ200" s="23">
        <v>0.208333333333333</v>
      </c>
      <c r="AR200" s="37">
        <v>0</v>
      </c>
      <c r="AS200" s="37">
        <v>0</v>
      </c>
      <c r="AT200" s="37">
        <v>8</v>
      </c>
      <c r="AU200" s="33" t="str">
        <f t="shared" si="6"/>
        <v>库存为8</v>
      </c>
      <c r="AV200" s="38" t="str">
        <f>IFERROR(时间!$B$4+AU200,"上周无销量")</f>
        <v>上周无销量</v>
      </c>
    </row>
    <row r="201" spans="1:48">
      <c r="A201" s="21" t="s">
        <v>461</v>
      </c>
      <c r="B201" t="s">
        <v>462</v>
      </c>
      <c r="C201" t="s">
        <v>460</v>
      </c>
      <c r="D201" s="33">
        <v>2</v>
      </c>
      <c r="E201" s="33">
        <v>12</v>
      </c>
      <c r="F201" s="33">
        <v>3</v>
      </c>
      <c r="G201" s="33">
        <v>0</v>
      </c>
      <c r="H201" s="34">
        <v>15.99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1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5</v>
      </c>
      <c r="AK201">
        <v>5</v>
      </c>
      <c r="AL201">
        <v>5</v>
      </c>
      <c r="AM201">
        <v>0</v>
      </c>
      <c r="AN201" s="23">
        <v>0.4</v>
      </c>
      <c r="AO201" s="23">
        <v>2.4</v>
      </c>
      <c r="AP201" s="23">
        <v>0.6</v>
      </c>
      <c r="AQ201" s="23" t="s">
        <v>54</v>
      </c>
      <c r="AR201" s="37">
        <v>0.285714285714286</v>
      </c>
      <c r="AS201" s="37">
        <v>17.1428571428571</v>
      </c>
      <c r="AT201" s="37">
        <v>-17.1428571428571</v>
      </c>
      <c r="AU201" s="33">
        <f t="shared" si="6"/>
        <v>0</v>
      </c>
      <c r="AV201" s="38">
        <f>IFERROR(时间!$B$4+AU201,"上周无销量")</f>
        <v>43290</v>
      </c>
    </row>
    <row r="202" spans="1:48">
      <c r="A202" s="21" t="s">
        <v>463</v>
      </c>
      <c r="B202" t="s">
        <v>464</v>
      </c>
      <c r="C202" t="s">
        <v>460</v>
      </c>
      <c r="D202" s="33">
        <v>1</v>
      </c>
      <c r="E202" s="33">
        <v>1</v>
      </c>
      <c r="F202" s="33">
        <v>5</v>
      </c>
      <c r="G202" s="33">
        <v>5</v>
      </c>
      <c r="H202" s="34">
        <v>16.99</v>
      </c>
      <c r="I202">
        <v>0</v>
      </c>
      <c r="J202" s="35">
        <v>15</v>
      </c>
      <c r="K202" s="35">
        <v>0</v>
      </c>
      <c r="L202" s="35">
        <v>0</v>
      </c>
      <c r="M202">
        <v>15</v>
      </c>
      <c r="N202">
        <v>1</v>
      </c>
      <c r="O202">
        <v>0</v>
      </c>
      <c r="P202">
        <v>0</v>
      </c>
      <c r="Q202">
        <v>0</v>
      </c>
      <c r="R202">
        <v>5907</v>
      </c>
      <c r="S202">
        <v>4241</v>
      </c>
      <c r="T202">
        <v>0</v>
      </c>
      <c r="U202">
        <v>0</v>
      </c>
      <c r="V202">
        <v>11</v>
      </c>
      <c r="W202">
        <v>6</v>
      </c>
      <c r="X202" s="23" t="s">
        <v>54</v>
      </c>
      <c r="Y202" s="23" t="s">
        <v>54</v>
      </c>
      <c r="Z202" s="23">
        <v>0.00186219739292365</v>
      </c>
      <c r="AA202" s="23">
        <v>0.00141476066965338</v>
      </c>
      <c r="AB202">
        <v>0</v>
      </c>
      <c r="AC202">
        <v>0</v>
      </c>
      <c r="AD202">
        <v>3.37</v>
      </c>
      <c r="AE202">
        <v>1.87</v>
      </c>
      <c r="AF202" s="23" t="s">
        <v>54</v>
      </c>
      <c r="AG202" s="23" t="s">
        <v>54</v>
      </c>
      <c r="AH202" s="23">
        <v>0.0396703943496174</v>
      </c>
      <c r="AI202" s="23">
        <v>0.0220129487934079</v>
      </c>
      <c r="AJ202">
        <v>1</v>
      </c>
      <c r="AK202">
        <v>29</v>
      </c>
      <c r="AL202">
        <v>29</v>
      </c>
      <c r="AM202">
        <v>39</v>
      </c>
      <c r="AN202" s="23">
        <v>1</v>
      </c>
      <c r="AO202" s="23">
        <v>0.0344827586206897</v>
      </c>
      <c r="AP202" s="23">
        <v>0.172413793103448</v>
      </c>
      <c r="AQ202" s="23">
        <v>0.128205128205128</v>
      </c>
      <c r="AR202" s="37">
        <v>0.142857142857143</v>
      </c>
      <c r="AS202" s="37">
        <v>8.57142857142857</v>
      </c>
      <c r="AT202" s="37">
        <v>6.42857142857143</v>
      </c>
      <c r="AU202" s="33">
        <f t="shared" si="6"/>
        <v>105</v>
      </c>
      <c r="AV202" s="38">
        <f>IFERROR(时间!$B$4+AU202,"上周无销量")</f>
        <v>43395</v>
      </c>
    </row>
    <row r="203" spans="1:48">
      <c r="A203" s="21" t="s">
        <v>465</v>
      </c>
      <c r="B203" t="s">
        <v>466</v>
      </c>
      <c r="C203" t="s">
        <v>460</v>
      </c>
      <c r="D203" s="33">
        <v>2</v>
      </c>
      <c r="E203" s="33">
        <v>4</v>
      </c>
      <c r="F203" s="33">
        <v>6</v>
      </c>
      <c r="G203" s="33">
        <v>1</v>
      </c>
      <c r="H203" s="34">
        <v>16.99</v>
      </c>
      <c r="I203">
        <v>0</v>
      </c>
      <c r="J203" s="35">
        <v>0</v>
      </c>
      <c r="K203" s="35">
        <v>0</v>
      </c>
      <c r="L203" s="35">
        <v>0</v>
      </c>
      <c r="M203">
        <v>0</v>
      </c>
      <c r="N203">
        <v>1</v>
      </c>
      <c r="O203">
        <v>0</v>
      </c>
      <c r="P203">
        <v>0</v>
      </c>
      <c r="Q203">
        <v>0</v>
      </c>
      <c r="R203">
        <v>5358</v>
      </c>
      <c r="S203">
        <v>4781</v>
      </c>
      <c r="T203">
        <v>0</v>
      </c>
      <c r="U203">
        <v>0</v>
      </c>
      <c r="V203">
        <v>26</v>
      </c>
      <c r="W203">
        <v>14</v>
      </c>
      <c r="X203" s="23" t="s">
        <v>54</v>
      </c>
      <c r="Y203" s="23" t="s">
        <v>54</v>
      </c>
      <c r="Z203" s="23">
        <v>0.00485255692422546</v>
      </c>
      <c r="AA203" s="23">
        <v>0.00292825768667643</v>
      </c>
      <c r="AB203">
        <v>0</v>
      </c>
      <c r="AC203">
        <v>0</v>
      </c>
      <c r="AD203">
        <v>7.51</v>
      </c>
      <c r="AE203">
        <v>4.38</v>
      </c>
      <c r="AF203" s="23" t="s">
        <v>54</v>
      </c>
      <c r="AG203" s="23" t="s">
        <v>54</v>
      </c>
      <c r="AH203" s="23">
        <v>0.0736707867372964</v>
      </c>
      <c r="AI203" s="23">
        <v>0.257798705120659</v>
      </c>
      <c r="AJ203">
        <v>11</v>
      </c>
      <c r="AK203">
        <v>11</v>
      </c>
      <c r="AL203">
        <v>11</v>
      </c>
      <c r="AM203">
        <v>15</v>
      </c>
      <c r="AN203" s="23">
        <v>0.181818181818182</v>
      </c>
      <c r="AO203" s="23">
        <v>0.363636363636364</v>
      </c>
      <c r="AP203" s="23">
        <v>0.545454545454545</v>
      </c>
      <c r="AQ203" s="23">
        <v>0.0666666666666667</v>
      </c>
      <c r="AR203" s="37">
        <v>0.285714285714286</v>
      </c>
      <c r="AS203" s="37">
        <v>17.1428571428571</v>
      </c>
      <c r="AT203" s="37">
        <v>-17.1428571428571</v>
      </c>
      <c r="AU203" s="33">
        <f t="shared" si="6"/>
        <v>0</v>
      </c>
      <c r="AV203" s="38">
        <f>IFERROR(时间!$B$4+AU203,"上周无销量")</f>
        <v>43290</v>
      </c>
    </row>
    <row r="204" spans="1:48">
      <c r="A204" s="21" t="s">
        <v>467</v>
      </c>
      <c r="B204" t="s">
        <v>468</v>
      </c>
      <c r="C204" t="s">
        <v>460</v>
      </c>
      <c r="D204" s="33">
        <v>0</v>
      </c>
      <c r="E204" s="33">
        <v>3</v>
      </c>
      <c r="F204" s="33">
        <v>1</v>
      </c>
      <c r="G204" s="33">
        <v>1</v>
      </c>
      <c r="H204" s="34">
        <v>14.99</v>
      </c>
      <c r="I204">
        <v>4</v>
      </c>
      <c r="J204" s="35">
        <v>0</v>
      </c>
      <c r="K204" s="35">
        <v>0</v>
      </c>
      <c r="L204" s="35">
        <v>0</v>
      </c>
      <c r="M204">
        <v>4</v>
      </c>
      <c r="N204">
        <v>0</v>
      </c>
      <c r="O204">
        <v>0</v>
      </c>
      <c r="P204">
        <v>35621</v>
      </c>
      <c r="Q204">
        <v>19636</v>
      </c>
      <c r="R204">
        <v>11626</v>
      </c>
      <c r="S204">
        <v>45348</v>
      </c>
      <c r="T204">
        <v>191</v>
      </c>
      <c r="U204">
        <v>143</v>
      </c>
      <c r="V204">
        <v>58</v>
      </c>
      <c r="W204">
        <v>288</v>
      </c>
      <c r="X204" s="23">
        <v>0.00536200555851885</v>
      </c>
      <c r="Y204" s="23">
        <v>0.00728254226930128</v>
      </c>
      <c r="Z204" s="23">
        <v>0.00498881816617925</v>
      </c>
      <c r="AA204" s="23">
        <v>0.00635088647790421</v>
      </c>
      <c r="AB204">
        <v>46.12</v>
      </c>
      <c r="AC204">
        <v>44.07</v>
      </c>
      <c r="AD204">
        <v>18.39</v>
      </c>
      <c r="AE204">
        <v>92.73</v>
      </c>
      <c r="AF204" s="23">
        <v>0</v>
      </c>
      <c r="AG204" s="23">
        <v>0.979986657771848</v>
      </c>
      <c r="AH204" s="23">
        <v>1.22681787858572</v>
      </c>
      <c r="AI204" s="23">
        <v>6.18612408272181</v>
      </c>
      <c r="AJ204">
        <v>7</v>
      </c>
      <c r="AK204">
        <v>39</v>
      </c>
      <c r="AL204">
        <v>39</v>
      </c>
      <c r="AM204">
        <v>16</v>
      </c>
      <c r="AN204" s="23">
        <v>0</v>
      </c>
      <c r="AO204" s="23">
        <v>0.0769230769230769</v>
      </c>
      <c r="AP204" s="23">
        <v>0.0256410256410256</v>
      </c>
      <c r="AQ204" s="23">
        <v>0.0625</v>
      </c>
      <c r="AR204" s="37">
        <v>0</v>
      </c>
      <c r="AS204" s="37">
        <v>0</v>
      </c>
      <c r="AT204" s="37">
        <v>4</v>
      </c>
      <c r="AU204" s="33" t="str">
        <f t="shared" si="6"/>
        <v>库存为4</v>
      </c>
      <c r="AV204" s="38" t="str">
        <f>IFERROR(时间!$B$4+AU204,"上周无销量")</f>
        <v>上周无销量</v>
      </c>
    </row>
    <row r="205" spans="1:48">
      <c r="A205" s="21" t="s">
        <v>469</v>
      </c>
      <c r="B205" t="s">
        <v>470</v>
      </c>
      <c r="C205" t="s">
        <v>460</v>
      </c>
      <c r="D205" s="33">
        <v>1</v>
      </c>
      <c r="E205" s="33">
        <v>1</v>
      </c>
      <c r="F205" s="33">
        <v>1</v>
      </c>
      <c r="G205" s="33">
        <v>2</v>
      </c>
      <c r="H205" s="34">
        <v>14.99</v>
      </c>
      <c r="I205">
        <v>2</v>
      </c>
      <c r="J205" s="35">
        <v>0</v>
      </c>
      <c r="K205" s="35">
        <v>0</v>
      </c>
      <c r="L205" s="35">
        <v>0</v>
      </c>
      <c r="M205">
        <v>2</v>
      </c>
      <c r="N205">
        <v>0</v>
      </c>
      <c r="O205">
        <v>0</v>
      </c>
      <c r="P205">
        <v>0</v>
      </c>
      <c r="Q205">
        <v>0</v>
      </c>
      <c r="R205">
        <v>302</v>
      </c>
      <c r="S205">
        <v>882</v>
      </c>
      <c r="T205">
        <v>0</v>
      </c>
      <c r="U205">
        <v>0</v>
      </c>
      <c r="V205">
        <v>0</v>
      </c>
      <c r="W205">
        <v>12</v>
      </c>
      <c r="X205" s="23" t="s">
        <v>54</v>
      </c>
      <c r="Y205" s="23" t="s">
        <v>54</v>
      </c>
      <c r="Z205" s="23">
        <v>0</v>
      </c>
      <c r="AA205" s="23">
        <v>0.0136054421768707</v>
      </c>
      <c r="AB205">
        <v>0</v>
      </c>
      <c r="AC205">
        <v>0</v>
      </c>
      <c r="AD205">
        <v>0</v>
      </c>
      <c r="AE205">
        <v>3.57</v>
      </c>
      <c r="AF205" s="23" t="s">
        <v>54</v>
      </c>
      <c r="AG205" s="23" t="s">
        <v>54</v>
      </c>
      <c r="AH205" s="23" t="s">
        <v>54</v>
      </c>
      <c r="AI205" s="23">
        <v>0.119079386257505</v>
      </c>
      <c r="AJ205">
        <v>3</v>
      </c>
      <c r="AK205">
        <v>2</v>
      </c>
      <c r="AL205">
        <v>2</v>
      </c>
      <c r="AM205">
        <v>4</v>
      </c>
      <c r="AN205" s="23">
        <v>0.333333333333333</v>
      </c>
      <c r="AO205" s="23">
        <v>0.5</v>
      </c>
      <c r="AP205" s="23">
        <v>0.5</v>
      </c>
      <c r="AQ205" s="23">
        <v>0.5</v>
      </c>
      <c r="AR205" s="37">
        <v>0.142857142857143</v>
      </c>
      <c r="AS205" s="37">
        <v>8.57142857142857</v>
      </c>
      <c r="AT205" s="37">
        <v>-6.57142857142857</v>
      </c>
      <c r="AU205" s="33">
        <f t="shared" si="6"/>
        <v>14</v>
      </c>
      <c r="AV205" s="38">
        <f>IFERROR(时间!$B$4+AU205,"上周无销量")</f>
        <v>43304</v>
      </c>
    </row>
    <row r="206" spans="1:48">
      <c r="A206" s="21" t="s">
        <v>471</v>
      </c>
      <c r="B206" t="s">
        <v>472</v>
      </c>
      <c r="C206" t="s">
        <v>460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7</v>
      </c>
      <c r="J206" s="35">
        <v>0</v>
      </c>
      <c r="K206" s="35">
        <v>0</v>
      </c>
      <c r="L206" s="35">
        <v>0</v>
      </c>
      <c r="M206">
        <v>7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19310</v>
      </c>
      <c r="T206">
        <v>0</v>
      </c>
      <c r="U206">
        <v>0</v>
      </c>
      <c r="V206">
        <v>0</v>
      </c>
      <c r="W206">
        <v>120</v>
      </c>
      <c r="X206" s="23" t="s">
        <v>54</v>
      </c>
      <c r="Y206" s="23" t="s">
        <v>54</v>
      </c>
      <c r="Z206" s="23" t="s">
        <v>54</v>
      </c>
      <c r="AA206" s="23">
        <v>0.0062143966856551</v>
      </c>
      <c r="AB206">
        <v>0</v>
      </c>
      <c r="AC206">
        <v>0</v>
      </c>
      <c r="AD206">
        <v>0</v>
      </c>
      <c r="AE206">
        <v>36.15</v>
      </c>
      <c r="AF206" s="23" t="s">
        <v>54</v>
      </c>
      <c r="AG206" s="23" t="s">
        <v>54</v>
      </c>
      <c r="AH206" s="23" t="s">
        <v>54</v>
      </c>
      <c r="AI206" s="23">
        <v>0</v>
      </c>
      <c r="AJ206">
        <v>3</v>
      </c>
      <c r="AK206">
        <v>5</v>
      </c>
      <c r="AL206">
        <v>5</v>
      </c>
      <c r="AM206">
        <v>0</v>
      </c>
      <c r="AN206" s="23">
        <v>0</v>
      </c>
      <c r="AO206" s="23">
        <v>0</v>
      </c>
      <c r="AP206" s="23">
        <v>0</v>
      </c>
      <c r="AQ206" s="23" t="s">
        <v>54</v>
      </c>
      <c r="AR206" s="37">
        <v>0</v>
      </c>
      <c r="AS206" s="37">
        <v>0</v>
      </c>
      <c r="AT206" s="37">
        <v>7</v>
      </c>
      <c r="AU206" s="33" t="str">
        <f t="shared" si="6"/>
        <v>库存为7</v>
      </c>
      <c r="AV206" s="38" t="str">
        <f>IFERROR(时间!$B$4+AU206,"上周无销量")</f>
        <v>上周无销量</v>
      </c>
    </row>
    <row r="207" spans="1:48">
      <c r="A207" s="21" t="s">
        <v>473</v>
      </c>
      <c r="B207" t="s">
        <v>474</v>
      </c>
      <c r="C207" t="s">
        <v>460</v>
      </c>
      <c r="D207" s="33">
        <v>3</v>
      </c>
      <c r="E207" s="33">
        <v>4</v>
      </c>
      <c r="F207" s="33">
        <v>1</v>
      </c>
      <c r="G207" s="33">
        <v>5</v>
      </c>
      <c r="H207" s="34">
        <v>16.99</v>
      </c>
      <c r="I207">
        <v>3</v>
      </c>
      <c r="J207" s="35">
        <v>0</v>
      </c>
      <c r="K207" s="35">
        <v>0</v>
      </c>
      <c r="L207" s="35">
        <v>0</v>
      </c>
      <c r="M207">
        <v>3</v>
      </c>
      <c r="N207">
        <v>0</v>
      </c>
      <c r="O207">
        <v>0</v>
      </c>
      <c r="P207">
        <v>0</v>
      </c>
      <c r="Q207">
        <v>0</v>
      </c>
      <c r="R207">
        <v>53673</v>
      </c>
      <c r="S207">
        <v>48257</v>
      </c>
      <c r="T207">
        <v>0</v>
      </c>
      <c r="U207">
        <v>0</v>
      </c>
      <c r="V207">
        <v>149</v>
      </c>
      <c r="W207">
        <v>189</v>
      </c>
      <c r="X207" s="23" t="s">
        <v>54</v>
      </c>
      <c r="Y207" s="23" t="s">
        <v>54</v>
      </c>
      <c r="Z207" s="23">
        <v>0.00277606990479384</v>
      </c>
      <c r="AA207" s="23">
        <v>0.00391653024431689</v>
      </c>
      <c r="AB207">
        <v>0</v>
      </c>
      <c r="AC207">
        <v>0</v>
      </c>
      <c r="AD207">
        <v>40.51</v>
      </c>
      <c r="AE207">
        <v>51.36</v>
      </c>
      <c r="AF207" s="23" t="s">
        <v>54</v>
      </c>
      <c r="AG207" s="23" t="s">
        <v>54</v>
      </c>
      <c r="AH207" s="23">
        <v>2.38434373160683</v>
      </c>
      <c r="AI207" s="23">
        <v>0.604590935844615</v>
      </c>
      <c r="AJ207">
        <v>15</v>
      </c>
      <c r="AK207">
        <v>5</v>
      </c>
      <c r="AL207">
        <v>5</v>
      </c>
      <c r="AM207">
        <v>68</v>
      </c>
      <c r="AN207" s="23">
        <v>0.2</v>
      </c>
      <c r="AO207" s="23">
        <v>0.8</v>
      </c>
      <c r="AP207" s="23">
        <v>0.2</v>
      </c>
      <c r="AQ207" s="23">
        <v>0.0735294117647059</v>
      </c>
      <c r="AR207" s="37">
        <v>0.428571428571429</v>
      </c>
      <c r="AS207" s="37">
        <v>25.7142857142857</v>
      </c>
      <c r="AT207" s="37">
        <v>-22.7142857142857</v>
      </c>
      <c r="AU207" s="33">
        <f t="shared" si="6"/>
        <v>7</v>
      </c>
      <c r="AV207" s="38">
        <f>IFERROR(时间!$B$4+AU207,"上周无销量")</f>
        <v>43297</v>
      </c>
    </row>
    <row r="208" spans="1:48">
      <c r="A208" s="21" t="s">
        <v>475</v>
      </c>
      <c r="B208" t="s">
        <v>476</v>
      </c>
      <c r="C208" t="s">
        <v>460</v>
      </c>
      <c r="D208" s="33">
        <v>3</v>
      </c>
      <c r="E208" s="33">
        <v>3</v>
      </c>
      <c r="F208" s="33">
        <v>2</v>
      </c>
      <c r="G208" s="33">
        <v>3</v>
      </c>
      <c r="H208" s="34">
        <v>15.99</v>
      </c>
      <c r="I208">
        <v>0</v>
      </c>
      <c r="J208" s="35">
        <v>0</v>
      </c>
      <c r="K208" s="35">
        <v>0</v>
      </c>
      <c r="L208" s="35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71</v>
      </c>
      <c r="S208">
        <v>98</v>
      </c>
      <c r="T208">
        <v>0</v>
      </c>
      <c r="U208">
        <v>0</v>
      </c>
      <c r="V208">
        <v>0</v>
      </c>
      <c r="W208">
        <v>0</v>
      </c>
      <c r="X208" s="23" t="s">
        <v>54</v>
      </c>
      <c r="Y208" s="23" t="s">
        <v>54</v>
      </c>
      <c r="Z208" s="23">
        <v>0</v>
      </c>
      <c r="AA208" s="23">
        <v>0</v>
      </c>
      <c r="AB208">
        <v>0</v>
      </c>
      <c r="AC208">
        <v>0</v>
      </c>
      <c r="AD208">
        <v>0</v>
      </c>
      <c r="AE208">
        <v>0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6</v>
      </c>
      <c r="AK208">
        <v>11</v>
      </c>
      <c r="AL208">
        <v>11</v>
      </c>
      <c r="AM208">
        <v>18</v>
      </c>
      <c r="AN208" s="23">
        <v>0.5</v>
      </c>
      <c r="AO208" s="23">
        <v>0.272727272727273</v>
      </c>
      <c r="AP208" s="23">
        <v>0.181818181818182</v>
      </c>
      <c r="AQ208" s="23">
        <v>0.166666666666667</v>
      </c>
      <c r="AR208" s="37">
        <v>0.428571428571429</v>
      </c>
      <c r="AS208" s="37">
        <v>25.7142857142857</v>
      </c>
      <c r="AT208" s="37">
        <v>-25.7142857142857</v>
      </c>
      <c r="AU208" s="33">
        <f t="shared" si="6"/>
        <v>0</v>
      </c>
      <c r="AV208" s="38">
        <f>IFERROR(时间!$B$4+AU208,"上周无销量")</f>
        <v>43290</v>
      </c>
    </row>
    <row r="209" spans="1:48">
      <c r="A209" s="21" t="s">
        <v>477</v>
      </c>
      <c r="B209" t="s">
        <v>478</v>
      </c>
      <c r="C209" t="s">
        <v>460</v>
      </c>
      <c r="D209" s="33">
        <v>1</v>
      </c>
      <c r="E209" s="33">
        <v>2</v>
      </c>
      <c r="F209" s="33">
        <v>1</v>
      </c>
      <c r="G209" s="33">
        <v>6</v>
      </c>
      <c r="H209" s="34">
        <v>15.99</v>
      </c>
      <c r="I209">
        <v>9</v>
      </c>
      <c r="J209" s="35">
        <v>0</v>
      </c>
      <c r="K209" s="35">
        <v>0</v>
      </c>
      <c r="L209" s="35">
        <v>1</v>
      </c>
      <c r="M209">
        <v>10</v>
      </c>
      <c r="N209">
        <v>0</v>
      </c>
      <c r="O209">
        <v>0</v>
      </c>
      <c r="P209">
        <v>0</v>
      </c>
      <c r="Q209">
        <v>0</v>
      </c>
      <c r="R209">
        <v>1017</v>
      </c>
      <c r="S209">
        <v>1121</v>
      </c>
      <c r="T209">
        <v>0</v>
      </c>
      <c r="U209">
        <v>0</v>
      </c>
      <c r="V209">
        <v>2</v>
      </c>
      <c r="W209">
        <v>4</v>
      </c>
      <c r="X209" s="23" t="s">
        <v>54</v>
      </c>
      <c r="Y209" s="23" t="s">
        <v>54</v>
      </c>
      <c r="Z209" s="23">
        <v>0.00196656833824975</v>
      </c>
      <c r="AA209" s="23">
        <v>0.00356824264049955</v>
      </c>
      <c r="AB209">
        <v>0</v>
      </c>
      <c r="AC209">
        <v>0</v>
      </c>
      <c r="AD209">
        <v>0.56</v>
      </c>
      <c r="AE209">
        <v>1.04</v>
      </c>
      <c r="AF209" s="23" t="s">
        <v>54</v>
      </c>
      <c r="AG209" s="23" t="s">
        <v>54</v>
      </c>
      <c r="AH209" s="23">
        <v>0.0350218886804253</v>
      </c>
      <c r="AI209" s="23">
        <v>0.010840108401084</v>
      </c>
      <c r="AJ209">
        <v>29</v>
      </c>
      <c r="AK209">
        <v>5</v>
      </c>
      <c r="AL209">
        <v>5</v>
      </c>
      <c r="AM209">
        <v>23</v>
      </c>
      <c r="AN209" s="23">
        <v>0.0344827586206897</v>
      </c>
      <c r="AO209" s="23">
        <v>0.4</v>
      </c>
      <c r="AP209" s="23">
        <v>0.2</v>
      </c>
      <c r="AQ209" s="23">
        <v>0.260869565217391</v>
      </c>
      <c r="AR209" s="37">
        <v>0.142857142857143</v>
      </c>
      <c r="AS209" s="37">
        <v>8.57142857142857</v>
      </c>
      <c r="AT209" s="37">
        <v>1.42857142857143</v>
      </c>
      <c r="AU209" s="33">
        <f t="shared" si="6"/>
        <v>70</v>
      </c>
      <c r="AV209" s="38">
        <f>IFERROR(时间!$B$4+AU209,"上周无销量")</f>
        <v>43360</v>
      </c>
    </row>
    <row r="210" spans="1:48">
      <c r="A210" s="21" t="s">
        <v>479</v>
      </c>
      <c r="B210" t="s">
        <v>480</v>
      </c>
      <c r="C210" t="s">
        <v>460</v>
      </c>
      <c r="D210" s="33">
        <v>2</v>
      </c>
      <c r="E210" s="33">
        <v>1</v>
      </c>
      <c r="F210" s="33">
        <v>3</v>
      </c>
      <c r="G210" s="33">
        <v>2</v>
      </c>
      <c r="H210" s="34">
        <v>16.99</v>
      </c>
      <c r="I210">
        <v>8</v>
      </c>
      <c r="J210" s="35">
        <v>0</v>
      </c>
      <c r="K210" s="35">
        <v>0</v>
      </c>
      <c r="L210" s="35">
        <v>0</v>
      </c>
      <c r="M210">
        <v>8</v>
      </c>
      <c r="N210">
        <v>0</v>
      </c>
      <c r="O210">
        <v>0</v>
      </c>
      <c r="P210">
        <v>0</v>
      </c>
      <c r="Q210">
        <v>0</v>
      </c>
      <c r="R210">
        <v>1248</v>
      </c>
      <c r="S210">
        <v>1063</v>
      </c>
      <c r="T210">
        <v>0</v>
      </c>
      <c r="U210">
        <v>0</v>
      </c>
      <c r="V210">
        <v>10</v>
      </c>
      <c r="W210">
        <v>7</v>
      </c>
      <c r="X210" s="23" t="s">
        <v>54</v>
      </c>
      <c r="Y210" s="23" t="s">
        <v>54</v>
      </c>
      <c r="Z210" s="23">
        <v>0.00801282051282051</v>
      </c>
      <c r="AA210" s="23">
        <v>0.00658513640639699</v>
      </c>
      <c r="AB210">
        <v>0</v>
      </c>
      <c r="AC210">
        <v>0</v>
      </c>
      <c r="AD210">
        <v>3.1</v>
      </c>
      <c r="AE210">
        <v>2.23</v>
      </c>
      <c r="AF210" s="23" t="s">
        <v>54</v>
      </c>
      <c r="AG210" s="23" t="s">
        <v>54</v>
      </c>
      <c r="AH210" s="23">
        <v>0.0608200902491662</v>
      </c>
      <c r="AI210" s="23">
        <v>0.0656268393172454</v>
      </c>
      <c r="AJ210">
        <v>4</v>
      </c>
      <c r="AK210">
        <v>21</v>
      </c>
      <c r="AL210">
        <v>21</v>
      </c>
      <c r="AM210">
        <v>19</v>
      </c>
      <c r="AN210" s="23">
        <v>0.5</v>
      </c>
      <c r="AO210" s="23">
        <v>0.0476190476190476</v>
      </c>
      <c r="AP210" s="23">
        <v>0.142857142857143</v>
      </c>
      <c r="AQ210" s="23">
        <v>0.105263157894737</v>
      </c>
      <c r="AR210" s="37">
        <v>0.285714285714286</v>
      </c>
      <c r="AS210" s="37">
        <v>17.1428571428571</v>
      </c>
      <c r="AT210" s="37">
        <v>-9.14285714285714</v>
      </c>
      <c r="AU210" s="33">
        <f t="shared" si="6"/>
        <v>28</v>
      </c>
      <c r="AV210" s="38">
        <f>IFERROR(时间!$B$4+AU210,"上周无销量")</f>
        <v>43318</v>
      </c>
    </row>
    <row r="211" spans="1:48">
      <c r="A211" s="21" t="s">
        <v>481</v>
      </c>
      <c r="B211" t="s">
        <v>482</v>
      </c>
      <c r="C211" t="s">
        <v>460</v>
      </c>
      <c r="D211" s="33">
        <v>1</v>
      </c>
      <c r="E211" s="33">
        <v>0</v>
      </c>
      <c r="F211" s="33">
        <v>0</v>
      </c>
      <c r="G211" s="33">
        <v>3</v>
      </c>
      <c r="H211" s="34">
        <v>16.99</v>
      </c>
      <c r="I211">
        <v>7</v>
      </c>
      <c r="J211" s="35">
        <v>0</v>
      </c>
      <c r="K211" s="35">
        <v>0</v>
      </c>
      <c r="L211" s="35">
        <v>0</v>
      </c>
      <c r="M211">
        <v>7</v>
      </c>
      <c r="N211">
        <v>0</v>
      </c>
      <c r="O211">
        <v>0</v>
      </c>
      <c r="P211">
        <v>0</v>
      </c>
      <c r="Q211">
        <v>0</v>
      </c>
      <c r="R211">
        <v>981</v>
      </c>
      <c r="S211">
        <v>853</v>
      </c>
      <c r="T211">
        <v>0</v>
      </c>
      <c r="U211">
        <v>0</v>
      </c>
      <c r="V211">
        <v>3</v>
      </c>
      <c r="W211">
        <v>3</v>
      </c>
      <c r="X211" s="23" t="s">
        <v>54</v>
      </c>
      <c r="Y211" s="23" t="s">
        <v>54</v>
      </c>
      <c r="Z211" s="23">
        <v>0.00305810397553517</v>
      </c>
      <c r="AA211" s="23">
        <v>0.00351699882766706</v>
      </c>
      <c r="AB211">
        <v>0</v>
      </c>
      <c r="AC211">
        <v>0</v>
      </c>
      <c r="AD211">
        <v>0.96</v>
      </c>
      <c r="AE211">
        <v>0.85</v>
      </c>
      <c r="AF211" s="23" t="s">
        <v>54</v>
      </c>
      <c r="AG211" s="23" t="s">
        <v>54</v>
      </c>
      <c r="AH211" s="23">
        <v>0</v>
      </c>
      <c r="AI211" s="23">
        <v>0.0166764763586423</v>
      </c>
      <c r="AJ211">
        <v>7</v>
      </c>
      <c r="AK211">
        <v>4</v>
      </c>
      <c r="AL211">
        <v>4</v>
      </c>
      <c r="AM211">
        <v>10</v>
      </c>
      <c r="AN211" s="23">
        <v>0.142857142857143</v>
      </c>
      <c r="AO211" s="23">
        <v>0</v>
      </c>
      <c r="AP211" s="23">
        <v>0</v>
      </c>
      <c r="AQ211" s="23">
        <v>0.3</v>
      </c>
      <c r="AR211" s="37">
        <v>0.142857142857143</v>
      </c>
      <c r="AS211" s="37">
        <v>8.57142857142857</v>
      </c>
      <c r="AT211" s="37">
        <v>-1.57142857142857</v>
      </c>
      <c r="AU211" s="33">
        <f t="shared" si="6"/>
        <v>49</v>
      </c>
      <c r="AV211" s="38">
        <f>IFERROR(时间!$B$4+AU211,"上周无销量")</f>
        <v>43339</v>
      </c>
    </row>
    <row r="212" spans="1:48">
      <c r="A212" s="21" t="s">
        <v>483</v>
      </c>
      <c r="B212" t="s">
        <v>484</v>
      </c>
      <c r="C212" t="s">
        <v>460</v>
      </c>
      <c r="D212" s="33">
        <v>0</v>
      </c>
      <c r="E212" s="33">
        <v>0</v>
      </c>
      <c r="F212" s="33">
        <v>1</v>
      </c>
      <c r="G212" s="33">
        <v>1</v>
      </c>
      <c r="H212" s="34">
        <v>14.99</v>
      </c>
      <c r="I212">
        <v>10</v>
      </c>
      <c r="J212" s="35">
        <v>0</v>
      </c>
      <c r="K212" s="35">
        <v>0</v>
      </c>
      <c r="L212" s="35">
        <v>0</v>
      </c>
      <c r="M212">
        <v>10</v>
      </c>
      <c r="N212">
        <v>1</v>
      </c>
      <c r="O212">
        <v>0</v>
      </c>
      <c r="P212">
        <v>0</v>
      </c>
      <c r="Q212">
        <v>27332</v>
      </c>
      <c r="R212">
        <v>19939</v>
      </c>
      <c r="S212">
        <v>1825</v>
      </c>
      <c r="T212">
        <v>0</v>
      </c>
      <c r="U212">
        <v>73</v>
      </c>
      <c r="V212">
        <v>61</v>
      </c>
      <c r="W212">
        <v>3</v>
      </c>
      <c r="X212" s="23" t="s">
        <v>54</v>
      </c>
      <c r="Y212" s="23">
        <v>0.00267086199326796</v>
      </c>
      <c r="Z212" s="23">
        <v>0.00305933095942625</v>
      </c>
      <c r="AA212" s="23">
        <v>0.00164383561643836</v>
      </c>
      <c r="AB212">
        <v>0</v>
      </c>
      <c r="AC212">
        <v>19.37</v>
      </c>
      <c r="AD212">
        <v>17.28</v>
      </c>
      <c r="AE212">
        <v>0.85</v>
      </c>
      <c r="AF212" s="23" t="s">
        <v>54</v>
      </c>
      <c r="AG212" s="23">
        <v>0</v>
      </c>
      <c r="AH212" s="23">
        <v>1.15276851234156</v>
      </c>
      <c r="AI212" s="23">
        <v>0.056704469646431</v>
      </c>
      <c r="AJ212">
        <v>7</v>
      </c>
      <c r="AK212">
        <v>20</v>
      </c>
      <c r="AL212">
        <v>20</v>
      </c>
      <c r="AM212">
        <v>17</v>
      </c>
      <c r="AN212" s="23">
        <v>0</v>
      </c>
      <c r="AO212" s="23">
        <v>0</v>
      </c>
      <c r="AP212" s="23">
        <v>0.05</v>
      </c>
      <c r="AQ212" s="23">
        <v>0.0588235294117647</v>
      </c>
      <c r="AR212" s="37">
        <v>0</v>
      </c>
      <c r="AS212" s="37">
        <v>0</v>
      </c>
      <c r="AT212" s="37">
        <v>10</v>
      </c>
      <c r="AU212" s="33" t="str">
        <f t="shared" si="6"/>
        <v>库存为10</v>
      </c>
      <c r="AV212" s="38" t="str">
        <f>IFERROR(时间!$B$4+AU212,"上周无销量")</f>
        <v>上周无销量</v>
      </c>
    </row>
    <row r="213" spans="1:48">
      <c r="A213" s="21" t="s">
        <v>485</v>
      </c>
      <c r="B213" t="s">
        <v>486</v>
      </c>
      <c r="C213" t="s">
        <v>460</v>
      </c>
      <c r="D213" s="33">
        <v>0</v>
      </c>
      <c r="E213" s="33">
        <v>1</v>
      </c>
      <c r="F213" s="33">
        <v>1</v>
      </c>
      <c r="G213" s="33">
        <v>0</v>
      </c>
      <c r="H213" s="34">
        <v>14.99</v>
      </c>
      <c r="I213">
        <v>6</v>
      </c>
      <c r="J213" s="35">
        <v>0</v>
      </c>
      <c r="K213" s="35">
        <v>0</v>
      </c>
      <c r="L213" s="35">
        <v>0</v>
      </c>
      <c r="M213">
        <v>6</v>
      </c>
      <c r="N213">
        <v>0</v>
      </c>
      <c r="O213">
        <v>0</v>
      </c>
      <c r="P213">
        <v>0</v>
      </c>
      <c r="Q213">
        <v>31397</v>
      </c>
      <c r="R213">
        <v>39563</v>
      </c>
      <c r="S213">
        <v>758</v>
      </c>
      <c r="T213">
        <v>0</v>
      </c>
      <c r="U213">
        <v>83</v>
      </c>
      <c r="V213">
        <v>63</v>
      </c>
      <c r="W213">
        <v>2</v>
      </c>
      <c r="X213" s="23" t="s">
        <v>54</v>
      </c>
      <c r="Y213" s="23">
        <v>0.00264356467178393</v>
      </c>
      <c r="Z213" s="23">
        <v>0.00159239693653161</v>
      </c>
      <c r="AA213" s="23">
        <v>0.00263852242744063</v>
      </c>
      <c r="AB213">
        <v>0</v>
      </c>
      <c r="AC213">
        <v>22.71</v>
      </c>
      <c r="AD213">
        <v>17.03</v>
      </c>
      <c r="AE213">
        <v>0.44</v>
      </c>
      <c r="AF213" s="23" t="s">
        <v>54</v>
      </c>
      <c r="AG213" s="23">
        <v>1.51501000667111</v>
      </c>
      <c r="AH213" s="23">
        <v>1.13609072715143</v>
      </c>
      <c r="AI213" s="23">
        <v>0</v>
      </c>
      <c r="AJ213">
        <v>2</v>
      </c>
      <c r="AK213">
        <v>22</v>
      </c>
      <c r="AL213">
        <v>22</v>
      </c>
      <c r="AM213">
        <v>15</v>
      </c>
      <c r="AN213" s="23">
        <v>0</v>
      </c>
      <c r="AO213" s="23">
        <v>0.0454545454545455</v>
      </c>
      <c r="AP213" s="23">
        <v>0.0454545454545455</v>
      </c>
      <c r="AQ213" s="23">
        <v>0</v>
      </c>
      <c r="AR213" s="37">
        <v>0</v>
      </c>
      <c r="AS213" s="37">
        <v>0</v>
      </c>
      <c r="AT213" s="37">
        <v>6</v>
      </c>
      <c r="AU213" s="33" t="str">
        <f t="shared" si="6"/>
        <v>库存为6</v>
      </c>
      <c r="AV213" s="38" t="str">
        <f>IFERROR(时间!$B$4+AU213,"上周无销量")</f>
        <v>上周无销量</v>
      </c>
    </row>
    <row r="214" spans="1:48">
      <c r="A214" s="21" t="s">
        <v>487</v>
      </c>
      <c r="B214" t="s">
        <v>488</v>
      </c>
      <c r="C214" t="s">
        <v>460</v>
      </c>
      <c r="D214" s="33">
        <v>1</v>
      </c>
      <c r="E214" s="33">
        <v>1</v>
      </c>
      <c r="F214" s="33">
        <v>1</v>
      </c>
      <c r="G214" s="33">
        <v>1</v>
      </c>
      <c r="H214" s="34">
        <v>14.99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760</v>
      </c>
      <c r="S214">
        <v>251</v>
      </c>
      <c r="T214">
        <v>0</v>
      </c>
      <c r="U214">
        <v>0</v>
      </c>
      <c r="V214">
        <v>1</v>
      </c>
      <c r="W214">
        <v>1</v>
      </c>
      <c r="X214" s="23" t="s">
        <v>54</v>
      </c>
      <c r="Y214" s="23" t="s">
        <v>54</v>
      </c>
      <c r="Z214" s="23">
        <v>0.00131578947368421</v>
      </c>
      <c r="AA214" s="23">
        <v>0.00398406374501992</v>
      </c>
      <c r="AB214">
        <v>0</v>
      </c>
      <c r="AC214">
        <v>0</v>
      </c>
      <c r="AD214">
        <v>0.33</v>
      </c>
      <c r="AE214">
        <v>0.27</v>
      </c>
      <c r="AF214" s="23" t="s">
        <v>54</v>
      </c>
      <c r="AG214" s="23" t="s">
        <v>54</v>
      </c>
      <c r="AH214" s="23">
        <v>0.0220146764509673</v>
      </c>
      <c r="AI214" s="23">
        <v>0.0180120080053369</v>
      </c>
      <c r="AJ214">
        <v>7</v>
      </c>
      <c r="AK214">
        <v>6</v>
      </c>
      <c r="AL214">
        <v>6</v>
      </c>
      <c r="AM214">
        <v>7</v>
      </c>
      <c r="AN214" s="23">
        <v>0.142857142857143</v>
      </c>
      <c r="AO214" s="23">
        <v>0.166666666666667</v>
      </c>
      <c r="AP214" s="23">
        <v>0.166666666666667</v>
      </c>
      <c r="AQ214" s="23">
        <v>0.142857142857143</v>
      </c>
      <c r="AR214" s="37">
        <v>0.142857142857143</v>
      </c>
      <c r="AS214" s="37">
        <v>8.57142857142857</v>
      </c>
      <c r="AT214" s="37">
        <v>-7.57142857142857</v>
      </c>
      <c r="AU214" s="33">
        <f t="shared" si="6"/>
        <v>7</v>
      </c>
      <c r="AV214" s="38">
        <f>IFERROR(时间!$B$4+AU214,"上周无销量")</f>
        <v>43297</v>
      </c>
    </row>
    <row r="215" spans="1:48">
      <c r="A215" s="21" t="s">
        <v>489</v>
      </c>
      <c r="B215" t="s">
        <v>490</v>
      </c>
      <c r="C215" t="s">
        <v>460</v>
      </c>
      <c r="D215" s="33">
        <v>2</v>
      </c>
      <c r="E215" s="33">
        <v>2</v>
      </c>
      <c r="F215" s="33">
        <v>2</v>
      </c>
      <c r="G215" s="33">
        <v>4</v>
      </c>
      <c r="H215" s="34">
        <v>14.99</v>
      </c>
      <c r="I215">
        <v>5</v>
      </c>
      <c r="J215" s="35">
        <v>0</v>
      </c>
      <c r="K215" s="35">
        <v>0</v>
      </c>
      <c r="L215" s="35">
        <v>0</v>
      </c>
      <c r="M215">
        <v>5</v>
      </c>
      <c r="N215">
        <v>0</v>
      </c>
      <c r="O215">
        <v>0</v>
      </c>
      <c r="P215">
        <v>0</v>
      </c>
      <c r="Q215">
        <v>0</v>
      </c>
      <c r="R215">
        <v>5034</v>
      </c>
      <c r="S215">
        <v>4603</v>
      </c>
      <c r="T215">
        <v>0</v>
      </c>
      <c r="U215">
        <v>0</v>
      </c>
      <c r="V215">
        <v>40</v>
      </c>
      <c r="W215">
        <v>34</v>
      </c>
      <c r="X215" s="23" t="s">
        <v>54</v>
      </c>
      <c r="Y215" s="23" t="s">
        <v>54</v>
      </c>
      <c r="Z215" s="23">
        <v>0.00794596742153357</v>
      </c>
      <c r="AA215" s="23">
        <v>0.00738648707364762</v>
      </c>
      <c r="AB215">
        <v>0</v>
      </c>
      <c r="AC215">
        <v>0</v>
      </c>
      <c r="AD215">
        <v>11.94</v>
      </c>
      <c r="AE215">
        <v>9.98</v>
      </c>
      <c r="AF215" s="23" t="s">
        <v>54</v>
      </c>
      <c r="AG215" s="23" t="s">
        <v>54</v>
      </c>
      <c r="AH215" s="23">
        <v>0.398265510340227</v>
      </c>
      <c r="AI215" s="23">
        <v>0.166444296197465</v>
      </c>
      <c r="AJ215">
        <v>4</v>
      </c>
      <c r="AK215">
        <v>6</v>
      </c>
      <c r="AL215">
        <v>6</v>
      </c>
      <c r="AM215">
        <v>26</v>
      </c>
      <c r="AN215" s="23">
        <v>0.5</v>
      </c>
      <c r="AO215" s="23">
        <v>0.333333333333333</v>
      </c>
      <c r="AP215" s="23">
        <v>0.333333333333333</v>
      </c>
      <c r="AQ215" s="23">
        <v>0.153846153846154</v>
      </c>
      <c r="AR215" s="37">
        <v>0.285714285714286</v>
      </c>
      <c r="AS215" s="37">
        <v>17.1428571428571</v>
      </c>
      <c r="AT215" s="37">
        <v>-12.1428571428571</v>
      </c>
      <c r="AU215" s="33">
        <f t="shared" si="6"/>
        <v>17</v>
      </c>
      <c r="AV215" s="38">
        <f>IFERROR(时间!$B$4+AU215,"上周无销量")</f>
        <v>43307</v>
      </c>
    </row>
    <row r="216" spans="1:48">
      <c r="A216" s="21" t="s">
        <v>491</v>
      </c>
      <c r="B216" t="s">
        <v>492</v>
      </c>
      <c r="C216" t="s">
        <v>493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1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1</v>
      </c>
      <c r="AK216">
        <v>0</v>
      </c>
      <c r="AL216">
        <v>0</v>
      </c>
      <c r="AM216">
        <v>0</v>
      </c>
      <c r="AN216" s="23">
        <v>0</v>
      </c>
      <c r="AO216" s="23" t="s">
        <v>54</v>
      </c>
      <c r="AP216" s="23" t="s">
        <v>54</v>
      </c>
      <c r="AQ216" s="23" t="s">
        <v>54</v>
      </c>
      <c r="AR216" s="37">
        <v>0</v>
      </c>
      <c r="AS216" s="37">
        <v>0</v>
      </c>
      <c r="AT216" s="37">
        <v>1</v>
      </c>
      <c r="AU216" s="33" t="str">
        <f t="shared" si="6"/>
        <v>库存为1</v>
      </c>
      <c r="AV216" s="38" t="str">
        <f>IFERROR(时间!$B$4+AU216,"上周无销量")</f>
        <v>上周无销量</v>
      </c>
    </row>
    <row r="217" spans="1:48">
      <c r="A217" s="21" t="s">
        <v>494</v>
      </c>
      <c r="B217" t="s">
        <v>495</v>
      </c>
      <c r="C217" t="s">
        <v>496</v>
      </c>
      <c r="D217" s="33">
        <v>0</v>
      </c>
      <c r="E217" s="33">
        <v>1</v>
      </c>
      <c r="F217" s="33">
        <v>1</v>
      </c>
      <c r="G217" s="33">
        <v>0</v>
      </c>
      <c r="H217" s="34">
        <v>16.99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2</v>
      </c>
      <c r="AK217">
        <v>3</v>
      </c>
      <c r="AL217">
        <v>3</v>
      </c>
      <c r="AM217">
        <v>3</v>
      </c>
      <c r="AN217" s="23">
        <v>0</v>
      </c>
      <c r="AO217" s="23">
        <v>0.333333333333333</v>
      </c>
      <c r="AP217" s="23">
        <v>0.333333333333333</v>
      </c>
      <c r="AQ217" s="23">
        <v>0</v>
      </c>
      <c r="AR217" s="37">
        <v>0</v>
      </c>
      <c r="AS217" s="37">
        <v>0</v>
      </c>
      <c r="AT217" s="37">
        <v>1</v>
      </c>
      <c r="AU217" s="33" t="str">
        <f t="shared" si="6"/>
        <v>库存为1</v>
      </c>
      <c r="AV217" s="38" t="str">
        <f>IFERROR(时间!$B$4+AU217,"上周无销量")</f>
        <v>上周无销量</v>
      </c>
    </row>
    <row r="218" spans="1:48">
      <c r="A218" s="21" t="s">
        <v>497</v>
      </c>
      <c r="B218" t="s">
        <v>498</v>
      </c>
      <c r="C218" t="s">
        <v>496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1</v>
      </c>
      <c r="J218" s="35">
        <v>0</v>
      </c>
      <c r="K218" s="35">
        <v>0</v>
      </c>
      <c r="L218" s="35">
        <v>0</v>
      </c>
      <c r="M218">
        <v>1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2</v>
      </c>
      <c r="AL218">
        <v>2</v>
      </c>
      <c r="AM218">
        <v>2</v>
      </c>
      <c r="AN218" s="23" t="s">
        <v>54</v>
      </c>
      <c r="AO218" s="23">
        <v>0</v>
      </c>
      <c r="AP218" s="23">
        <v>0</v>
      </c>
      <c r="AQ218" s="23">
        <v>0</v>
      </c>
      <c r="AR218" s="37">
        <v>0</v>
      </c>
      <c r="AS218" s="37">
        <v>0</v>
      </c>
      <c r="AT218" s="37">
        <v>1</v>
      </c>
      <c r="AU218" s="33" t="str">
        <f t="shared" si="6"/>
        <v>库存为1</v>
      </c>
      <c r="AV218" s="38" t="str">
        <f>IFERROR(时间!$B$4+AU218,"上周无销量")</f>
        <v>上周无销量</v>
      </c>
    </row>
    <row r="219" spans="1:48">
      <c r="A219" s="21" t="s">
        <v>499</v>
      </c>
      <c r="B219" t="s">
        <v>500</v>
      </c>
      <c r="C219" t="s">
        <v>496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1</v>
      </c>
      <c r="J219" s="35">
        <v>0</v>
      </c>
      <c r="K219" s="35">
        <v>0</v>
      </c>
      <c r="L219" s="35">
        <v>0</v>
      </c>
      <c r="M219">
        <v>1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3</v>
      </c>
      <c r="AK219">
        <v>1</v>
      </c>
      <c r="AL219">
        <v>1</v>
      </c>
      <c r="AM219">
        <v>2</v>
      </c>
      <c r="AN219" s="23">
        <v>0</v>
      </c>
      <c r="AO219" s="23">
        <v>0</v>
      </c>
      <c r="AP219" s="23">
        <v>0</v>
      </c>
      <c r="AQ219" s="23">
        <v>0</v>
      </c>
      <c r="AR219" s="37">
        <v>0</v>
      </c>
      <c r="AS219" s="37">
        <v>0</v>
      </c>
      <c r="AT219" s="37">
        <v>1</v>
      </c>
      <c r="AU219" s="33" t="str">
        <f t="shared" si="6"/>
        <v>库存为1</v>
      </c>
      <c r="AV219" s="38" t="str">
        <f>IFERROR(时间!$B$4+AU219,"上周无销量")</f>
        <v>上周无销量</v>
      </c>
    </row>
    <row r="220" spans="1:48">
      <c r="A220" s="21" t="s">
        <v>501</v>
      </c>
      <c r="B220" t="s">
        <v>502</v>
      </c>
      <c r="C220" t="s">
        <v>496</v>
      </c>
      <c r="D220" s="33">
        <v>0</v>
      </c>
      <c r="E220" s="33">
        <v>0</v>
      </c>
      <c r="F220" s="33">
        <v>1</v>
      </c>
      <c r="G220" s="33">
        <v>1</v>
      </c>
      <c r="H220" s="34">
        <v>17.99</v>
      </c>
      <c r="I220">
        <v>1</v>
      </c>
      <c r="J220" s="35">
        <v>0</v>
      </c>
      <c r="K220" s="35">
        <v>0</v>
      </c>
      <c r="L220" s="35">
        <v>0</v>
      </c>
      <c r="M220">
        <v>1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5</v>
      </c>
      <c r="AK220">
        <v>0</v>
      </c>
      <c r="AL220">
        <v>0</v>
      </c>
      <c r="AM220">
        <v>1</v>
      </c>
      <c r="AN220" s="23">
        <v>0</v>
      </c>
      <c r="AO220" s="23" t="s">
        <v>54</v>
      </c>
      <c r="AP220" s="23" t="s">
        <v>54</v>
      </c>
      <c r="AQ220" s="23">
        <v>1</v>
      </c>
      <c r="AR220" s="37">
        <v>0</v>
      </c>
      <c r="AS220" s="37">
        <v>0</v>
      </c>
      <c r="AT220" s="37">
        <v>1</v>
      </c>
      <c r="AU220" s="33" t="str">
        <f t="shared" si="6"/>
        <v>库存为1</v>
      </c>
      <c r="AV220" s="38" t="str">
        <f>IFERROR(时间!$B$4+AU220,"上周无销量")</f>
        <v>上周无销量</v>
      </c>
    </row>
    <row r="221" spans="1:48">
      <c r="A221" s="21" t="s">
        <v>503</v>
      </c>
      <c r="B221" t="s">
        <v>504</v>
      </c>
      <c r="C221" t="s">
        <v>505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7">
        <v>0</v>
      </c>
      <c r="AS221" s="37">
        <v>0</v>
      </c>
      <c r="AT221" s="37">
        <v>0</v>
      </c>
      <c r="AU221" s="33" t="str">
        <f t="shared" si="6"/>
        <v>库存为0</v>
      </c>
      <c r="AV221" s="38" t="str">
        <f>IFERROR(时间!$B$4+AU221,"上周无销量")</f>
        <v>上周无销量</v>
      </c>
    </row>
    <row r="222" spans="1:48">
      <c r="A222" s="21" t="s">
        <v>506</v>
      </c>
      <c r="B222" t="s">
        <v>507</v>
      </c>
      <c r="C222" t="s">
        <v>505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7">
        <v>0</v>
      </c>
      <c r="AS222" s="37">
        <v>0</v>
      </c>
      <c r="AT222" s="37">
        <v>0</v>
      </c>
      <c r="AU222" s="33" t="str">
        <f t="shared" si="6"/>
        <v>库存为0</v>
      </c>
      <c r="AV222" s="38" t="str">
        <f>IFERROR(时间!$B$4+AU222,"上周无销量")</f>
        <v>上周无销量</v>
      </c>
    </row>
    <row r="223" spans="1:48">
      <c r="A223" s="21" t="s">
        <v>508</v>
      </c>
      <c r="B223" t="s">
        <v>509</v>
      </c>
      <c r="C223" t="s">
        <v>505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4</v>
      </c>
      <c r="J223" s="35">
        <v>0</v>
      </c>
      <c r="K223" s="35">
        <v>0</v>
      </c>
      <c r="L223" s="35">
        <v>0</v>
      </c>
      <c r="M223">
        <v>4</v>
      </c>
      <c r="N223">
        <v>0</v>
      </c>
      <c r="O223">
        <v>1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7">
        <v>0</v>
      </c>
      <c r="AS223" s="37">
        <v>0</v>
      </c>
      <c r="AT223" s="37">
        <v>4</v>
      </c>
      <c r="AU223" s="33" t="str">
        <f t="shared" si="6"/>
        <v>库存为4</v>
      </c>
      <c r="AV223" s="38" t="str">
        <f>IFERROR(时间!$B$4+AU223,"上周无销量")</f>
        <v>上周无销量</v>
      </c>
    </row>
    <row r="224" spans="1:48">
      <c r="A224" s="21" t="s">
        <v>510</v>
      </c>
      <c r="B224" t="s">
        <v>511</v>
      </c>
      <c r="C224" t="s">
        <v>505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10</v>
      </c>
      <c r="J224" s="35">
        <v>0</v>
      </c>
      <c r="K224" s="35">
        <v>0</v>
      </c>
      <c r="L224" s="35">
        <v>0</v>
      </c>
      <c r="M224">
        <v>10</v>
      </c>
      <c r="N224">
        <v>0</v>
      </c>
      <c r="O224">
        <v>8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7">
        <v>0</v>
      </c>
      <c r="AS224" s="37">
        <v>0</v>
      </c>
      <c r="AT224" s="37">
        <v>10</v>
      </c>
      <c r="AU224" s="33" t="str">
        <f t="shared" si="6"/>
        <v>库存为10</v>
      </c>
      <c r="AV224" s="38" t="str">
        <f>IFERROR(时间!$B$4+AU224,"上周无销量")</f>
        <v>上周无销量</v>
      </c>
    </row>
    <row r="225" spans="1:48">
      <c r="A225" s="21" t="s">
        <v>512</v>
      </c>
      <c r="B225" t="s">
        <v>513</v>
      </c>
      <c r="C225" t="s">
        <v>505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3</v>
      </c>
      <c r="J225" s="35">
        <v>0</v>
      </c>
      <c r="K225" s="35">
        <v>0</v>
      </c>
      <c r="L225" s="35">
        <v>0</v>
      </c>
      <c r="M225">
        <v>3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7">
        <v>0</v>
      </c>
      <c r="AS225" s="37">
        <v>0</v>
      </c>
      <c r="AT225" s="37">
        <v>3</v>
      </c>
      <c r="AU225" s="33" t="str">
        <f t="shared" si="6"/>
        <v>库存为3</v>
      </c>
      <c r="AV225" s="38" t="str">
        <f>IFERROR(时间!$B$4+AU225,"上周无销量")</f>
        <v>上周无销量</v>
      </c>
    </row>
    <row r="226" spans="1:48">
      <c r="A226" s="21" t="s">
        <v>514</v>
      </c>
      <c r="B226" t="s">
        <v>515</v>
      </c>
      <c r="C226" t="s">
        <v>505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5</v>
      </c>
      <c r="J226" s="35">
        <v>0</v>
      </c>
      <c r="K226" s="35">
        <v>0</v>
      </c>
      <c r="L226" s="35">
        <v>0</v>
      </c>
      <c r="M226">
        <v>5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7">
        <v>0</v>
      </c>
      <c r="AS226" s="37">
        <v>0</v>
      </c>
      <c r="AT226" s="37">
        <v>5</v>
      </c>
      <c r="AU226" s="33" t="str">
        <f t="shared" si="6"/>
        <v>库存为5</v>
      </c>
      <c r="AV226" s="38" t="str">
        <f>IFERROR(时间!$B$4+AU226,"上周无销量")</f>
        <v>上周无销量</v>
      </c>
    </row>
    <row r="227" spans="1:48">
      <c r="A227" s="21" t="s">
        <v>516</v>
      </c>
      <c r="B227" t="s">
        <v>517</v>
      </c>
      <c r="C227" t="s">
        <v>505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14</v>
      </c>
      <c r="J227" s="35">
        <v>0</v>
      </c>
      <c r="K227" s="35">
        <v>0</v>
      </c>
      <c r="L227" s="35">
        <v>0</v>
      </c>
      <c r="M227">
        <v>14</v>
      </c>
      <c r="N227">
        <v>0</v>
      </c>
      <c r="O227">
        <v>13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7">
        <v>0</v>
      </c>
      <c r="AS227" s="37">
        <v>0</v>
      </c>
      <c r="AT227" s="37">
        <v>14</v>
      </c>
      <c r="AU227" s="33" t="str">
        <f t="shared" si="6"/>
        <v>库存为14</v>
      </c>
      <c r="AV227" s="38" t="str">
        <f>IFERROR(时间!$B$4+AU227,"上周无销量")</f>
        <v>上周无销量</v>
      </c>
    </row>
    <row r="228" spans="1:48">
      <c r="A228" s="21" t="s">
        <v>518</v>
      </c>
      <c r="B228" t="s">
        <v>519</v>
      </c>
      <c r="C228" t="s">
        <v>505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1</v>
      </c>
      <c r="J228" s="35">
        <v>0</v>
      </c>
      <c r="K228" s="35">
        <v>0</v>
      </c>
      <c r="L228" s="35">
        <v>0</v>
      </c>
      <c r="M228">
        <v>1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7">
        <v>0</v>
      </c>
      <c r="AS228" s="37">
        <v>0</v>
      </c>
      <c r="AT228" s="37">
        <v>1</v>
      </c>
      <c r="AU228" s="33" t="str">
        <f t="shared" si="6"/>
        <v>库存为1</v>
      </c>
      <c r="AV228" s="38" t="str">
        <f>IFERROR(时间!$B$4+AU228,"上周无销量")</f>
        <v>上周无销量</v>
      </c>
    </row>
    <row r="229" spans="1:48">
      <c r="A229" s="21" t="s">
        <v>520</v>
      </c>
      <c r="B229" t="s">
        <v>521</v>
      </c>
      <c r="C229" t="s">
        <v>505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0</v>
      </c>
      <c r="J229" s="35">
        <v>0</v>
      </c>
      <c r="K229" s="35">
        <v>0</v>
      </c>
      <c r="L229" s="35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7">
        <v>0</v>
      </c>
      <c r="AS229" s="37">
        <v>0</v>
      </c>
      <c r="AT229" s="37">
        <v>0</v>
      </c>
      <c r="AU229" s="33" t="str">
        <f t="shared" si="6"/>
        <v>库存为0</v>
      </c>
      <c r="AV229" s="38" t="str">
        <f>IFERROR(时间!$B$4+AU229,"上周无销量")</f>
        <v>上周无销量</v>
      </c>
    </row>
    <row r="230" spans="1:48">
      <c r="A230" s="21" t="s">
        <v>522</v>
      </c>
      <c r="B230" t="s">
        <v>523</v>
      </c>
      <c r="C230" t="s">
        <v>505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0</v>
      </c>
      <c r="J230" s="35">
        <v>0</v>
      </c>
      <c r="K230" s="35">
        <v>0</v>
      </c>
      <c r="L230" s="35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7">
        <v>0</v>
      </c>
      <c r="AS230" s="37">
        <v>0</v>
      </c>
      <c r="AT230" s="37">
        <v>0</v>
      </c>
      <c r="AU230" s="33" t="str">
        <f t="shared" si="6"/>
        <v>库存为0</v>
      </c>
      <c r="AV230" s="38" t="str">
        <f>IFERROR(时间!$B$4+AU230,"上周无销量")</f>
        <v>上周无销量</v>
      </c>
    </row>
    <row r="231" spans="1:48">
      <c r="A231" s="21" t="s">
        <v>524</v>
      </c>
      <c r="B231" t="s">
        <v>525</v>
      </c>
      <c r="C231" t="s">
        <v>505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0</v>
      </c>
      <c r="J231" s="35">
        <v>0</v>
      </c>
      <c r="K231" s="35">
        <v>0</v>
      </c>
      <c r="L231" s="35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s">
        <v>54</v>
      </c>
      <c r="AO231" s="23" t="s">
        <v>54</v>
      </c>
      <c r="AP231" s="23" t="s">
        <v>54</v>
      </c>
      <c r="AQ231" s="23" t="s">
        <v>54</v>
      </c>
      <c r="AR231" s="37">
        <v>0</v>
      </c>
      <c r="AS231" s="37">
        <v>0</v>
      </c>
      <c r="AT231" s="37">
        <v>0</v>
      </c>
      <c r="AU231" s="33" t="str">
        <f t="shared" si="6"/>
        <v>库存为0</v>
      </c>
      <c r="AV231" s="38" t="str">
        <f>IFERROR(时间!$B$4+AU231,"上周无销量")</f>
        <v>上周无销量</v>
      </c>
    </row>
    <row r="232" spans="1:48">
      <c r="A232" s="21" t="s">
        <v>526</v>
      </c>
      <c r="B232" t="s">
        <v>527</v>
      </c>
      <c r="C232" t="s">
        <v>505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8</v>
      </c>
      <c r="J232" s="35">
        <v>0</v>
      </c>
      <c r="K232" s="35">
        <v>0</v>
      </c>
      <c r="L232" s="35">
        <v>0</v>
      </c>
      <c r="M232">
        <v>8</v>
      </c>
      <c r="N232">
        <v>0</v>
      </c>
      <c r="O232">
        <v>3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7">
        <v>0</v>
      </c>
      <c r="AS232" s="37">
        <v>0</v>
      </c>
      <c r="AT232" s="37">
        <v>8</v>
      </c>
      <c r="AU232" s="33" t="str">
        <f t="shared" si="6"/>
        <v>库存为8</v>
      </c>
      <c r="AV232" s="38" t="str">
        <f>IFERROR(时间!$B$4+AU232,"上周无销量")</f>
        <v>上周无销量</v>
      </c>
    </row>
    <row r="233" spans="1:48">
      <c r="A233" s="21" t="s">
        <v>528</v>
      </c>
      <c r="B233" t="s">
        <v>529</v>
      </c>
      <c r="C233" t="s">
        <v>530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0</v>
      </c>
      <c r="J233" s="35">
        <v>0</v>
      </c>
      <c r="K233" s="35">
        <v>0</v>
      </c>
      <c r="L233" s="35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7">
        <v>0</v>
      </c>
      <c r="AS233" s="37">
        <v>0</v>
      </c>
      <c r="AT233" s="37">
        <v>0</v>
      </c>
      <c r="AU233" s="33" t="str">
        <f t="shared" si="6"/>
        <v>库存为0</v>
      </c>
      <c r="AV233" s="38" t="str">
        <f>IFERROR(时间!$B$4+AU233,"上周无销量")</f>
        <v>上周无销量</v>
      </c>
    </row>
    <row r="234" spans="1:48">
      <c r="A234" s="21" t="s">
        <v>531</v>
      </c>
      <c r="B234" t="s">
        <v>532</v>
      </c>
      <c r="C234" t="s">
        <v>533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0</v>
      </c>
      <c r="J234" s="35">
        <v>0</v>
      </c>
      <c r="K234" s="35">
        <v>0</v>
      </c>
      <c r="L234" s="35">
        <v>0</v>
      </c>
      <c r="M234">
        <v>0</v>
      </c>
      <c r="N234">
        <v>0</v>
      </c>
      <c r="O234">
        <v>1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7</v>
      </c>
      <c r="AK234">
        <v>3</v>
      </c>
      <c r="AL234">
        <v>3</v>
      </c>
      <c r="AM234">
        <v>2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0</v>
      </c>
      <c r="AU234" s="33" t="str">
        <f t="shared" si="6"/>
        <v>库存为0</v>
      </c>
      <c r="AV234" s="38" t="str">
        <f>IFERROR(时间!$B$4+AU234,"上周无销量")</f>
        <v>上周无销量</v>
      </c>
    </row>
    <row r="235" spans="1:48">
      <c r="A235" s="21" t="s">
        <v>534</v>
      </c>
      <c r="B235" t="s">
        <v>535</v>
      </c>
      <c r="C235" t="s">
        <v>533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0</v>
      </c>
      <c r="J235" s="35">
        <v>0</v>
      </c>
      <c r="K235" s="35">
        <v>0</v>
      </c>
      <c r="L235" s="35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7">
        <v>0</v>
      </c>
      <c r="AS235" s="37">
        <v>0</v>
      </c>
      <c r="AT235" s="37">
        <v>0</v>
      </c>
      <c r="AU235" s="33" t="str">
        <f t="shared" si="6"/>
        <v>库存为0</v>
      </c>
      <c r="AV235" s="38" t="str">
        <f>IFERROR(时间!$B$4+AU235,"上周无销量")</f>
        <v>上周无销量</v>
      </c>
    </row>
    <row r="236" spans="1:48">
      <c r="A236" s="21" t="s">
        <v>536</v>
      </c>
      <c r="B236" t="s">
        <v>537</v>
      </c>
      <c r="C236" t="s">
        <v>538</v>
      </c>
      <c r="D236" s="33">
        <v>0</v>
      </c>
      <c r="E236" s="33">
        <v>0</v>
      </c>
      <c r="F236" s="33">
        <v>0</v>
      </c>
      <c r="G236" s="33">
        <v>1</v>
      </c>
      <c r="H236" s="34">
        <v>16.99</v>
      </c>
      <c r="I236">
        <v>3</v>
      </c>
      <c r="J236" s="35">
        <v>0</v>
      </c>
      <c r="K236" s="35">
        <v>0</v>
      </c>
      <c r="L236" s="35">
        <v>0</v>
      </c>
      <c r="M236">
        <v>3</v>
      </c>
      <c r="N236">
        <v>1</v>
      </c>
      <c r="O236">
        <v>3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4</v>
      </c>
      <c r="AK236">
        <v>1</v>
      </c>
      <c r="AL236">
        <v>1</v>
      </c>
      <c r="AM236">
        <v>3</v>
      </c>
      <c r="AN236" s="23">
        <v>0</v>
      </c>
      <c r="AO236" s="23">
        <v>0</v>
      </c>
      <c r="AP236" s="23">
        <v>0</v>
      </c>
      <c r="AQ236" s="23">
        <v>0.333333333333333</v>
      </c>
      <c r="AR236" s="37">
        <v>0</v>
      </c>
      <c r="AS236" s="37">
        <v>0</v>
      </c>
      <c r="AT236" s="37">
        <v>3</v>
      </c>
      <c r="AU236" s="33" t="str">
        <f t="shared" si="6"/>
        <v>库存为3</v>
      </c>
      <c r="AV236" s="38" t="str">
        <f>IFERROR(时间!$B$4+AU236,"上周无销量")</f>
        <v>上周无销量</v>
      </c>
    </row>
    <row r="237" spans="1:48">
      <c r="A237" s="21" t="s">
        <v>539</v>
      </c>
      <c r="B237" t="s">
        <v>540</v>
      </c>
      <c r="C237" t="s">
        <v>538</v>
      </c>
      <c r="D237" s="33">
        <v>0</v>
      </c>
      <c r="E237" s="33">
        <v>1</v>
      </c>
      <c r="F237" s="33">
        <v>0</v>
      </c>
      <c r="G237" s="33">
        <v>0</v>
      </c>
      <c r="H237" s="34">
        <v>16.99</v>
      </c>
      <c r="I237">
        <v>0</v>
      </c>
      <c r="J237" s="35">
        <v>0</v>
      </c>
      <c r="K237" s="35">
        <v>0</v>
      </c>
      <c r="L237" s="35">
        <v>0</v>
      </c>
      <c r="M237">
        <v>0</v>
      </c>
      <c r="N237">
        <v>0</v>
      </c>
      <c r="O237">
        <v>1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2</v>
      </c>
      <c r="AK237">
        <v>0</v>
      </c>
      <c r="AL237">
        <v>0</v>
      </c>
      <c r="AM237">
        <v>2</v>
      </c>
      <c r="AN237" s="23">
        <v>0</v>
      </c>
      <c r="AO237" s="23" t="s">
        <v>54</v>
      </c>
      <c r="AP237" s="23" t="s">
        <v>54</v>
      </c>
      <c r="AQ237" s="23">
        <v>0</v>
      </c>
      <c r="AR237" s="37">
        <v>0</v>
      </c>
      <c r="AS237" s="37">
        <v>0</v>
      </c>
      <c r="AT237" s="37">
        <v>0</v>
      </c>
      <c r="AU237" s="33" t="str">
        <f t="shared" si="6"/>
        <v>库存为0</v>
      </c>
      <c r="AV237" s="38" t="str">
        <f>IFERROR(时间!$B$4+AU237,"上周无销量")</f>
        <v>上周无销量</v>
      </c>
    </row>
    <row r="238" spans="1:48">
      <c r="A238" s="21" t="s">
        <v>541</v>
      </c>
      <c r="B238" t="s">
        <v>542</v>
      </c>
      <c r="C238" t="s">
        <v>538</v>
      </c>
      <c r="D238" s="33">
        <v>0</v>
      </c>
      <c r="E238" s="33">
        <v>0</v>
      </c>
      <c r="F238" s="33">
        <v>1</v>
      </c>
      <c r="G238" s="33">
        <v>0</v>
      </c>
      <c r="H238" s="34">
        <v>16.99</v>
      </c>
      <c r="I238">
        <v>0</v>
      </c>
      <c r="J238" s="35">
        <v>0</v>
      </c>
      <c r="K238" s="35">
        <v>0</v>
      </c>
      <c r="L238" s="35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1</v>
      </c>
      <c r="AL238">
        <v>1</v>
      </c>
      <c r="AM238">
        <v>2</v>
      </c>
      <c r="AN238" s="23" t="s">
        <v>54</v>
      </c>
      <c r="AO238" s="23">
        <v>0</v>
      </c>
      <c r="AP238" s="23">
        <v>1</v>
      </c>
      <c r="AQ238" s="23">
        <v>0</v>
      </c>
      <c r="AR238" s="37">
        <v>0</v>
      </c>
      <c r="AS238" s="37">
        <v>0</v>
      </c>
      <c r="AT238" s="37">
        <v>0</v>
      </c>
      <c r="AU238" s="33" t="str">
        <f t="shared" si="6"/>
        <v>库存为0</v>
      </c>
      <c r="AV238" s="38" t="str">
        <f>IFERROR(时间!$B$4+AU238,"上周无销量")</f>
        <v>上周无销量</v>
      </c>
    </row>
    <row r="239" spans="1:48">
      <c r="A239" s="21" t="s">
        <v>543</v>
      </c>
      <c r="B239" t="s">
        <v>544</v>
      </c>
      <c r="C239" t="s">
        <v>545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1</v>
      </c>
      <c r="AK239">
        <v>2</v>
      </c>
      <c r="AL239">
        <v>2</v>
      </c>
      <c r="AM239">
        <v>0</v>
      </c>
      <c r="AN239" s="23">
        <v>0</v>
      </c>
      <c r="AO239" s="23">
        <v>0</v>
      </c>
      <c r="AP239" s="23">
        <v>0</v>
      </c>
      <c r="AQ239" s="23" t="s">
        <v>54</v>
      </c>
      <c r="AR239" s="37">
        <v>0</v>
      </c>
      <c r="AS239" s="37">
        <v>0</v>
      </c>
      <c r="AT239" s="37">
        <v>1</v>
      </c>
      <c r="AU239" s="33" t="str">
        <f t="shared" si="6"/>
        <v>库存为1</v>
      </c>
      <c r="AV239" s="38" t="str">
        <f>IFERROR(时间!$B$4+AU239,"上周无销量")</f>
        <v>上周无销量</v>
      </c>
    </row>
    <row r="240" spans="1:48">
      <c r="A240" s="21" t="s">
        <v>546</v>
      </c>
      <c r="B240" t="s">
        <v>547</v>
      </c>
      <c r="C240" t="s">
        <v>548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5</v>
      </c>
      <c r="J240" s="35">
        <v>0</v>
      </c>
      <c r="K240" s="35">
        <v>0</v>
      </c>
      <c r="L240" s="35">
        <v>0</v>
      </c>
      <c r="M240">
        <v>5</v>
      </c>
      <c r="N240">
        <v>0</v>
      </c>
      <c r="O240">
        <v>5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2</v>
      </c>
      <c r="AK240">
        <v>0</v>
      </c>
      <c r="AL240">
        <v>0</v>
      </c>
      <c r="AM240">
        <v>0</v>
      </c>
      <c r="AN240" s="23">
        <v>0</v>
      </c>
      <c r="AO240" s="23" t="s">
        <v>54</v>
      </c>
      <c r="AP240" s="23" t="s">
        <v>54</v>
      </c>
      <c r="AQ240" s="23" t="s">
        <v>54</v>
      </c>
      <c r="AR240" s="37">
        <v>0</v>
      </c>
      <c r="AS240" s="37">
        <v>0</v>
      </c>
      <c r="AT240" s="37">
        <v>5</v>
      </c>
      <c r="AU240" s="33" t="str">
        <f t="shared" si="6"/>
        <v>库存为5</v>
      </c>
      <c r="AV240" s="38" t="str">
        <f>IFERROR(时间!$B$4+AU240,"上周无销量")</f>
        <v>上周无销量</v>
      </c>
    </row>
    <row r="241" spans="1:48">
      <c r="A241" s="21" t="s">
        <v>549</v>
      </c>
      <c r="B241" t="s">
        <v>550</v>
      </c>
      <c r="C241" t="s">
        <v>548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2</v>
      </c>
      <c r="AL241">
        <v>2</v>
      </c>
      <c r="AM241">
        <v>0</v>
      </c>
      <c r="AN241" s="23" t="s">
        <v>54</v>
      </c>
      <c r="AO241" s="23">
        <v>0</v>
      </c>
      <c r="AP241" s="23">
        <v>0</v>
      </c>
      <c r="AQ241" s="23" t="s">
        <v>54</v>
      </c>
      <c r="AR241" s="37">
        <v>0</v>
      </c>
      <c r="AS241" s="37">
        <v>0</v>
      </c>
      <c r="AT241" s="37">
        <v>1</v>
      </c>
      <c r="AU241" s="33" t="str">
        <f t="shared" si="6"/>
        <v>库存为1</v>
      </c>
      <c r="AV241" s="38" t="str">
        <f>IFERROR(时间!$B$4+AU241,"上周无销量")</f>
        <v>上周无销量</v>
      </c>
    </row>
    <row r="242" spans="1:48">
      <c r="A242" s="21" t="s">
        <v>551</v>
      </c>
      <c r="B242" t="s">
        <v>552</v>
      </c>
      <c r="C242" t="s">
        <v>553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0</v>
      </c>
      <c r="J242" s="35">
        <v>0</v>
      </c>
      <c r="K242" s="35">
        <v>0</v>
      </c>
      <c r="L242" s="35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s">
        <v>54</v>
      </c>
      <c r="AO242" s="23" t="s">
        <v>54</v>
      </c>
      <c r="AP242" s="23" t="s">
        <v>54</v>
      </c>
      <c r="AQ242" s="23" t="s">
        <v>54</v>
      </c>
      <c r="AR242" s="37">
        <v>0</v>
      </c>
      <c r="AS242" s="37">
        <v>0</v>
      </c>
      <c r="AT242" s="37">
        <v>0</v>
      </c>
      <c r="AU242" s="33" t="str">
        <f t="shared" si="6"/>
        <v>库存为0</v>
      </c>
      <c r="AV242" s="38" t="str">
        <f>IFERROR(时间!$B$4+AU242,"上周无销量")</f>
        <v>上周无销量</v>
      </c>
    </row>
    <row r="243" spans="1:48">
      <c r="A243" s="21" t="s">
        <v>554</v>
      </c>
      <c r="B243" t="s">
        <v>555</v>
      </c>
      <c r="C243" t="s">
        <v>553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2</v>
      </c>
      <c r="J243" s="35">
        <v>0</v>
      </c>
      <c r="K243" s="35">
        <v>0</v>
      </c>
      <c r="L243" s="35">
        <v>0</v>
      </c>
      <c r="M243">
        <v>2</v>
      </c>
      <c r="N243">
        <v>0</v>
      </c>
      <c r="O243">
        <v>2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2</v>
      </c>
      <c r="AK243">
        <v>5</v>
      </c>
      <c r="AL243">
        <v>5</v>
      </c>
      <c r="AM243">
        <v>6</v>
      </c>
      <c r="AN243" s="23">
        <v>0</v>
      </c>
      <c r="AO243" s="23">
        <v>0</v>
      </c>
      <c r="AP243" s="23">
        <v>0</v>
      </c>
      <c r="AQ243" s="23">
        <v>0</v>
      </c>
      <c r="AR243" s="37">
        <v>0</v>
      </c>
      <c r="AS243" s="37">
        <v>0</v>
      </c>
      <c r="AT243" s="37">
        <v>2</v>
      </c>
      <c r="AU243" s="33" t="str">
        <f t="shared" si="6"/>
        <v>库存为2</v>
      </c>
      <c r="AV243" s="38" t="str">
        <f>IFERROR(时间!$B$4+AU243,"上周无销量")</f>
        <v>上周无销量</v>
      </c>
    </row>
    <row r="244" spans="1:48">
      <c r="A244" s="21" t="s">
        <v>556</v>
      </c>
      <c r="B244" t="s">
        <v>557</v>
      </c>
      <c r="C244" t="s">
        <v>558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2</v>
      </c>
      <c r="J244" s="35">
        <v>0</v>
      </c>
      <c r="K244" s="35">
        <v>0</v>
      </c>
      <c r="L244" s="35">
        <v>0</v>
      </c>
      <c r="M244">
        <v>2</v>
      </c>
      <c r="N244">
        <v>0</v>
      </c>
      <c r="O244">
        <v>2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3</v>
      </c>
      <c r="AK244">
        <v>2</v>
      </c>
      <c r="AL244">
        <v>2</v>
      </c>
      <c r="AM244">
        <v>2</v>
      </c>
      <c r="AN244" s="23">
        <v>0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2</v>
      </c>
      <c r="AU244" s="33" t="str">
        <f t="shared" si="6"/>
        <v>库存为2</v>
      </c>
      <c r="AV244" s="38" t="str">
        <f>IFERROR(时间!$B$4+AU244,"上周无销量")</f>
        <v>上周无销量</v>
      </c>
    </row>
    <row r="245" spans="1:48">
      <c r="A245" s="21" t="s">
        <v>559</v>
      </c>
      <c r="B245" t="s">
        <v>560</v>
      </c>
      <c r="C245" t="s">
        <v>558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2</v>
      </c>
      <c r="J245" s="35">
        <v>0</v>
      </c>
      <c r="K245" s="35">
        <v>0</v>
      </c>
      <c r="L245" s="35">
        <v>0</v>
      </c>
      <c r="M245">
        <v>2</v>
      </c>
      <c r="N245">
        <v>0</v>
      </c>
      <c r="O245">
        <v>2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4</v>
      </c>
      <c r="AK245">
        <v>2</v>
      </c>
      <c r="AL245">
        <v>2</v>
      </c>
      <c r="AM245">
        <v>0</v>
      </c>
      <c r="AN245" s="23">
        <v>0</v>
      </c>
      <c r="AO245" s="23">
        <v>0</v>
      </c>
      <c r="AP245" s="23">
        <v>0</v>
      </c>
      <c r="AQ245" s="23" t="s">
        <v>54</v>
      </c>
      <c r="AR245" s="37">
        <v>0</v>
      </c>
      <c r="AS245" s="37">
        <v>0</v>
      </c>
      <c r="AT245" s="37">
        <v>2</v>
      </c>
      <c r="AU245" s="33" t="str">
        <f t="shared" si="6"/>
        <v>库存为2</v>
      </c>
      <c r="AV245" s="38" t="str">
        <f>IFERROR(时间!$B$4+AU245,"上周无销量")</f>
        <v>上周无销量</v>
      </c>
    </row>
    <row r="246" spans="1:48">
      <c r="A246" s="21" t="s">
        <v>561</v>
      </c>
      <c r="B246" t="s">
        <v>562</v>
      </c>
      <c r="C246" t="s">
        <v>558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0</v>
      </c>
      <c r="J246" s="35">
        <v>0</v>
      </c>
      <c r="K246" s="35">
        <v>0</v>
      </c>
      <c r="L246" s="35">
        <v>0</v>
      </c>
      <c r="M246">
        <v>0</v>
      </c>
      <c r="N246">
        <v>1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s">
        <v>54</v>
      </c>
      <c r="AO246" s="23" t="s">
        <v>54</v>
      </c>
      <c r="AP246" s="23" t="s">
        <v>54</v>
      </c>
      <c r="AQ246" s="23" t="s">
        <v>54</v>
      </c>
      <c r="AR246" s="37">
        <v>0</v>
      </c>
      <c r="AS246" s="37">
        <v>0</v>
      </c>
      <c r="AT246" s="37">
        <v>0</v>
      </c>
      <c r="AU246" s="33" t="str">
        <f t="shared" si="6"/>
        <v>库存为0</v>
      </c>
      <c r="AV246" s="38" t="str">
        <f>IFERROR(时间!$B$4+AU246,"上周无销量")</f>
        <v>上周无销量</v>
      </c>
    </row>
    <row r="247" spans="1:48">
      <c r="A247" s="21" t="s">
        <v>563</v>
      </c>
      <c r="B247" t="s">
        <v>564</v>
      </c>
      <c r="C247" t="s">
        <v>558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s">
        <v>54</v>
      </c>
      <c r="AO247" s="23" t="s">
        <v>54</v>
      </c>
      <c r="AP247" s="23" t="s">
        <v>54</v>
      </c>
      <c r="AQ247" s="23" t="s">
        <v>54</v>
      </c>
      <c r="AR247" s="37">
        <v>0</v>
      </c>
      <c r="AS247" s="37">
        <v>0</v>
      </c>
      <c r="AT247" s="37">
        <v>0</v>
      </c>
      <c r="AU247" s="33" t="str">
        <f t="shared" si="6"/>
        <v>库存为0</v>
      </c>
      <c r="AV247" s="38" t="str">
        <f>IFERROR(时间!$B$4+AU247,"上周无销量")</f>
        <v>上周无销量</v>
      </c>
    </row>
    <row r="248" spans="1:48">
      <c r="A248" s="21" t="s">
        <v>565</v>
      </c>
      <c r="B248" t="s">
        <v>566</v>
      </c>
      <c r="C248" t="s">
        <v>558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4</v>
      </c>
      <c r="AK248">
        <v>0</v>
      </c>
      <c r="AL248">
        <v>0</v>
      </c>
      <c r="AM248">
        <v>2</v>
      </c>
      <c r="AN248" s="23">
        <v>0</v>
      </c>
      <c r="AO248" s="23" t="s">
        <v>54</v>
      </c>
      <c r="AP248" s="23" t="s">
        <v>54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6"/>
        <v>库存为2</v>
      </c>
      <c r="AV248" s="38" t="str">
        <f>IFERROR(时间!$B$4+AU248,"上周无销量")</f>
        <v>上周无销量</v>
      </c>
    </row>
    <row r="249" spans="1:48">
      <c r="A249" s="21" t="s">
        <v>567</v>
      </c>
      <c r="B249" t="s">
        <v>568</v>
      </c>
      <c r="C249" t="s">
        <v>558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0</v>
      </c>
      <c r="J249" s="35">
        <v>0</v>
      </c>
      <c r="K249" s="35">
        <v>0</v>
      </c>
      <c r="L249" s="35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7">
        <v>0</v>
      </c>
      <c r="AS249" s="37">
        <v>0</v>
      </c>
      <c r="AT249" s="37">
        <v>0</v>
      </c>
      <c r="AU249" s="33" t="str">
        <f t="shared" si="6"/>
        <v>库存为0</v>
      </c>
      <c r="AV249" s="38" t="str">
        <f>IFERROR(时间!$B$4+AU249,"上周无销量")</f>
        <v>上周无销量</v>
      </c>
    </row>
    <row r="250" spans="1:48">
      <c r="A250" s="21" t="s">
        <v>569</v>
      </c>
      <c r="B250" t="s">
        <v>570</v>
      </c>
      <c r="C250" t="s">
        <v>571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1</v>
      </c>
      <c r="J250" s="35">
        <v>0</v>
      </c>
      <c r="K250" s="35">
        <v>0</v>
      </c>
      <c r="L250" s="35">
        <v>0</v>
      </c>
      <c r="M250">
        <v>1</v>
      </c>
      <c r="N250">
        <v>0</v>
      </c>
      <c r="O250">
        <v>1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1</v>
      </c>
      <c r="AK250">
        <v>0</v>
      </c>
      <c r="AL250">
        <v>0</v>
      </c>
      <c r="AM250">
        <v>0</v>
      </c>
      <c r="AN250" s="23">
        <v>0</v>
      </c>
      <c r="AO250" s="23" t="s">
        <v>54</v>
      </c>
      <c r="AP250" s="23" t="s">
        <v>54</v>
      </c>
      <c r="AQ250" s="23" t="s">
        <v>54</v>
      </c>
      <c r="AR250" s="37">
        <v>0</v>
      </c>
      <c r="AS250" s="37">
        <v>0</v>
      </c>
      <c r="AT250" s="37">
        <v>1</v>
      </c>
      <c r="AU250" s="33" t="str">
        <f t="shared" si="6"/>
        <v>库存为1</v>
      </c>
      <c r="AV250" s="38" t="str">
        <f>IFERROR(时间!$B$4+AU250,"上周无销量")</f>
        <v>上周无销量</v>
      </c>
    </row>
    <row r="251" spans="1:48">
      <c r="A251" s="21" t="s">
        <v>572</v>
      </c>
      <c r="B251" t="s">
        <v>573</v>
      </c>
      <c r="C251" t="s">
        <v>571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1</v>
      </c>
      <c r="J251" s="35">
        <v>0</v>
      </c>
      <c r="K251" s="35">
        <v>0</v>
      </c>
      <c r="L251" s="35">
        <v>0</v>
      </c>
      <c r="M251">
        <v>1</v>
      </c>
      <c r="N251">
        <v>0</v>
      </c>
      <c r="O251">
        <v>1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1</v>
      </c>
      <c r="AK251">
        <v>2</v>
      </c>
      <c r="AL251">
        <v>2</v>
      </c>
      <c r="AM251">
        <v>0</v>
      </c>
      <c r="AN251" s="23">
        <v>0</v>
      </c>
      <c r="AO251" s="23">
        <v>0</v>
      </c>
      <c r="AP251" s="23">
        <v>0</v>
      </c>
      <c r="AQ251" s="23" t="s">
        <v>54</v>
      </c>
      <c r="AR251" s="37">
        <v>0</v>
      </c>
      <c r="AS251" s="37">
        <v>0</v>
      </c>
      <c r="AT251" s="37">
        <v>1</v>
      </c>
      <c r="AU251" s="33" t="str">
        <f t="shared" si="6"/>
        <v>库存为1</v>
      </c>
      <c r="AV251" s="38" t="str">
        <f>IFERROR(时间!$B$4+AU251,"上周无销量")</f>
        <v>上周无销量</v>
      </c>
    </row>
    <row r="252" spans="1:48">
      <c r="A252" s="21" t="s">
        <v>574</v>
      </c>
      <c r="B252" t="s">
        <v>575</v>
      </c>
      <c r="C252" t="s">
        <v>571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1</v>
      </c>
      <c r="J252" s="35">
        <v>0</v>
      </c>
      <c r="K252" s="35">
        <v>0</v>
      </c>
      <c r="L252" s="35">
        <v>0</v>
      </c>
      <c r="M252">
        <v>1</v>
      </c>
      <c r="N252">
        <v>0</v>
      </c>
      <c r="O252">
        <v>1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2</v>
      </c>
      <c r="AK252">
        <v>0</v>
      </c>
      <c r="AL252">
        <v>0</v>
      </c>
      <c r="AM252">
        <v>0</v>
      </c>
      <c r="AN252" s="23">
        <v>0</v>
      </c>
      <c r="AO252" s="23" t="s">
        <v>54</v>
      </c>
      <c r="AP252" s="23" t="s">
        <v>54</v>
      </c>
      <c r="AQ252" s="23" t="s">
        <v>54</v>
      </c>
      <c r="AR252" s="37">
        <v>0</v>
      </c>
      <c r="AS252" s="37">
        <v>0</v>
      </c>
      <c r="AT252" s="37">
        <v>1</v>
      </c>
      <c r="AU252" s="33" t="str">
        <f t="shared" si="6"/>
        <v>库存为1</v>
      </c>
      <c r="AV252" s="38" t="str">
        <f>IFERROR(时间!$B$4+AU252,"上周无销量")</f>
        <v>上周无销量</v>
      </c>
    </row>
    <row r="253" spans="1:48">
      <c r="A253" s="21" t="s">
        <v>576</v>
      </c>
      <c r="B253" t="s">
        <v>577</v>
      </c>
      <c r="C253" t="s">
        <v>571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3</v>
      </c>
      <c r="J253" s="35">
        <v>0</v>
      </c>
      <c r="K253" s="35">
        <v>0</v>
      </c>
      <c r="L253" s="35">
        <v>0</v>
      </c>
      <c r="M253">
        <v>3</v>
      </c>
      <c r="N253">
        <v>0</v>
      </c>
      <c r="O253">
        <v>3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2</v>
      </c>
      <c r="AK253">
        <v>1</v>
      </c>
      <c r="AL253">
        <v>1</v>
      </c>
      <c r="AM253">
        <v>3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3</v>
      </c>
      <c r="AU253" s="33" t="str">
        <f t="shared" si="6"/>
        <v>库存为3</v>
      </c>
      <c r="AV253" s="38" t="str">
        <f>IFERROR(时间!$B$4+AU253,"上周无销量")</f>
        <v>上周无销量</v>
      </c>
    </row>
    <row r="254" spans="1:48">
      <c r="A254" s="21" t="s">
        <v>578</v>
      </c>
      <c r="B254" t="s">
        <v>579</v>
      </c>
      <c r="C254" t="s">
        <v>571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5</v>
      </c>
      <c r="J254" s="35">
        <v>0</v>
      </c>
      <c r="K254" s="35">
        <v>0</v>
      </c>
      <c r="L254" s="35">
        <v>0</v>
      </c>
      <c r="M254">
        <v>5</v>
      </c>
      <c r="N254">
        <v>0</v>
      </c>
      <c r="O254">
        <v>5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1</v>
      </c>
      <c r="AL254">
        <v>1</v>
      </c>
      <c r="AM254">
        <v>0</v>
      </c>
      <c r="AN254" s="23" t="s">
        <v>54</v>
      </c>
      <c r="AO254" s="23">
        <v>0</v>
      </c>
      <c r="AP254" s="23">
        <v>0</v>
      </c>
      <c r="AQ254" s="23" t="s">
        <v>54</v>
      </c>
      <c r="AR254" s="37">
        <v>0</v>
      </c>
      <c r="AS254" s="37">
        <v>0</v>
      </c>
      <c r="AT254" s="37">
        <v>5</v>
      </c>
      <c r="AU254" s="33" t="str">
        <f t="shared" si="6"/>
        <v>库存为5</v>
      </c>
      <c r="AV254" s="38" t="str">
        <f>IFERROR(时间!$B$4+AU254,"上周无销量")</f>
        <v>上周无销量</v>
      </c>
    </row>
    <row r="255" spans="1:48">
      <c r="A255" s="21" t="s">
        <v>580</v>
      </c>
      <c r="B255" t="s">
        <v>581</v>
      </c>
      <c r="C255" t="s">
        <v>571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3</v>
      </c>
      <c r="J255" s="35">
        <v>0</v>
      </c>
      <c r="K255" s="35">
        <v>0</v>
      </c>
      <c r="L255" s="35">
        <v>0</v>
      </c>
      <c r="M255">
        <v>3</v>
      </c>
      <c r="N255">
        <v>0</v>
      </c>
      <c r="O255">
        <v>3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1</v>
      </c>
      <c r="AK255">
        <v>2</v>
      </c>
      <c r="AL255">
        <v>2</v>
      </c>
      <c r="AM255">
        <v>1</v>
      </c>
      <c r="AN255" s="23">
        <v>0</v>
      </c>
      <c r="AO255" s="23">
        <v>0</v>
      </c>
      <c r="AP255" s="23">
        <v>0</v>
      </c>
      <c r="AQ255" s="23">
        <v>0</v>
      </c>
      <c r="AR255" s="37">
        <v>0</v>
      </c>
      <c r="AS255" s="37">
        <v>0</v>
      </c>
      <c r="AT255" s="37">
        <v>3</v>
      </c>
      <c r="AU255" s="33" t="str">
        <f t="shared" si="6"/>
        <v>库存为3</v>
      </c>
      <c r="AV255" s="38" t="str">
        <f>IFERROR(时间!$B$4+AU255,"上周无销量")</f>
        <v>上周无销量</v>
      </c>
    </row>
    <row r="256" spans="1:48">
      <c r="A256" s="21" t="s">
        <v>582</v>
      </c>
      <c r="B256" t="s">
        <v>583</v>
      </c>
      <c r="C256" t="s">
        <v>571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5</v>
      </c>
      <c r="J256" s="35">
        <v>0</v>
      </c>
      <c r="K256" s="35">
        <v>0</v>
      </c>
      <c r="L256" s="35">
        <v>0</v>
      </c>
      <c r="M256">
        <v>5</v>
      </c>
      <c r="N256">
        <v>0</v>
      </c>
      <c r="O256">
        <v>5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2</v>
      </c>
      <c r="AK256">
        <v>1</v>
      </c>
      <c r="AL256">
        <v>1</v>
      </c>
      <c r="AM256">
        <v>0</v>
      </c>
      <c r="AN256" s="23">
        <v>0</v>
      </c>
      <c r="AO256" s="23">
        <v>0</v>
      </c>
      <c r="AP256" s="23">
        <v>0</v>
      </c>
      <c r="AQ256" s="23" t="s">
        <v>54</v>
      </c>
      <c r="AR256" s="37">
        <v>0</v>
      </c>
      <c r="AS256" s="37">
        <v>0</v>
      </c>
      <c r="AT256" s="37">
        <v>5</v>
      </c>
      <c r="AU256" s="33" t="str">
        <f t="shared" si="6"/>
        <v>库存为5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571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10</v>
      </c>
      <c r="J257" s="35">
        <v>0</v>
      </c>
      <c r="K257" s="35">
        <v>0</v>
      </c>
      <c r="L257" s="35">
        <v>0</v>
      </c>
      <c r="M257">
        <v>10</v>
      </c>
      <c r="N257">
        <v>0</v>
      </c>
      <c r="O257">
        <v>10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7">
        <v>0</v>
      </c>
      <c r="AS257" s="37">
        <v>0</v>
      </c>
      <c r="AT257" s="37">
        <v>10</v>
      </c>
      <c r="AU257" s="33" t="str">
        <f t="shared" si="6"/>
        <v>库存为10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571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0</v>
      </c>
      <c r="J258" s="35">
        <v>0</v>
      </c>
      <c r="K258" s="35">
        <v>0</v>
      </c>
      <c r="L258" s="35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7">
        <v>0</v>
      </c>
      <c r="AS258" s="37">
        <v>0</v>
      </c>
      <c r="AT258" s="37">
        <v>0</v>
      </c>
      <c r="AU258" s="33" t="str">
        <f t="shared" si="6"/>
        <v>库存为0</v>
      </c>
      <c r="AV258" s="38" t="str">
        <f>IFERROR(时间!$B$4+AU258,"上周无销量")</f>
        <v>上周无销量</v>
      </c>
    </row>
    <row r="259" spans="1:48">
      <c r="A259" s="21" t="s">
        <v>588</v>
      </c>
      <c r="B259" t="s">
        <v>589</v>
      </c>
      <c r="C259" t="s">
        <v>571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1</v>
      </c>
      <c r="J259" s="35">
        <v>0</v>
      </c>
      <c r="K259" s="35">
        <v>0</v>
      </c>
      <c r="L259" s="35">
        <v>0</v>
      </c>
      <c r="M259">
        <v>1</v>
      </c>
      <c r="N259">
        <v>0</v>
      </c>
      <c r="O259">
        <v>1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1</v>
      </c>
      <c r="AK259">
        <v>2</v>
      </c>
      <c r="AL259">
        <v>2</v>
      </c>
      <c r="AM259">
        <v>1</v>
      </c>
      <c r="AN259" s="23">
        <v>0</v>
      </c>
      <c r="AO259" s="23">
        <v>0</v>
      </c>
      <c r="AP259" s="23">
        <v>0</v>
      </c>
      <c r="AQ259" s="23">
        <v>0</v>
      </c>
      <c r="AR259" s="37">
        <v>0</v>
      </c>
      <c r="AS259" s="37">
        <v>0</v>
      </c>
      <c r="AT259" s="37">
        <v>1</v>
      </c>
      <c r="AU259" s="33" t="str">
        <f t="shared" si="6"/>
        <v>库存为1</v>
      </c>
      <c r="AV259" s="38" t="str">
        <f>IFERROR(时间!$B$4+AU259,"上周无销量")</f>
        <v>上周无销量</v>
      </c>
    </row>
    <row r="260" spans="1:48">
      <c r="A260" s="21" t="s">
        <v>590</v>
      </c>
      <c r="B260" t="s">
        <v>591</v>
      </c>
      <c r="C260" t="s">
        <v>571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0</v>
      </c>
      <c r="J260" s="35">
        <v>0</v>
      </c>
      <c r="K260" s="35">
        <v>0</v>
      </c>
      <c r="L260" s="35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s">
        <v>54</v>
      </c>
      <c r="AO260" s="23" t="s">
        <v>54</v>
      </c>
      <c r="AP260" s="23" t="s">
        <v>54</v>
      </c>
      <c r="AQ260" s="23" t="s">
        <v>54</v>
      </c>
      <c r="AR260" s="37">
        <v>0</v>
      </c>
      <c r="AS260" s="37">
        <v>0</v>
      </c>
      <c r="AT260" s="37">
        <v>0</v>
      </c>
      <c r="AU260" s="33" t="str">
        <f t="shared" si="6"/>
        <v>库存为0</v>
      </c>
      <c r="AV260" s="38" t="str">
        <f>IFERROR(时间!$B$4+AU260,"上周无销量")</f>
        <v>上周无销量</v>
      </c>
    </row>
    <row r="261" spans="1:48">
      <c r="A261" s="21" t="s">
        <v>592</v>
      </c>
      <c r="B261" t="s">
        <v>593</v>
      </c>
      <c r="C261" t="s">
        <v>571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2</v>
      </c>
      <c r="J261" s="35">
        <v>0</v>
      </c>
      <c r="K261" s="35">
        <v>0</v>
      </c>
      <c r="L261" s="35">
        <v>0</v>
      </c>
      <c r="M261">
        <v>2</v>
      </c>
      <c r="N261">
        <v>0</v>
      </c>
      <c r="O261">
        <v>2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3</v>
      </c>
      <c r="AK261">
        <v>0</v>
      </c>
      <c r="AL261">
        <v>0</v>
      </c>
      <c r="AM261">
        <v>1</v>
      </c>
      <c r="AN261" s="23">
        <v>0</v>
      </c>
      <c r="AO261" s="23" t="s">
        <v>54</v>
      </c>
      <c r="AP261" s="23" t="s">
        <v>54</v>
      </c>
      <c r="AQ261" s="23">
        <v>0</v>
      </c>
      <c r="AR261" s="37">
        <v>0</v>
      </c>
      <c r="AS261" s="37">
        <v>0</v>
      </c>
      <c r="AT261" s="37">
        <v>2</v>
      </c>
      <c r="AU261" s="33" t="str">
        <f t="shared" ref="AU261:AU324" si="7">IF(AR261="","库存为"&amp;M261,IF(AS261=0,"库存为"&amp;M261,INT(M261/AR261)))</f>
        <v>库存为2</v>
      </c>
      <c r="AV261" s="38" t="str">
        <f>IFERROR(时间!$B$4+AU261,"上周无销量")</f>
        <v>上周无销量</v>
      </c>
    </row>
    <row r="262" spans="1:48">
      <c r="A262" s="21" t="s">
        <v>594</v>
      </c>
      <c r="B262" t="s">
        <v>595</v>
      </c>
      <c r="C262" t="s">
        <v>571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0</v>
      </c>
      <c r="J262" s="35">
        <v>0</v>
      </c>
      <c r="K262" s="35">
        <v>0</v>
      </c>
      <c r="L262" s="35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7">
        <v>0</v>
      </c>
      <c r="AS262" s="37">
        <v>0</v>
      </c>
      <c r="AT262" s="37">
        <v>0</v>
      </c>
      <c r="AU262" s="33" t="str">
        <f t="shared" si="7"/>
        <v>库存为0</v>
      </c>
      <c r="AV262" s="38" t="str">
        <f>IFERROR(时间!$B$4+AU262,"上周无销量")</f>
        <v>上周无销量</v>
      </c>
    </row>
    <row r="263" spans="1:48">
      <c r="A263" s="21" t="s">
        <v>596</v>
      </c>
      <c r="B263" t="s">
        <v>597</v>
      </c>
      <c r="C263" t="s">
        <v>571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2</v>
      </c>
      <c r="J263" s="35">
        <v>0</v>
      </c>
      <c r="K263" s="35">
        <v>0</v>
      </c>
      <c r="L263" s="35">
        <v>0</v>
      </c>
      <c r="M263">
        <v>2</v>
      </c>
      <c r="N263">
        <v>0</v>
      </c>
      <c r="O263">
        <v>2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1</v>
      </c>
      <c r="AL263">
        <v>1</v>
      </c>
      <c r="AM263">
        <v>0</v>
      </c>
      <c r="AN263" s="23" t="s">
        <v>54</v>
      </c>
      <c r="AO263" s="23">
        <v>0</v>
      </c>
      <c r="AP263" s="23">
        <v>0</v>
      </c>
      <c r="AQ263" s="23" t="s">
        <v>54</v>
      </c>
      <c r="AR263" s="37">
        <v>0</v>
      </c>
      <c r="AS263" s="37">
        <v>0</v>
      </c>
      <c r="AT263" s="37">
        <v>2</v>
      </c>
      <c r="AU263" s="33" t="str">
        <f t="shared" si="7"/>
        <v>库存为2</v>
      </c>
      <c r="AV263" s="38" t="str">
        <f>IFERROR(时间!$B$4+AU263,"上周无销量")</f>
        <v>上周无销量</v>
      </c>
    </row>
    <row r="264" spans="1:48">
      <c r="A264" s="21" t="s">
        <v>598</v>
      </c>
      <c r="B264" t="s">
        <v>599</v>
      </c>
      <c r="C264" t="s">
        <v>571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4</v>
      </c>
      <c r="J264" s="35">
        <v>0</v>
      </c>
      <c r="K264" s="35">
        <v>0</v>
      </c>
      <c r="L264" s="35">
        <v>0</v>
      </c>
      <c r="M264">
        <v>4</v>
      </c>
      <c r="N264">
        <v>0</v>
      </c>
      <c r="O264">
        <v>3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1</v>
      </c>
      <c r="AK264">
        <v>3</v>
      </c>
      <c r="AL264">
        <v>3</v>
      </c>
      <c r="AM264">
        <v>0</v>
      </c>
      <c r="AN264" s="23">
        <v>0</v>
      </c>
      <c r="AO264" s="23">
        <v>0</v>
      </c>
      <c r="AP264" s="23">
        <v>0</v>
      </c>
      <c r="AQ264" s="23" t="s">
        <v>54</v>
      </c>
      <c r="AR264" s="37">
        <v>0</v>
      </c>
      <c r="AS264" s="37">
        <v>0</v>
      </c>
      <c r="AT264" s="37">
        <v>4</v>
      </c>
      <c r="AU264" s="33" t="str">
        <f t="shared" si="7"/>
        <v>库存为4</v>
      </c>
      <c r="AV264" s="38" t="str">
        <f>IFERROR(时间!$B$4+AU264,"上周无销量")</f>
        <v>上周无销量</v>
      </c>
    </row>
    <row r="265" spans="1:48">
      <c r="A265" s="21" t="s">
        <v>600</v>
      </c>
      <c r="B265" t="s">
        <v>601</v>
      </c>
      <c r="C265" t="s">
        <v>571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3</v>
      </c>
      <c r="J265" s="35">
        <v>0</v>
      </c>
      <c r="K265" s="35">
        <v>0</v>
      </c>
      <c r="L265" s="35">
        <v>0</v>
      </c>
      <c r="M265">
        <v>3</v>
      </c>
      <c r="N265">
        <v>1</v>
      </c>
      <c r="O265">
        <v>3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1</v>
      </c>
      <c r="AL265">
        <v>1</v>
      </c>
      <c r="AM265">
        <v>0</v>
      </c>
      <c r="AN265" s="23" t="s">
        <v>54</v>
      </c>
      <c r="AO265" s="23">
        <v>0</v>
      </c>
      <c r="AP265" s="23">
        <v>0</v>
      </c>
      <c r="AQ265" s="23" t="s">
        <v>54</v>
      </c>
      <c r="AR265" s="37">
        <v>0</v>
      </c>
      <c r="AS265" s="37">
        <v>0</v>
      </c>
      <c r="AT265" s="37">
        <v>3</v>
      </c>
      <c r="AU265" s="33" t="str">
        <f t="shared" si="7"/>
        <v>库存为3</v>
      </c>
      <c r="AV265" s="38" t="str">
        <f>IFERROR(时间!$B$4+AU265,"上周无销量")</f>
        <v>上周无销量</v>
      </c>
    </row>
    <row r="266" spans="1:48">
      <c r="A266" s="21" t="s">
        <v>602</v>
      </c>
      <c r="B266" t="s">
        <v>603</v>
      </c>
      <c r="C266" t="s">
        <v>571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6</v>
      </c>
      <c r="J266" s="35">
        <v>0</v>
      </c>
      <c r="K266" s="35">
        <v>0</v>
      </c>
      <c r="L266" s="35">
        <v>0</v>
      </c>
      <c r="M266">
        <v>6</v>
      </c>
      <c r="N266">
        <v>0</v>
      </c>
      <c r="O266">
        <v>6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1</v>
      </c>
      <c r="AL266">
        <v>1</v>
      </c>
      <c r="AM266">
        <v>0</v>
      </c>
      <c r="AN266" s="23" t="s">
        <v>54</v>
      </c>
      <c r="AO266" s="23">
        <v>0</v>
      </c>
      <c r="AP266" s="23">
        <v>0</v>
      </c>
      <c r="AQ266" s="23" t="s">
        <v>54</v>
      </c>
      <c r="AR266" s="37">
        <v>0</v>
      </c>
      <c r="AS266" s="37">
        <v>0</v>
      </c>
      <c r="AT266" s="37">
        <v>6</v>
      </c>
      <c r="AU266" s="33" t="str">
        <f t="shared" si="7"/>
        <v>库存为6</v>
      </c>
      <c r="AV266" s="38" t="str">
        <f>IFERROR(时间!$B$4+AU266,"上周无销量")</f>
        <v>上周无销量</v>
      </c>
    </row>
    <row r="267" spans="1:48">
      <c r="A267" s="21" t="s">
        <v>604</v>
      </c>
      <c r="B267" t="s">
        <v>605</v>
      </c>
      <c r="C267" t="s">
        <v>571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3</v>
      </c>
      <c r="J267" s="35">
        <v>0</v>
      </c>
      <c r="K267" s="35">
        <v>0</v>
      </c>
      <c r="L267" s="35">
        <v>0</v>
      </c>
      <c r="M267">
        <v>3</v>
      </c>
      <c r="N267">
        <v>0</v>
      </c>
      <c r="O267">
        <v>3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2</v>
      </c>
      <c r="AK267">
        <v>0</v>
      </c>
      <c r="AL267">
        <v>0</v>
      </c>
      <c r="AM267">
        <v>0</v>
      </c>
      <c r="AN267" s="23">
        <v>0</v>
      </c>
      <c r="AO267" s="23" t="s">
        <v>54</v>
      </c>
      <c r="AP267" s="23" t="s">
        <v>54</v>
      </c>
      <c r="AQ267" s="23" t="s">
        <v>54</v>
      </c>
      <c r="AR267" s="37">
        <v>0</v>
      </c>
      <c r="AS267" s="37">
        <v>0</v>
      </c>
      <c r="AT267" s="37">
        <v>3</v>
      </c>
      <c r="AU267" s="33" t="str">
        <f t="shared" si="7"/>
        <v>库存为3</v>
      </c>
      <c r="AV267" s="38" t="str">
        <f>IFERROR(时间!$B$4+AU267,"上周无销量")</f>
        <v>上周无销量</v>
      </c>
    </row>
    <row r="268" spans="1:48">
      <c r="A268" s="21" t="s">
        <v>606</v>
      </c>
      <c r="B268" t="s">
        <v>607</v>
      </c>
      <c r="C268" t="s">
        <v>571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0</v>
      </c>
      <c r="J268" s="35">
        <v>0</v>
      </c>
      <c r="K268" s="35">
        <v>0</v>
      </c>
      <c r="L268" s="35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7">
        <v>0</v>
      </c>
      <c r="AS268" s="37">
        <v>0</v>
      </c>
      <c r="AT268" s="37">
        <v>0</v>
      </c>
      <c r="AU268" s="33" t="str">
        <f t="shared" si="7"/>
        <v>库存为0</v>
      </c>
      <c r="AV268" s="38" t="str">
        <f>IFERROR(时间!$B$4+AU268,"上周无销量")</f>
        <v>上周无销量</v>
      </c>
    </row>
    <row r="269" spans="1:48">
      <c r="A269" s="21" t="s">
        <v>608</v>
      </c>
      <c r="B269" t="s">
        <v>609</v>
      </c>
      <c r="C269" t="s">
        <v>571</v>
      </c>
      <c r="D269" s="33">
        <v>0</v>
      </c>
      <c r="E269" s="33">
        <v>1</v>
      </c>
      <c r="F269" s="33">
        <v>0</v>
      </c>
      <c r="G269" s="33">
        <v>0</v>
      </c>
      <c r="H269" s="34">
        <v>17.99</v>
      </c>
      <c r="I269">
        <v>1</v>
      </c>
      <c r="J269" s="35">
        <v>0</v>
      </c>
      <c r="K269" s="35">
        <v>0</v>
      </c>
      <c r="L269" s="35">
        <v>0</v>
      </c>
      <c r="M269">
        <v>1</v>
      </c>
      <c r="N269">
        <v>0</v>
      </c>
      <c r="O269">
        <v>1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1</v>
      </c>
      <c r="AK269">
        <v>1</v>
      </c>
      <c r="AL269">
        <v>1</v>
      </c>
      <c r="AM269">
        <v>0</v>
      </c>
      <c r="AN269" s="23">
        <v>0</v>
      </c>
      <c r="AO269" s="23">
        <v>1</v>
      </c>
      <c r="AP269" s="23">
        <v>0</v>
      </c>
      <c r="AQ269" s="23" t="s">
        <v>54</v>
      </c>
      <c r="AR269" s="37">
        <v>0</v>
      </c>
      <c r="AS269" s="37">
        <v>0</v>
      </c>
      <c r="AT269" s="37">
        <v>1</v>
      </c>
      <c r="AU269" s="33" t="str">
        <f t="shared" si="7"/>
        <v>库存为1</v>
      </c>
      <c r="AV269" s="38" t="str">
        <f>IFERROR(时间!$B$4+AU269,"上周无销量")</f>
        <v>上周无销量</v>
      </c>
    </row>
    <row r="270" spans="1:48">
      <c r="A270" s="21" t="s">
        <v>610</v>
      </c>
      <c r="B270" t="s">
        <v>611</v>
      </c>
      <c r="C270" t="s">
        <v>571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2</v>
      </c>
      <c r="J270" s="35">
        <v>0</v>
      </c>
      <c r="K270" s="35">
        <v>0</v>
      </c>
      <c r="L270" s="35">
        <v>0</v>
      </c>
      <c r="M270">
        <v>2</v>
      </c>
      <c r="N270">
        <v>0</v>
      </c>
      <c r="O270">
        <v>1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3</v>
      </c>
      <c r="AK270">
        <v>0</v>
      </c>
      <c r="AL270">
        <v>0</v>
      </c>
      <c r="AM270">
        <v>0</v>
      </c>
      <c r="AN270" s="23">
        <v>0</v>
      </c>
      <c r="AO270" s="23" t="s">
        <v>54</v>
      </c>
      <c r="AP270" s="23" t="s">
        <v>54</v>
      </c>
      <c r="AQ270" s="23" t="s">
        <v>54</v>
      </c>
      <c r="AR270" s="37">
        <v>0</v>
      </c>
      <c r="AS270" s="37">
        <v>0</v>
      </c>
      <c r="AT270" s="37">
        <v>2</v>
      </c>
      <c r="AU270" s="33" t="str">
        <f t="shared" si="7"/>
        <v>库存为2</v>
      </c>
      <c r="AV270" s="38" t="str">
        <f>IFERROR(时间!$B$4+AU270,"上周无销量")</f>
        <v>上周无销量</v>
      </c>
    </row>
    <row r="271" spans="1:48">
      <c r="A271" s="21" t="s">
        <v>612</v>
      </c>
      <c r="B271" t="s">
        <v>613</v>
      </c>
      <c r="C271" t="s">
        <v>571</v>
      </c>
      <c r="D271" s="33">
        <v>0</v>
      </c>
      <c r="E271" s="33">
        <v>1</v>
      </c>
      <c r="F271" s="33">
        <v>0</v>
      </c>
      <c r="G271" s="33">
        <v>0</v>
      </c>
      <c r="H271" s="34">
        <v>20.99</v>
      </c>
      <c r="I271">
        <v>1</v>
      </c>
      <c r="J271" s="35">
        <v>0</v>
      </c>
      <c r="K271" s="35">
        <v>0</v>
      </c>
      <c r="L271" s="35">
        <v>0</v>
      </c>
      <c r="M271">
        <v>1</v>
      </c>
      <c r="N271">
        <v>0</v>
      </c>
      <c r="O271">
        <v>1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2</v>
      </c>
      <c r="AK271">
        <v>1</v>
      </c>
      <c r="AL271">
        <v>1</v>
      </c>
      <c r="AM271">
        <v>0</v>
      </c>
      <c r="AN271" s="23">
        <v>0</v>
      </c>
      <c r="AO271" s="23">
        <v>1</v>
      </c>
      <c r="AP271" s="23">
        <v>0</v>
      </c>
      <c r="AQ271" s="23" t="s">
        <v>54</v>
      </c>
      <c r="AR271" s="37">
        <v>0</v>
      </c>
      <c r="AS271" s="37">
        <v>0</v>
      </c>
      <c r="AT271" s="37">
        <v>1</v>
      </c>
      <c r="AU271" s="33" t="str">
        <f t="shared" si="7"/>
        <v>库存为1</v>
      </c>
      <c r="AV271" s="38" t="str">
        <f>IFERROR(时间!$B$4+AU271,"上周无销量")</f>
        <v>上周无销量</v>
      </c>
    </row>
    <row r="272" spans="1:48">
      <c r="A272" s="21" t="s">
        <v>614</v>
      </c>
      <c r="B272" t="s">
        <v>615</v>
      </c>
      <c r="C272" t="s">
        <v>616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3</v>
      </c>
      <c r="J272" s="35">
        <v>0</v>
      </c>
      <c r="K272" s="35">
        <v>0</v>
      </c>
      <c r="L272" s="35">
        <v>0</v>
      </c>
      <c r="M272">
        <v>3</v>
      </c>
      <c r="N272">
        <v>0</v>
      </c>
      <c r="O272">
        <v>3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2</v>
      </c>
      <c r="AK272">
        <v>0</v>
      </c>
      <c r="AL272">
        <v>0</v>
      </c>
      <c r="AM272">
        <v>4</v>
      </c>
      <c r="AN272" s="23">
        <v>0</v>
      </c>
      <c r="AO272" s="23" t="s">
        <v>54</v>
      </c>
      <c r="AP272" s="23" t="s">
        <v>54</v>
      </c>
      <c r="AQ272" s="23">
        <v>0</v>
      </c>
      <c r="AR272" s="37">
        <v>0</v>
      </c>
      <c r="AS272" s="37">
        <v>0</v>
      </c>
      <c r="AT272" s="37">
        <v>3</v>
      </c>
      <c r="AU272" s="33" t="str">
        <f t="shared" si="7"/>
        <v>库存为3</v>
      </c>
      <c r="AV272" s="38" t="str">
        <f>IFERROR(时间!$B$4+AU272,"上周无销量")</f>
        <v>上周无销量</v>
      </c>
    </row>
    <row r="273" spans="1:48">
      <c r="A273" s="21" t="s">
        <v>617</v>
      </c>
      <c r="B273" t="s">
        <v>618</v>
      </c>
      <c r="C273" t="s">
        <v>616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</v>
      </c>
      <c r="J273" s="35">
        <v>0</v>
      </c>
      <c r="K273" s="35">
        <v>0</v>
      </c>
      <c r="L273" s="35">
        <v>0</v>
      </c>
      <c r="M273">
        <v>1</v>
      </c>
      <c r="N273">
        <v>0</v>
      </c>
      <c r="O273">
        <v>1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1</v>
      </c>
      <c r="AL273">
        <v>1</v>
      </c>
      <c r="AM273">
        <v>2</v>
      </c>
      <c r="AN273" s="23" t="s">
        <v>54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1</v>
      </c>
      <c r="AU273" s="33" t="str">
        <f t="shared" si="7"/>
        <v>库存为1</v>
      </c>
      <c r="AV273" s="38" t="str">
        <f>IFERROR(时间!$B$4+AU273,"上周无销量")</f>
        <v>上周无销量</v>
      </c>
    </row>
    <row r="274" spans="1:48">
      <c r="A274" s="21" t="s">
        <v>619</v>
      </c>
      <c r="B274" t="s">
        <v>620</v>
      </c>
      <c r="C274" t="s">
        <v>616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5</v>
      </c>
      <c r="J274" s="35">
        <v>0</v>
      </c>
      <c r="K274" s="35">
        <v>0</v>
      </c>
      <c r="L274" s="35">
        <v>0</v>
      </c>
      <c r="M274">
        <v>5</v>
      </c>
      <c r="N274">
        <v>0</v>
      </c>
      <c r="O274">
        <v>5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1</v>
      </c>
      <c r="AN274" s="23" t="s">
        <v>54</v>
      </c>
      <c r="AO274" s="23" t="s">
        <v>54</v>
      </c>
      <c r="AP274" s="23" t="s">
        <v>54</v>
      </c>
      <c r="AQ274" s="23">
        <v>0</v>
      </c>
      <c r="AR274" s="37">
        <v>0</v>
      </c>
      <c r="AS274" s="37">
        <v>0</v>
      </c>
      <c r="AT274" s="37">
        <v>5</v>
      </c>
      <c r="AU274" s="33" t="str">
        <f t="shared" si="7"/>
        <v>库存为5</v>
      </c>
      <c r="AV274" s="38" t="str">
        <f>IFERROR(时间!$B$4+AU274,"上周无销量")</f>
        <v>上周无销量</v>
      </c>
    </row>
    <row r="275" spans="1:48">
      <c r="A275" s="21" t="s">
        <v>621</v>
      </c>
      <c r="B275" t="s">
        <v>622</v>
      </c>
      <c r="C275" t="s">
        <v>616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4</v>
      </c>
      <c r="J275" s="35">
        <v>0</v>
      </c>
      <c r="K275" s="35">
        <v>0</v>
      </c>
      <c r="L275" s="35">
        <v>0</v>
      </c>
      <c r="M275">
        <v>4</v>
      </c>
      <c r="N275">
        <v>0</v>
      </c>
      <c r="O275">
        <v>3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3</v>
      </c>
      <c r="AK275">
        <v>1</v>
      </c>
      <c r="AL275">
        <v>1</v>
      </c>
      <c r="AM275">
        <v>2</v>
      </c>
      <c r="AN275" s="23">
        <v>0</v>
      </c>
      <c r="AO275" s="23">
        <v>0</v>
      </c>
      <c r="AP275" s="23">
        <v>0</v>
      </c>
      <c r="AQ275" s="23">
        <v>0</v>
      </c>
      <c r="AR275" s="37">
        <v>0</v>
      </c>
      <c r="AS275" s="37">
        <v>0</v>
      </c>
      <c r="AT275" s="37">
        <v>4</v>
      </c>
      <c r="AU275" s="33" t="str">
        <f t="shared" si="7"/>
        <v>库存为4</v>
      </c>
      <c r="AV275" s="38" t="str">
        <f>IFERROR(时间!$B$4+AU275,"上周无销量")</f>
        <v>上周无销量</v>
      </c>
    </row>
    <row r="276" spans="1:48">
      <c r="A276" s="21" t="s">
        <v>623</v>
      </c>
      <c r="B276" t="s">
        <v>624</v>
      </c>
      <c r="C276" t="s">
        <v>616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4</v>
      </c>
      <c r="J276" s="35">
        <v>0</v>
      </c>
      <c r="K276" s="35">
        <v>0</v>
      </c>
      <c r="L276" s="35">
        <v>0</v>
      </c>
      <c r="M276">
        <v>4</v>
      </c>
      <c r="N276">
        <v>0</v>
      </c>
      <c r="O276">
        <v>3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3</v>
      </c>
      <c r="AK276">
        <v>0</v>
      </c>
      <c r="AL276">
        <v>0</v>
      </c>
      <c r="AM276">
        <v>2</v>
      </c>
      <c r="AN276" s="23">
        <v>0</v>
      </c>
      <c r="AO276" s="23" t="s">
        <v>54</v>
      </c>
      <c r="AP276" s="23" t="s">
        <v>54</v>
      </c>
      <c r="AQ276" s="23">
        <v>0</v>
      </c>
      <c r="AR276" s="37">
        <v>0</v>
      </c>
      <c r="AS276" s="37">
        <v>0</v>
      </c>
      <c r="AT276" s="37">
        <v>4</v>
      </c>
      <c r="AU276" s="33" t="str">
        <f t="shared" si="7"/>
        <v>库存为4</v>
      </c>
      <c r="AV276" s="38" t="str">
        <f>IFERROR(时间!$B$4+AU276,"上周无销量")</f>
        <v>上周无销量</v>
      </c>
    </row>
    <row r="277" spans="1:48">
      <c r="A277" s="21" t="s">
        <v>625</v>
      </c>
      <c r="B277" t="s">
        <v>626</v>
      </c>
      <c r="C277" t="s">
        <v>616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1</v>
      </c>
      <c r="J277" s="35">
        <v>0</v>
      </c>
      <c r="K277" s="35">
        <v>0</v>
      </c>
      <c r="L277" s="35">
        <v>0</v>
      </c>
      <c r="M277">
        <v>1</v>
      </c>
      <c r="N277">
        <v>0</v>
      </c>
      <c r="O277">
        <v>1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1</v>
      </c>
      <c r="AK277">
        <v>0</v>
      </c>
      <c r="AL277">
        <v>0</v>
      </c>
      <c r="AM277">
        <v>1</v>
      </c>
      <c r="AN277" s="23">
        <v>0</v>
      </c>
      <c r="AO277" s="23" t="s">
        <v>54</v>
      </c>
      <c r="AP277" s="23" t="s">
        <v>54</v>
      </c>
      <c r="AQ277" s="23">
        <v>0</v>
      </c>
      <c r="AR277" s="37">
        <v>0</v>
      </c>
      <c r="AS277" s="37">
        <v>0</v>
      </c>
      <c r="AT277" s="37">
        <v>1</v>
      </c>
      <c r="AU277" s="33" t="str">
        <f t="shared" si="7"/>
        <v>库存为1</v>
      </c>
      <c r="AV277" s="38" t="str">
        <f>IFERROR(时间!$B$4+AU277,"上周无销量")</f>
        <v>上周无销量</v>
      </c>
    </row>
    <row r="278" spans="1:48">
      <c r="A278" s="21" t="s">
        <v>627</v>
      </c>
      <c r="B278" t="s">
        <v>628</v>
      </c>
      <c r="C278" t="s">
        <v>616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7</v>
      </c>
      <c r="J278" s="35">
        <v>0</v>
      </c>
      <c r="K278" s="35">
        <v>0</v>
      </c>
      <c r="L278" s="35">
        <v>0</v>
      </c>
      <c r="M278">
        <v>7</v>
      </c>
      <c r="N278">
        <v>0</v>
      </c>
      <c r="O278">
        <v>7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1</v>
      </c>
      <c r="AK278">
        <v>1</v>
      </c>
      <c r="AL278">
        <v>1</v>
      </c>
      <c r="AM278">
        <v>0</v>
      </c>
      <c r="AN278" s="23">
        <v>0</v>
      </c>
      <c r="AO278" s="23">
        <v>0</v>
      </c>
      <c r="AP278" s="23">
        <v>0</v>
      </c>
      <c r="AQ278" s="23" t="s">
        <v>54</v>
      </c>
      <c r="AR278" s="37">
        <v>0</v>
      </c>
      <c r="AS278" s="37">
        <v>0</v>
      </c>
      <c r="AT278" s="37">
        <v>7</v>
      </c>
      <c r="AU278" s="33" t="str">
        <f t="shared" si="7"/>
        <v>库存为7</v>
      </c>
      <c r="AV278" s="38" t="str">
        <f>IFERROR(时间!$B$4+AU278,"上周无销量")</f>
        <v>上周无销量</v>
      </c>
    </row>
    <row r="279" spans="1:48">
      <c r="A279" s="21" t="s">
        <v>629</v>
      </c>
      <c r="B279" t="s">
        <v>630</v>
      </c>
      <c r="C279" t="s">
        <v>616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2</v>
      </c>
      <c r="J279" s="35">
        <v>0</v>
      </c>
      <c r="K279" s="35">
        <v>0</v>
      </c>
      <c r="L279" s="35">
        <v>0</v>
      </c>
      <c r="M279">
        <v>2</v>
      </c>
      <c r="N279">
        <v>0</v>
      </c>
      <c r="O279">
        <v>1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1</v>
      </c>
      <c r="AK279">
        <v>0</v>
      </c>
      <c r="AL279">
        <v>0</v>
      </c>
      <c r="AM279">
        <v>1</v>
      </c>
      <c r="AN279" s="23">
        <v>0</v>
      </c>
      <c r="AO279" s="23" t="s">
        <v>54</v>
      </c>
      <c r="AP279" s="23" t="s">
        <v>54</v>
      </c>
      <c r="AQ279" s="23">
        <v>0</v>
      </c>
      <c r="AR279" s="37">
        <v>0</v>
      </c>
      <c r="AS279" s="37">
        <v>0</v>
      </c>
      <c r="AT279" s="37">
        <v>2</v>
      </c>
      <c r="AU279" s="33" t="str">
        <f t="shared" si="7"/>
        <v>库存为2</v>
      </c>
      <c r="AV279" s="38" t="str">
        <f>IFERROR(时间!$B$4+AU279,"上周无销量")</f>
        <v>上周无销量</v>
      </c>
    </row>
    <row r="280" spans="1:48">
      <c r="A280" s="21" t="s">
        <v>631</v>
      </c>
      <c r="B280" t="s">
        <v>632</v>
      </c>
      <c r="C280" t="s">
        <v>616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0</v>
      </c>
      <c r="J280" s="35">
        <v>0</v>
      </c>
      <c r="K280" s="35">
        <v>0</v>
      </c>
      <c r="L280" s="35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s">
        <v>54</v>
      </c>
      <c r="AO280" s="23" t="s">
        <v>54</v>
      </c>
      <c r="AP280" s="23" t="s">
        <v>54</v>
      </c>
      <c r="AQ280" s="23" t="s">
        <v>54</v>
      </c>
      <c r="AR280" s="37">
        <v>0</v>
      </c>
      <c r="AS280" s="37">
        <v>0</v>
      </c>
      <c r="AT280" s="37">
        <v>0</v>
      </c>
      <c r="AU280" s="33" t="str">
        <f t="shared" si="7"/>
        <v>库存为0</v>
      </c>
      <c r="AV280" s="38" t="str">
        <f>IFERROR(时间!$B$4+AU280,"上周无销量")</f>
        <v>上周无销量</v>
      </c>
    </row>
    <row r="281" spans="1:48">
      <c r="A281" s="21" t="s">
        <v>633</v>
      </c>
      <c r="B281" t="s">
        <v>634</v>
      </c>
      <c r="C281" t="s">
        <v>616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0</v>
      </c>
      <c r="J281" s="35">
        <v>0</v>
      </c>
      <c r="K281" s="35">
        <v>0</v>
      </c>
      <c r="L281" s="35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s">
        <v>54</v>
      </c>
      <c r="AO281" s="23" t="s">
        <v>54</v>
      </c>
      <c r="AP281" s="23" t="s">
        <v>54</v>
      </c>
      <c r="AQ281" s="23" t="s">
        <v>54</v>
      </c>
      <c r="AR281" s="37">
        <v>0</v>
      </c>
      <c r="AS281" s="37">
        <v>0</v>
      </c>
      <c r="AT281" s="37">
        <v>0</v>
      </c>
      <c r="AU281" s="33" t="str">
        <f t="shared" si="7"/>
        <v>库存为0</v>
      </c>
      <c r="AV281" s="38" t="str">
        <f>IFERROR(时间!$B$4+AU281,"上周无销量")</f>
        <v>上周无销量</v>
      </c>
    </row>
    <row r="282" spans="1:48">
      <c r="A282" s="21" t="s">
        <v>635</v>
      </c>
      <c r="B282" t="s">
        <v>636</v>
      </c>
      <c r="C282" t="s">
        <v>616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1</v>
      </c>
      <c r="J282" s="35">
        <v>0</v>
      </c>
      <c r="K282" s="35">
        <v>0</v>
      </c>
      <c r="L282" s="35">
        <v>0</v>
      </c>
      <c r="M282">
        <v>1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2</v>
      </c>
      <c r="AK282">
        <v>0</v>
      </c>
      <c r="AL282">
        <v>0</v>
      </c>
      <c r="AM282">
        <v>0</v>
      </c>
      <c r="AN282" s="23">
        <v>0</v>
      </c>
      <c r="AO282" s="23" t="s">
        <v>54</v>
      </c>
      <c r="AP282" s="23" t="s">
        <v>54</v>
      </c>
      <c r="AQ282" s="23" t="s">
        <v>54</v>
      </c>
      <c r="AR282" s="37">
        <v>0</v>
      </c>
      <c r="AS282" s="37">
        <v>0</v>
      </c>
      <c r="AT282" s="37">
        <v>1</v>
      </c>
      <c r="AU282" s="33" t="str">
        <f t="shared" si="7"/>
        <v>库存为1</v>
      </c>
      <c r="AV282" s="38" t="str">
        <f>IFERROR(时间!$B$4+AU282,"上周无销量")</f>
        <v>上周无销量</v>
      </c>
    </row>
    <row r="283" spans="1:48">
      <c r="A283" s="21" t="s">
        <v>637</v>
      </c>
      <c r="B283" t="s">
        <v>638</v>
      </c>
      <c r="C283" t="s">
        <v>639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4</v>
      </c>
      <c r="J283" s="35">
        <v>0</v>
      </c>
      <c r="K283" s="35">
        <v>0</v>
      </c>
      <c r="L283" s="35">
        <v>0</v>
      </c>
      <c r="M283">
        <v>4</v>
      </c>
      <c r="N283">
        <v>0</v>
      </c>
      <c r="O283">
        <v>4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2</v>
      </c>
      <c r="AK283">
        <v>0</v>
      </c>
      <c r="AL283">
        <v>0</v>
      </c>
      <c r="AM283">
        <v>1</v>
      </c>
      <c r="AN283" s="23">
        <v>0</v>
      </c>
      <c r="AO283" s="23" t="s">
        <v>54</v>
      </c>
      <c r="AP283" s="23" t="s">
        <v>54</v>
      </c>
      <c r="AQ283" s="23">
        <v>0</v>
      </c>
      <c r="AR283" s="37">
        <v>0</v>
      </c>
      <c r="AS283" s="37">
        <v>0</v>
      </c>
      <c r="AT283" s="37">
        <v>4</v>
      </c>
      <c r="AU283" s="33" t="str">
        <f t="shared" si="7"/>
        <v>库存为4</v>
      </c>
      <c r="AV283" s="38" t="str">
        <f>IFERROR(时间!$B$4+AU283,"上周无销量")</f>
        <v>上周无销量</v>
      </c>
    </row>
    <row r="284" spans="1:48">
      <c r="A284" s="21" t="s">
        <v>640</v>
      </c>
      <c r="B284" t="s">
        <v>641</v>
      </c>
      <c r="C284" t="s">
        <v>639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1</v>
      </c>
      <c r="J284" s="35">
        <v>0</v>
      </c>
      <c r="K284" s="35">
        <v>0</v>
      </c>
      <c r="L284" s="35">
        <v>0</v>
      </c>
      <c r="M284">
        <v>1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2</v>
      </c>
      <c r="AK284">
        <v>1</v>
      </c>
      <c r="AL284">
        <v>1</v>
      </c>
      <c r="AM284">
        <v>1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1</v>
      </c>
      <c r="AU284" s="33" t="str">
        <f t="shared" si="7"/>
        <v>库存为1</v>
      </c>
      <c r="AV284" s="38" t="str">
        <f>IFERROR(时间!$B$4+AU284,"上周无销量")</f>
        <v>上周无销量</v>
      </c>
    </row>
    <row r="285" spans="1:48">
      <c r="A285" s="21" t="s">
        <v>642</v>
      </c>
      <c r="B285" t="s">
        <v>643</v>
      </c>
      <c r="C285" t="s">
        <v>639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1</v>
      </c>
      <c r="J285" s="35">
        <v>0</v>
      </c>
      <c r="K285" s="35">
        <v>0</v>
      </c>
      <c r="L285" s="35">
        <v>0</v>
      </c>
      <c r="M285">
        <v>1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2</v>
      </c>
      <c r="AK285">
        <v>1</v>
      </c>
      <c r="AL285">
        <v>1</v>
      </c>
      <c r="AM285">
        <v>1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1</v>
      </c>
      <c r="AU285" s="33" t="str">
        <f t="shared" si="7"/>
        <v>库存为1</v>
      </c>
      <c r="AV285" s="38" t="str">
        <f>IFERROR(时间!$B$4+AU285,"上周无销量")</f>
        <v>上周无销量</v>
      </c>
    </row>
    <row r="286" spans="1:48">
      <c r="A286" s="21" t="s">
        <v>644</v>
      </c>
      <c r="B286" t="s">
        <v>645</v>
      </c>
      <c r="C286" t="s">
        <v>639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6</v>
      </c>
      <c r="J286" s="35">
        <v>0</v>
      </c>
      <c r="K286" s="35">
        <v>0</v>
      </c>
      <c r="L286" s="35">
        <v>0</v>
      </c>
      <c r="M286">
        <v>6</v>
      </c>
      <c r="N286">
        <v>0</v>
      </c>
      <c r="O286">
        <v>6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2</v>
      </c>
      <c r="AK286">
        <v>1</v>
      </c>
      <c r="AL286">
        <v>1</v>
      </c>
      <c r="AM286">
        <v>3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6</v>
      </c>
      <c r="AU286" s="33" t="str">
        <f t="shared" si="7"/>
        <v>库存为6</v>
      </c>
      <c r="AV286" s="38" t="str">
        <f>IFERROR(时间!$B$4+AU286,"上周无销量")</f>
        <v>上周无销量</v>
      </c>
    </row>
    <row r="287" spans="1:48">
      <c r="A287" s="21" t="s">
        <v>646</v>
      </c>
      <c r="B287" t="s">
        <v>647</v>
      </c>
      <c r="C287" t="s">
        <v>639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1</v>
      </c>
      <c r="J287" s="35">
        <v>0</v>
      </c>
      <c r="K287" s="35">
        <v>0</v>
      </c>
      <c r="L287" s="35">
        <v>0</v>
      </c>
      <c r="M287">
        <v>1</v>
      </c>
      <c r="N287">
        <v>0</v>
      </c>
      <c r="O287">
        <v>1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2</v>
      </c>
      <c r="AK287">
        <v>0</v>
      </c>
      <c r="AL287">
        <v>0</v>
      </c>
      <c r="AM287">
        <v>1</v>
      </c>
      <c r="AN287" s="23">
        <v>0</v>
      </c>
      <c r="AO287" s="23" t="s">
        <v>54</v>
      </c>
      <c r="AP287" s="23" t="s">
        <v>54</v>
      </c>
      <c r="AQ287" s="23">
        <v>0</v>
      </c>
      <c r="AR287" s="37">
        <v>0</v>
      </c>
      <c r="AS287" s="37">
        <v>0</v>
      </c>
      <c r="AT287" s="37">
        <v>1</v>
      </c>
      <c r="AU287" s="33" t="str">
        <f t="shared" si="7"/>
        <v>库存为1</v>
      </c>
      <c r="AV287" s="38" t="str">
        <f>IFERROR(时间!$B$4+AU287,"上周无销量")</f>
        <v>上周无销量</v>
      </c>
    </row>
    <row r="288" spans="1:48">
      <c r="A288" s="21" t="s">
        <v>648</v>
      </c>
      <c r="B288" t="s">
        <v>649</v>
      </c>
      <c r="C288" t="s">
        <v>639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2</v>
      </c>
      <c r="J288" s="35">
        <v>0</v>
      </c>
      <c r="K288" s="35">
        <v>0</v>
      </c>
      <c r="L288" s="35">
        <v>0</v>
      </c>
      <c r="M288">
        <v>2</v>
      </c>
      <c r="N288">
        <v>0</v>
      </c>
      <c r="O288">
        <v>2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3</v>
      </c>
      <c r="AK288">
        <v>1</v>
      </c>
      <c r="AL288">
        <v>1</v>
      </c>
      <c r="AM288">
        <v>0</v>
      </c>
      <c r="AN288" s="23">
        <v>0</v>
      </c>
      <c r="AO288" s="23">
        <v>0</v>
      </c>
      <c r="AP288" s="23">
        <v>0</v>
      </c>
      <c r="AQ288" s="23" t="s">
        <v>54</v>
      </c>
      <c r="AR288" s="37">
        <v>0</v>
      </c>
      <c r="AS288" s="37">
        <v>0</v>
      </c>
      <c r="AT288" s="37">
        <v>2</v>
      </c>
      <c r="AU288" s="33" t="str">
        <f t="shared" si="7"/>
        <v>库存为2</v>
      </c>
      <c r="AV288" s="38" t="str">
        <f>IFERROR(时间!$B$4+AU288,"上周无销量")</f>
        <v>上周无销量</v>
      </c>
    </row>
    <row r="289" spans="1:48">
      <c r="A289" s="21" t="s">
        <v>650</v>
      </c>
      <c r="B289" t="s">
        <v>651</v>
      </c>
      <c r="C289" t="s">
        <v>639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3</v>
      </c>
      <c r="J289" s="35">
        <v>0</v>
      </c>
      <c r="K289" s="35">
        <v>0</v>
      </c>
      <c r="L289" s="35">
        <v>0</v>
      </c>
      <c r="M289">
        <v>3</v>
      </c>
      <c r="N289">
        <v>0</v>
      </c>
      <c r="O289">
        <v>3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2</v>
      </c>
      <c r="AK289">
        <v>0</v>
      </c>
      <c r="AL289">
        <v>0</v>
      </c>
      <c r="AM289">
        <v>1</v>
      </c>
      <c r="AN289" s="23">
        <v>0</v>
      </c>
      <c r="AO289" s="23" t="s">
        <v>54</v>
      </c>
      <c r="AP289" s="23" t="s">
        <v>54</v>
      </c>
      <c r="AQ289" s="23">
        <v>0</v>
      </c>
      <c r="AR289" s="37">
        <v>0</v>
      </c>
      <c r="AS289" s="37">
        <v>0</v>
      </c>
      <c r="AT289" s="37">
        <v>3</v>
      </c>
      <c r="AU289" s="33" t="str">
        <f t="shared" si="7"/>
        <v>库存为3</v>
      </c>
      <c r="AV289" s="38" t="str">
        <f>IFERROR(时间!$B$4+AU289,"上周无销量")</f>
        <v>上周无销量</v>
      </c>
    </row>
    <row r="290" spans="1:48">
      <c r="A290" s="21" t="s">
        <v>652</v>
      </c>
      <c r="B290" t="s">
        <v>653</v>
      </c>
      <c r="C290" t="s">
        <v>654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0</v>
      </c>
      <c r="J290" s="35">
        <v>0</v>
      </c>
      <c r="K290" s="35">
        <v>0</v>
      </c>
      <c r="L290" s="35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7">
        <v>0</v>
      </c>
      <c r="AS290" s="37">
        <v>0</v>
      </c>
      <c r="AT290" s="37">
        <v>0</v>
      </c>
      <c r="AU290" s="33" t="str">
        <f t="shared" si="7"/>
        <v>库存为0</v>
      </c>
      <c r="AV290" s="38" t="str">
        <f>IFERROR(时间!$B$4+AU290,"上周无销量")</f>
        <v>上周无销量</v>
      </c>
    </row>
    <row r="291" spans="1:48">
      <c r="A291" s="21" t="s">
        <v>655</v>
      </c>
      <c r="B291" t="s">
        <v>656</v>
      </c>
      <c r="C291" t="s">
        <v>657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1</v>
      </c>
      <c r="J291" s="35">
        <v>0</v>
      </c>
      <c r="K291" s="35">
        <v>0</v>
      </c>
      <c r="L291" s="35">
        <v>0</v>
      </c>
      <c r="M291">
        <v>1</v>
      </c>
      <c r="N291">
        <v>0</v>
      </c>
      <c r="O291">
        <v>1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1</v>
      </c>
      <c r="AK291">
        <v>1</v>
      </c>
      <c r="AL291">
        <v>1</v>
      </c>
      <c r="AM291">
        <v>0</v>
      </c>
      <c r="AN291" s="23">
        <v>0</v>
      </c>
      <c r="AO291" s="23">
        <v>0</v>
      </c>
      <c r="AP291" s="23">
        <v>0</v>
      </c>
      <c r="AQ291" s="23" t="s">
        <v>54</v>
      </c>
      <c r="AR291" s="37">
        <v>0</v>
      </c>
      <c r="AS291" s="37">
        <v>0</v>
      </c>
      <c r="AT291" s="37">
        <v>1</v>
      </c>
      <c r="AU291" s="33" t="str">
        <f t="shared" si="7"/>
        <v>库存为1</v>
      </c>
      <c r="AV291" s="38" t="str">
        <f>IFERROR(时间!$B$4+AU291,"上周无销量")</f>
        <v>上周无销量</v>
      </c>
    </row>
    <row r="292" spans="1:48">
      <c r="A292" s="21" t="s">
        <v>658</v>
      </c>
      <c r="B292" t="s">
        <v>659</v>
      </c>
      <c r="C292" t="s">
        <v>657</v>
      </c>
      <c r="D292" s="33">
        <v>0</v>
      </c>
      <c r="E292" s="33">
        <v>0</v>
      </c>
      <c r="F292" s="33">
        <v>0</v>
      </c>
      <c r="G292" s="33">
        <v>1</v>
      </c>
      <c r="H292" s="34">
        <v>9.98</v>
      </c>
      <c r="I292">
        <v>4</v>
      </c>
      <c r="J292" s="35">
        <v>0</v>
      </c>
      <c r="K292" s="35">
        <v>0</v>
      </c>
      <c r="L292" s="35">
        <v>0</v>
      </c>
      <c r="M292">
        <v>4</v>
      </c>
      <c r="N292">
        <v>0</v>
      </c>
      <c r="O292">
        <v>4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1</v>
      </c>
      <c r="AK292">
        <v>4</v>
      </c>
      <c r="AL292">
        <v>4</v>
      </c>
      <c r="AM292">
        <v>0</v>
      </c>
      <c r="AN292" s="23">
        <v>0</v>
      </c>
      <c r="AO292" s="23">
        <v>0</v>
      </c>
      <c r="AP292" s="23">
        <v>0</v>
      </c>
      <c r="AQ292" s="23" t="s">
        <v>54</v>
      </c>
      <c r="AR292" s="37">
        <v>0</v>
      </c>
      <c r="AS292" s="37">
        <v>0</v>
      </c>
      <c r="AT292" s="37">
        <v>4</v>
      </c>
      <c r="AU292" s="33" t="str">
        <f t="shared" si="7"/>
        <v>库存为4</v>
      </c>
      <c r="AV292" s="38" t="str">
        <f>IFERROR(时间!$B$4+AU292,"上周无销量")</f>
        <v>上周无销量</v>
      </c>
    </row>
    <row r="293" spans="1:48">
      <c r="A293" s="21" t="s">
        <v>660</v>
      </c>
      <c r="B293" t="s">
        <v>661</v>
      </c>
      <c r="C293" t="s">
        <v>657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2</v>
      </c>
      <c r="J293" s="35">
        <v>0</v>
      </c>
      <c r="K293" s="35">
        <v>0</v>
      </c>
      <c r="L293" s="35">
        <v>0</v>
      </c>
      <c r="M293">
        <v>2</v>
      </c>
      <c r="N293">
        <v>0</v>
      </c>
      <c r="O293">
        <v>2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1</v>
      </c>
      <c r="AK293">
        <v>1</v>
      </c>
      <c r="AL293">
        <v>1</v>
      </c>
      <c r="AM293">
        <v>1</v>
      </c>
      <c r="AN293" s="23">
        <v>0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2</v>
      </c>
      <c r="AU293" s="33" t="str">
        <f t="shared" si="7"/>
        <v>库存为2</v>
      </c>
      <c r="AV293" s="38" t="str">
        <f>IFERROR(时间!$B$4+AU293,"上周无销量")</f>
        <v>上周无销量</v>
      </c>
    </row>
    <row r="294" spans="1:48">
      <c r="A294" s="21" t="s">
        <v>662</v>
      </c>
      <c r="B294" t="s">
        <v>663</v>
      </c>
      <c r="C294" t="s">
        <v>657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4</v>
      </c>
      <c r="J294" s="35">
        <v>0</v>
      </c>
      <c r="K294" s="35">
        <v>0</v>
      </c>
      <c r="L294" s="35">
        <v>0</v>
      </c>
      <c r="M294">
        <v>4</v>
      </c>
      <c r="N294">
        <v>0</v>
      </c>
      <c r="O294">
        <v>4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2</v>
      </c>
      <c r="AK294">
        <v>0</v>
      </c>
      <c r="AL294">
        <v>0</v>
      </c>
      <c r="AM294">
        <v>0</v>
      </c>
      <c r="AN294" s="23">
        <v>0</v>
      </c>
      <c r="AO294" s="23" t="s">
        <v>54</v>
      </c>
      <c r="AP294" s="23" t="s">
        <v>54</v>
      </c>
      <c r="AQ294" s="23" t="s">
        <v>54</v>
      </c>
      <c r="AR294" s="37">
        <v>0</v>
      </c>
      <c r="AS294" s="37">
        <v>0</v>
      </c>
      <c r="AT294" s="37">
        <v>4</v>
      </c>
      <c r="AU294" s="33" t="str">
        <f t="shared" si="7"/>
        <v>库存为4</v>
      </c>
      <c r="AV294" s="38" t="str">
        <f>IFERROR(时间!$B$4+AU294,"上周无销量")</f>
        <v>上周无销量</v>
      </c>
    </row>
    <row r="295" spans="1:48">
      <c r="A295" s="21" t="s">
        <v>664</v>
      </c>
      <c r="B295" t="s">
        <v>665</v>
      </c>
      <c r="C295" t="s">
        <v>666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0</v>
      </c>
      <c r="J295" s="35">
        <v>0</v>
      </c>
      <c r="K295" s="35">
        <v>0</v>
      </c>
      <c r="L295" s="35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7">
        <v>0</v>
      </c>
      <c r="AS295" s="37">
        <v>0</v>
      </c>
      <c r="AT295" s="37">
        <v>0</v>
      </c>
      <c r="AU295" s="33" t="str">
        <f t="shared" si="7"/>
        <v>库存为0</v>
      </c>
      <c r="AV295" s="38" t="str">
        <f>IFERROR(时间!$B$4+AU295,"上周无销量")</f>
        <v>上周无销量</v>
      </c>
    </row>
    <row r="296" spans="1:48">
      <c r="A296" s="21" t="s">
        <v>667</v>
      </c>
      <c r="B296" t="s">
        <v>668</v>
      </c>
      <c r="C296" t="s">
        <v>666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0</v>
      </c>
      <c r="J296" s="35">
        <v>0</v>
      </c>
      <c r="K296" s="35">
        <v>0</v>
      </c>
      <c r="L296" s="35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s">
        <v>54</v>
      </c>
      <c r="AO296" s="23" t="s">
        <v>54</v>
      </c>
      <c r="AP296" s="23" t="s">
        <v>54</v>
      </c>
      <c r="AQ296" s="23" t="s">
        <v>54</v>
      </c>
      <c r="AR296" s="37">
        <v>0</v>
      </c>
      <c r="AS296" s="37">
        <v>0</v>
      </c>
      <c r="AT296" s="37">
        <v>0</v>
      </c>
      <c r="AU296" s="33" t="str">
        <f t="shared" si="7"/>
        <v>库存为0</v>
      </c>
      <c r="AV296" s="38" t="str">
        <f>IFERROR(时间!$B$4+AU296,"上周无销量")</f>
        <v>上周无销量</v>
      </c>
    </row>
    <row r="297" spans="1:48">
      <c r="A297" s="21" t="s">
        <v>669</v>
      </c>
      <c r="B297" t="s">
        <v>670</v>
      </c>
      <c r="C297" t="s">
        <v>671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10</v>
      </c>
      <c r="J297" s="35">
        <v>0</v>
      </c>
      <c r="K297" s="35">
        <v>0</v>
      </c>
      <c r="L297" s="35">
        <v>0</v>
      </c>
      <c r="M297">
        <v>10</v>
      </c>
      <c r="N297">
        <v>0</v>
      </c>
      <c r="O297">
        <v>10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2</v>
      </c>
      <c r="AK297">
        <v>0</v>
      </c>
      <c r="AL297">
        <v>0</v>
      </c>
      <c r="AM297">
        <v>3</v>
      </c>
      <c r="AN297" s="23">
        <v>0</v>
      </c>
      <c r="AO297" s="23" t="s">
        <v>54</v>
      </c>
      <c r="AP297" s="23" t="s">
        <v>54</v>
      </c>
      <c r="AQ297" s="23">
        <v>0</v>
      </c>
      <c r="AR297" s="37">
        <v>0</v>
      </c>
      <c r="AS297" s="37">
        <v>0</v>
      </c>
      <c r="AT297" s="37">
        <v>10</v>
      </c>
      <c r="AU297" s="33" t="str">
        <f t="shared" si="7"/>
        <v>库存为10</v>
      </c>
      <c r="AV297" s="38" t="str">
        <f>IFERROR(时间!$B$4+AU297,"上周无销量")</f>
        <v>上周无销量</v>
      </c>
    </row>
    <row r="298" spans="1:48">
      <c r="A298" s="21" t="s">
        <v>672</v>
      </c>
      <c r="B298" t="s">
        <v>673</v>
      </c>
      <c r="C298" t="s">
        <v>671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7</v>
      </c>
      <c r="J298" s="35">
        <v>0</v>
      </c>
      <c r="K298" s="35">
        <v>0</v>
      </c>
      <c r="L298" s="35">
        <v>0</v>
      </c>
      <c r="M298">
        <v>7</v>
      </c>
      <c r="N298">
        <v>0</v>
      </c>
      <c r="O298">
        <v>5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4</v>
      </c>
      <c r="AK298">
        <v>1</v>
      </c>
      <c r="AL298">
        <v>1</v>
      </c>
      <c r="AM298">
        <v>1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7</v>
      </c>
      <c r="AU298" s="33" t="str">
        <f t="shared" si="7"/>
        <v>库存为7</v>
      </c>
      <c r="AV298" s="38" t="str">
        <f>IFERROR(时间!$B$4+AU298,"上周无销量")</f>
        <v>上周无销量</v>
      </c>
    </row>
    <row r="299" spans="1:48">
      <c r="A299" s="21" t="s">
        <v>674</v>
      </c>
      <c r="B299" t="s">
        <v>675</v>
      </c>
      <c r="C299" t="s">
        <v>671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3</v>
      </c>
      <c r="J299" s="35">
        <v>0</v>
      </c>
      <c r="K299" s="35">
        <v>0</v>
      </c>
      <c r="L299" s="35">
        <v>0</v>
      </c>
      <c r="M299">
        <v>3</v>
      </c>
      <c r="N299">
        <v>0</v>
      </c>
      <c r="O299">
        <v>3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3</v>
      </c>
      <c r="AK299">
        <v>4</v>
      </c>
      <c r="AL299">
        <v>4</v>
      </c>
      <c r="AM299">
        <v>3</v>
      </c>
      <c r="AN299" s="23">
        <v>0</v>
      </c>
      <c r="AO299" s="23">
        <v>0</v>
      </c>
      <c r="AP299" s="23">
        <v>0</v>
      </c>
      <c r="AQ299" s="23">
        <v>0</v>
      </c>
      <c r="AR299" s="37">
        <v>0</v>
      </c>
      <c r="AS299" s="37">
        <v>0</v>
      </c>
      <c r="AT299" s="37">
        <v>3</v>
      </c>
      <c r="AU299" s="33" t="str">
        <f t="shared" si="7"/>
        <v>库存为3</v>
      </c>
      <c r="AV299" s="38" t="str">
        <f>IFERROR(时间!$B$4+AU299,"上周无销量")</f>
        <v>上周无销量</v>
      </c>
    </row>
    <row r="300" spans="1:48">
      <c r="A300" s="21" t="s">
        <v>676</v>
      </c>
      <c r="B300" t="s">
        <v>677</v>
      </c>
      <c r="C300" t="s">
        <v>671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9</v>
      </c>
      <c r="J300" s="35">
        <v>0</v>
      </c>
      <c r="K300" s="35">
        <v>0</v>
      </c>
      <c r="L300" s="35">
        <v>0</v>
      </c>
      <c r="M300">
        <v>9</v>
      </c>
      <c r="N300">
        <v>0</v>
      </c>
      <c r="O300">
        <v>9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7</v>
      </c>
      <c r="AK300">
        <v>2</v>
      </c>
      <c r="AL300">
        <v>2</v>
      </c>
      <c r="AM300">
        <v>2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9</v>
      </c>
      <c r="AU300" s="33" t="str">
        <f t="shared" si="7"/>
        <v>库存为9</v>
      </c>
      <c r="AV300" s="38" t="str">
        <f>IFERROR(时间!$B$4+AU300,"上周无销量")</f>
        <v>上周无销量</v>
      </c>
    </row>
    <row r="301" spans="1:48">
      <c r="A301" s="21" t="s">
        <v>678</v>
      </c>
      <c r="B301" t="s">
        <v>679</v>
      </c>
      <c r="C301" t="s">
        <v>680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0</v>
      </c>
      <c r="J301" s="35">
        <v>0</v>
      </c>
      <c r="K301" s="35">
        <v>0</v>
      </c>
      <c r="L301" s="35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s">
        <v>54</v>
      </c>
      <c r="AO301" s="23" t="s">
        <v>54</v>
      </c>
      <c r="AP301" s="23" t="s">
        <v>54</v>
      </c>
      <c r="AQ301" s="23" t="s">
        <v>54</v>
      </c>
      <c r="AR301" s="37">
        <v>0</v>
      </c>
      <c r="AS301" s="37">
        <v>0</v>
      </c>
      <c r="AT301" s="37">
        <v>0</v>
      </c>
      <c r="AU301" s="33" t="str">
        <f t="shared" si="7"/>
        <v>库存为0</v>
      </c>
      <c r="AV301" s="38" t="str">
        <f>IFERROR(时间!$B$4+AU301,"上周无销量")</f>
        <v>上周无销量</v>
      </c>
    </row>
    <row r="302" spans="1:48">
      <c r="A302" s="21" t="s">
        <v>681</v>
      </c>
      <c r="B302" t="s">
        <v>682</v>
      </c>
      <c r="C302" t="s">
        <v>680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0</v>
      </c>
      <c r="J302" s="35">
        <v>0</v>
      </c>
      <c r="K302" s="35">
        <v>0</v>
      </c>
      <c r="L302" s="35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7">
        <v>0</v>
      </c>
      <c r="AS302" s="37">
        <v>0</v>
      </c>
      <c r="AT302" s="37">
        <v>0</v>
      </c>
      <c r="AU302" s="33" t="str">
        <f t="shared" si="7"/>
        <v>库存为0</v>
      </c>
      <c r="AV302" s="38" t="str">
        <f>IFERROR(时间!$B$4+AU302,"上周无销量")</f>
        <v>上周无销量</v>
      </c>
    </row>
    <row r="303" spans="1:48">
      <c r="A303" s="21" t="s">
        <v>683</v>
      </c>
      <c r="B303" t="s">
        <v>684</v>
      </c>
      <c r="C303" t="s">
        <v>680</v>
      </c>
      <c r="D303" s="33">
        <v>1</v>
      </c>
      <c r="E303" s="33">
        <v>1</v>
      </c>
      <c r="F303" s="33">
        <v>1</v>
      </c>
      <c r="G303" s="33">
        <v>0</v>
      </c>
      <c r="H303" s="34">
        <v>18.99</v>
      </c>
      <c r="I303">
        <v>4</v>
      </c>
      <c r="J303" s="35">
        <v>0</v>
      </c>
      <c r="K303" s="35">
        <v>0</v>
      </c>
      <c r="L303" s="35">
        <v>0</v>
      </c>
      <c r="M303">
        <v>4</v>
      </c>
      <c r="N303">
        <v>0</v>
      </c>
      <c r="O303">
        <v>3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5</v>
      </c>
      <c r="AK303">
        <v>2</v>
      </c>
      <c r="AL303">
        <v>2</v>
      </c>
      <c r="AM303">
        <v>2</v>
      </c>
      <c r="AN303" s="23">
        <v>0.2</v>
      </c>
      <c r="AO303" s="23">
        <v>0.5</v>
      </c>
      <c r="AP303" s="23">
        <v>0.5</v>
      </c>
      <c r="AQ303" s="23">
        <v>0</v>
      </c>
      <c r="AR303" s="37">
        <v>0.142857142857143</v>
      </c>
      <c r="AS303" s="37">
        <v>8.57142857142857</v>
      </c>
      <c r="AT303" s="37">
        <v>-4.57142857142857</v>
      </c>
      <c r="AU303" s="33">
        <f t="shared" si="7"/>
        <v>28</v>
      </c>
      <c r="AV303" s="38">
        <f>IFERROR(时间!$B$4+AU303,"上周无销量")</f>
        <v>43318</v>
      </c>
    </row>
    <row r="304" spans="1:48">
      <c r="A304" s="21" t="s">
        <v>685</v>
      </c>
      <c r="B304" t="s">
        <v>686</v>
      </c>
      <c r="C304" t="s">
        <v>680</v>
      </c>
      <c r="D304" s="33">
        <v>3</v>
      </c>
      <c r="E304" s="33">
        <v>2</v>
      </c>
      <c r="F304" s="33">
        <v>0</v>
      </c>
      <c r="G304" s="33">
        <v>0</v>
      </c>
      <c r="H304" s="34">
        <v>19.99</v>
      </c>
      <c r="I304">
        <v>25</v>
      </c>
      <c r="J304" s="35">
        <v>0</v>
      </c>
      <c r="K304" s="35">
        <v>0</v>
      </c>
      <c r="L304" s="35">
        <v>0</v>
      </c>
      <c r="M304">
        <v>25</v>
      </c>
      <c r="N304">
        <v>0</v>
      </c>
      <c r="O304">
        <v>24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14</v>
      </c>
      <c r="AK304">
        <v>4</v>
      </c>
      <c r="AL304">
        <v>4</v>
      </c>
      <c r="AM304">
        <v>5</v>
      </c>
      <c r="AN304" s="23">
        <v>0.214285714285714</v>
      </c>
      <c r="AO304" s="23">
        <v>0.5</v>
      </c>
      <c r="AP304" s="23">
        <v>0</v>
      </c>
      <c r="AQ304" s="23">
        <v>0</v>
      </c>
      <c r="AR304" s="37">
        <v>0.428571428571429</v>
      </c>
      <c r="AS304" s="37">
        <v>25.7142857142857</v>
      </c>
      <c r="AT304" s="37">
        <v>-0.714285714285712</v>
      </c>
      <c r="AU304" s="33">
        <f t="shared" si="7"/>
        <v>58</v>
      </c>
      <c r="AV304" s="38">
        <f>IFERROR(时间!$B$4+AU304,"上周无销量")</f>
        <v>43348</v>
      </c>
    </row>
    <row r="305" spans="1:48">
      <c r="A305" s="21" t="s">
        <v>687</v>
      </c>
      <c r="B305" t="s">
        <v>688</v>
      </c>
      <c r="C305" t="s">
        <v>689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1</v>
      </c>
      <c r="J305" s="35">
        <v>0</v>
      </c>
      <c r="K305" s="35">
        <v>0</v>
      </c>
      <c r="L305" s="35">
        <v>0</v>
      </c>
      <c r="M305">
        <v>1</v>
      </c>
      <c r="N305">
        <v>0</v>
      </c>
      <c r="O305">
        <v>1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4</v>
      </c>
      <c r="AK305">
        <v>2</v>
      </c>
      <c r="AL305">
        <v>2</v>
      </c>
      <c r="AM305">
        <v>1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1</v>
      </c>
      <c r="AU305" s="33" t="str">
        <f t="shared" si="7"/>
        <v>库存为1</v>
      </c>
      <c r="AV305" s="38" t="str">
        <f>IFERROR(时间!$B$4+AU305,"上周无销量")</f>
        <v>上周无销量</v>
      </c>
    </row>
    <row r="306" spans="1:48">
      <c r="A306" s="21" t="s">
        <v>690</v>
      </c>
      <c r="B306" t="s">
        <v>691</v>
      </c>
      <c r="C306" t="s">
        <v>692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3</v>
      </c>
      <c r="J306" s="35">
        <v>0</v>
      </c>
      <c r="K306" s="35">
        <v>0</v>
      </c>
      <c r="L306" s="35">
        <v>0</v>
      </c>
      <c r="M306">
        <v>3</v>
      </c>
      <c r="N306">
        <v>0</v>
      </c>
      <c r="O306">
        <v>3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1</v>
      </c>
      <c r="AK306">
        <v>2</v>
      </c>
      <c r="AL306">
        <v>2</v>
      </c>
      <c r="AM306">
        <v>0</v>
      </c>
      <c r="AN306" s="23">
        <v>0</v>
      </c>
      <c r="AO306" s="23">
        <v>0</v>
      </c>
      <c r="AP306" s="23">
        <v>0</v>
      </c>
      <c r="AQ306" s="23" t="s">
        <v>54</v>
      </c>
      <c r="AR306" s="37">
        <v>0</v>
      </c>
      <c r="AS306" s="37">
        <v>0</v>
      </c>
      <c r="AT306" s="37">
        <v>3</v>
      </c>
      <c r="AU306" s="33" t="str">
        <f t="shared" si="7"/>
        <v>库存为3</v>
      </c>
      <c r="AV306" s="38" t="str">
        <f>IFERROR(时间!$B$4+AU306,"上周无销量")</f>
        <v>上周无销量</v>
      </c>
    </row>
    <row r="307" spans="1:48">
      <c r="A307" s="21" t="s">
        <v>693</v>
      </c>
      <c r="B307" t="s">
        <v>694</v>
      </c>
      <c r="C307" t="s">
        <v>692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5</v>
      </c>
      <c r="J307" s="35">
        <v>0</v>
      </c>
      <c r="K307" s="35">
        <v>0</v>
      </c>
      <c r="L307" s="35">
        <v>0</v>
      </c>
      <c r="M307">
        <v>5</v>
      </c>
      <c r="N307">
        <v>0</v>
      </c>
      <c r="O307">
        <v>5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9</v>
      </c>
      <c r="AK307">
        <v>8</v>
      </c>
      <c r="AL307">
        <v>8</v>
      </c>
      <c r="AM307">
        <v>2</v>
      </c>
      <c r="AN307" s="23">
        <v>0</v>
      </c>
      <c r="AO307" s="23">
        <v>0</v>
      </c>
      <c r="AP307" s="23">
        <v>0</v>
      </c>
      <c r="AQ307" s="23">
        <v>0</v>
      </c>
      <c r="AR307" s="37">
        <v>0</v>
      </c>
      <c r="AS307" s="37">
        <v>0</v>
      </c>
      <c r="AT307" s="37">
        <v>5</v>
      </c>
      <c r="AU307" s="33" t="str">
        <f t="shared" si="7"/>
        <v>库存为5</v>
      </c>
      <c r="AV307" s="38" t="str">
        <f>IFERROR(时间!$B$4+AU307,"上周无销量")</f>
        <v>上周无销量</v>
      </c>
    </row>
    <row r="308" spans="1:48">
      <c r="A308" s="21" t="s">
        <v>695</v>
      </c>
      <c r="B308" t="s">
        <v>696</v>
      </c>
      <c r="C308" t="s">
        <v>692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4</v>
      </c>
      <c r="J308" s="35">
        <v>0</v>
      </c>
      <c r="K308" s="35">
        <v>0</v>
      </c>
      <c r="L308" s="35">
        <v>0</v>
      </c>
      <c r="M308">
        <v>4</v>
      </c>
      <c r="N308">
        <v>0</v>
      </c>
      <c r="O308">
        <v>4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3</v>
      </c>
      <c r="AK308">
        <v>2</v>
      </c>
      <c r="AL308">
        <v>2</v>
      </c>
      <c r="AM308">
        <v>0</v>
      </c>
      <c r="AN308" s="23">
        <v>0</v>
      </c>
      <c r="AO308" s="23">
        <v>0</v>
      </c>
      <c r="AP308" s="23">
        <v>0</v>
      </c>
      <c r="AQ308" s="23" t="s">
        <v>54</v>
      </c>
      <c r="AR308" s="37">
        <v>0</v>
      </c>
      <c r="AS308" s="37">
        <v>0</v>
      </c>
      <c r="AT308" s="37">
        <v>4</v>
      </c>
      <c r="AU308" s="33" t="str">
        <f t="shared" si="7"/>
        <v>库存为4</v>
      </c>
      <c r="AV308" s="38" t="str">
        <f>IFERROR(时间!$B$4+AU308,"上周无销量")</f>
        <v>上周无销量</v>
      </c>
    </row>
    <row r="309" spans="1:48">
      <c r="A309" s="21" t="s">
        <v>697</v>
      </c>
      <c r="B309" t="s">
        <v>698</v>
      </c>
      <c r="C309" t="s">
        <v>692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4</v>
      </c>
      <c r="J309" s="35">
        <v>0</v>
      </c>
      <c r="K309" s="35">
        <v>0</v>
      </c>
      <c r="L309" s="35">
        <v>0</v>
      </c>
      <c r="M309">
        <v>4</v>
      </c>
      <c r="N309">
        <v>0</v>
      </c>
      <c r="O309">
        <v>4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3</v>
      </c>
      <c r="AK309">
        <v>1</v>
      </c>
      <c r="AL309">
        <v>1</v>
      </c>
      <c r="AM309">
        <v>1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4</v>
      </c>
      <c r="AU309" s="33" t="str">
        <f t="shared" si="7"/>
        <v>库存为4</v>
      </c>
      <c r="AV309" s="38" t="str">
        <f>IFERROR(时间!$B$4+AU309,"上周无销量")</f>
        <v>上周无销量</v>
      </c>
    </row>
    <row r="310" spans="1:48">
      <c r="A310" s="21" t="s">
        <v>699</v>
      </c>
      <c r="B310" t="s">
        <v>700</v>
      </c>
      <c r="C310" t="s">
        <v>692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4</v>
      </c>
      <c r="J310" s="35">
        <v>0</v>
      </c>
      <c r="K310" s="35">
        <v>0</v>
      </c>
      <c r="L310" s="35">
        <v>0</v>
      </c>
      <c r="M310">
        <v>4</v>
      </c>
      <c r="N310">
        <v>0</v>
      </c>
      <c r="O310">
        <v>4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5</v>
      </c>
      <c r="AK310">
        <v>0</v>
      </c>
      <c r="AL310">
        <v>0</v>
      </c>
      <c r="AM310">
        <v>2</v>
      </c>
      <c r="AN310" s="23">
        <v>0</v>
      </c>
      <c r="AO310" s="23" t="s">
        <v>54</v>
      </c>
      <c r="AP310" s="23" t="s">
        <v>54</v>
      </c>
      <c r="AQ310" s="23">
        <v>0</v>
      </c>
      <c r="AR310" s="37">
        <v>0</v>
      </c>
      <c r="AS310" s="37">
        <v>0</v>
      </c>
      <c r="AT310" s="37">
        <v>4</v>
      </c>
      <c r="AU310" s="33" t="str">
        <f t="shared" si="7"/>
        <v>库存为4</v>
      </c>
      <c r="AV310" s="38" t="str">
        <f>IFERROR(时间!$B$4+AU310,"上周无销量")</f>
        <v>上周无销量</v>
      </c>
    </row>
    <row r="311" spans="1:48">
      <c r="A311" s="21" t="s">
        <v>701</v>
      </c>
      <c r="B311" t="s">
        <v>702</v>
      </c>
      <c r="C311" t="s">
        <v>692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6</v>
      </c>
      <c r="J311" s="35">
        <v>0</v>
      </c>
      <c r="K311" s="35">
        <v>0</v>
      </c>
      <c r="L311" s="35">
        <v>0</v>
      </c>
      <c r="M311">
        <v>6</v>
      </c>
      <c r="N311">
        <v>0</v>
      </c>
      <c r="O311">
        <v>6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1</v>
      </c>
      <c r="AK311">
        <v>1</v>
      </c>
      <c r="AL311">
        <v>1</v>
      </c>
      <c r="AM311">
        <v>0</v>
      </c>
      <c r="AN311" s="23">
        <v>0</v>
      </c>
      <c r="AO311" s="23">
        <v>0</v>
      </c>
      <c r="AP311" s="23">
        <v>0</v>
      </c>
      <c r="AQ311" s="23" t="s">
        <v>54</v>
      </c>
      <c r="AR311" s="37">
        <v>0</v>
      </c>
      <c r="AS311" s="37">
        <v>0</v>
      </c>
      <c r="AT311" s="37">
        <v>6</v>
      </c>
      <c r="AU311" s="33" t="str">
        <f t="shared" si="7"/>
        <v>库存为6</v>
      </c>
      <c r="AV311" s="38" t="str">
        <f>IFERROR(时间!$B$4+AU311,"上周无销量")</f>
        <v>上周无销量</v>
      </c>
    </row>
    <row r="312" spans="1:48">
      <c r="A312" s="21" t="s">
        <v>703</v>
      </c>
      <c r="B312" t="s">
        <v>704</v>
      </c>
      <c r="C312" t="s">
        <v>692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7</v>
      </c>
      <c r="J312" s="35">
        <v>0</v>
      </c>
      <c r="K312" s="35">
        <v>0</v>
      </c>
      <c r="L312" s="35">
        <v>0</v>
      </c>
      <c r="M312">
        <v>7</v>
      </c>
      <c r="N312">
        <v>0</v>
      </c>
      <c r="O312">
        <v>7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2</v>
      </c>
      <c r="AK312">
        <v>1</v>
      </c>
      <c r="AL312">
        <v>1</v>
      </c>
      <c r="AM312">
        <v>0</v>
      </c>
      <c r="AN312" s="23">
        <v>0</v>
      </c>
      <c r="AO312" s="23">
        <v>0</v>
      </c>
      <c r="AP312" s="23">
        <v>0</v>
      </c>
      <c r="AQ312" s="23" t="s">
        <v>54</v>
      </c>
      <c r="AR312" s="37">
        <v>0</v>
      </c>
      <c r="AS312" s="37">
        <v>0</v>
      </c>
      <c r="AT312" s="37">
        <v>7</v>
      </c>
      <c r="AU312" s="33" t="str">
        <f t="shared" si="7"/>
        <v>库存为7</v>
      </c>
      <c r="AV312" s="38" t="str">
        <f>IFERROR(时间!$B$4+AU312,"上周无销量")</f>
        <v>上周无销量</v>
      </c>
    </row>
    <row r="313" spans="1:48">
      <c r="A313" s="21" t="s">
        <v>705</v>
      </c>
      <c r="B313" t="s">
        <v>706</v>
      </c>
      <c r="C313" t="s">
        <v>692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6</v>
      </c>
      <c r="J313" s="35">
        <v>0</v>
      </c>
      <c r="K313" s="35">
        <v>0</v>
      </c>
      <c r="L313" s="35">
        <v>0</v>
      </c>
      <c r="M313">
        <v>6</v>
      </c>
      <c r="N313">
        <v>0</v>
      </c>
      <c r="O313">
        <v>6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2</v>
      </c>
      <c r="AK313">
        <v>1</v>
      </c>
      <c r="AL313">
        <v>1</v>
      </c>
      <c r="AM313">
        <v>0</v>
      </c>
      <c r="AN313" s="23">
        <v>0</v>
      </c>
      <c r="AO313" s="23">
        <v>0</v>
      </c>
      <c r="AP313" s="23">
        <v>0</v>
      </c>
      <c r="AQ313" s="23" t="s">
        <v>54</v>
      </c>
      <c r="AR313" s="37">
        <v>0</v>
      </c>
      <c r="AS313" s="37">
        <v>0</v>
      </c>
      <c r="AT313" s="37">
        <v>6</v>
      </c>
      <c r="AU313" s="33" t="str">
        <f t="shared" si="7"/>
        <v>库存为6</v>
      </c>
      <c r="AV313" s="38" t="str">
        <f>IFERROR(时间!$B$4+AU313,"上周无销量")</f>
        <v>上周无销量</v>
      </c>
    </row>
    <row r="314" spans="1:48">
      <c r="A314" s="21" t="s">
        <v>707</v>
      </c>
      <c r="B314" t="s">
        <v>708</v>
      </c>
      <c r="C314" t="s">
        <v>692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2</v>
      </c>
      <c r="J314" s="35">
        <v>0</v>
      </c>
      <c r="K314" s="35">
        <v>0</v>
      </c>
      <c r="L314" s="35">
        <v>0</v>
      </c>
      <c r="M314">
        <v>2</v>
      </c>
      <c r="N314">
        <v>0</v>
      </c>
      <c r="O314">
        <v>2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2</v>
      </c>
      <c r="AL314">
        <v>2</v>
      </c>
      <c r="AM314">
        <v>1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2</v>
      </c>
      <c r="AU314" s="33" t="str">
        <f t="shared" si="7"/>
        <v>库存为2</v>
      </c>
      <c r="AV314" s="38" t="str">
        <f>IFERROR(时间!$B$4+AU314,"上周无销量")</f>
        <v>上周无销量</v>
      </c>
    </row>
    <row r="315" spans="1:48">
      <c r="A315" s="21" t="s">
        <v>709</v>
      </c>
      <c r="B315" t="s">
        <v>710</v>
      </c>
      <c r="C315" t="s">
        <v>692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4</v>
      </c>
      <c r="J315" s="35">
        <v>0</v>
      </c>
      <c r="K315" s="35">
        <v>0</v>
      </c>
      <c r="L315" s="35">
        <v>0</v>
      </c>
      <c r="M315">
        <v>4</v>
      </c>
      <c r="N315">
        <v>0</v>
      </c>
      <c r="O315">
        <v>4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1</v>
      </c>
      <c r="AK315">
        <v>1</v>
      </c>
      <c r="AL315">
        <v>1</v>
      </c>
      <c r="AM315">
        <v>1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4</v>
      </c>
      <c r="AU315" s="33" t="str">
        <f t="shared" si="7"/>
        <v>库存为4</v>
      </c>
      <c r="AV315" s="38" t="str">
        <f>IFERROR(时间!$B$4+AU315,"上周无销量")</f>
        <v>上周无销量</v>
      </c>
    </row>
    <row r="316" spans="1:48">
      <c r="A316" s="21" t="s">
        <v>711</v>
      </c>
      <c r="B316" t="s">
        <v>712</v>
      </c>
      <c r="C316" t="s">
        <v>713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</v>
      </c>
      <c r="J316" s="35">
        <v>0</v>
      </c>
      <c r="K316" s="35">
        <v>0</v>
      </c>
      <c r="L316" s="35">
        <v>0</v>
      </c>
      <c r="M316">
        <v>1</v>
      </c>
      <c r="N316">
        <v>0</v>
      </c>
      <c r="O316">
        <v>1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4</v>
      </c>
      <c r="AK316">
        <v>1</v>
      </c>
      <c r="AL316">
        <v>1</v>
      </c>
      <c r="AM316">
        <v>1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1</v>
      </c>
      <c r="AU316" s="33" t="str">
        <f t="shared" si="7"/>
        <v>库存为1</v>
      </c>
      <c r="AV316" s="38" t="str">
        <f>IFERROR(时间!$B$4+AU316,"上周无销量")</f>
        <v>上周无销量</v>
      </c>
    </row>
    <row r="317" spans="1:48">
      <c r="A317" s="21" t="s">
        <v>714</v>
      </c>
      <c r="B317" t="s">
        <v>715</v>
      </c>
      <c r="C317" t="s">
        <v>713</v>
      </c>
      <c r="D317" s="33">
        <v>0</v>
      </c>
      <c r="E317" s="33">
        <v>0</v>
      </c>
      <c r="F317" s="33">
        <v>0</v>
      </c>
      <c r="G317" s="33">
        <v>1</v>
      </c>
      <c r="H317" s="34">
        <v>18.99</v>
      </c>
      <c r="I317">
        <v>0</v>
      </c>
      <c r="J317" s="35">
        <v>0</v>
      </c>
      <c r="K317" s="35">
        <v>0</v>
      </c>
      <c r="L317" s="35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7">
        <v>0</v>
      </c>
      <c r="AS317" s="37">
        <v>0</v>
      </c>
      <c r="AT317" s="37">
        <v>0</v>
      </c>
      <c r="AU317" s="33" t="str">
        <f t="shared" si="7"/>
        <v>库存为0</v>
      </c>
      <c r="AV317" s="38" t="str">
        <f>IFERROR(时间!$B$4+AU317,"上周无销量")</f>
        <v>上周无销量</v>
      </c>
    </row>
    <row r="318" spans="1:48">
      <c r="A318" s="21" t="s">
        <v>716</v>
      </c>
      <c r="B318" t="s">
        <v>717</v>
      </c>
      <c r="C318" t="s">
        <v>713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1</v>
      </c>
      <c r="J318" s="35">
        <v>0</v>
      </c>
      <c r="K318" s="35">
        <v>0</v>
      </c>
      <c r="L318" s="35">
        <v>0</v>
      </c>
      <c r="M318">
        <v>1</v>
      </c>
      <c r="N318">
        <v>0</v>
      </c>
      <c r="O318">
        <v>1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3</v>
      </c>
      <c r="AK318">
        <v>3</v>
      </c>
      <c r="AL318">
        <v>3</v>
      </c>
      <c r="AM318">
        <v>1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1</v>
      </c>
      <c r="AU318" s="33" t="str">
        <f t="shared" si="7"/>
        <v>库存为1</v>
      </c>
      <c r="AV318" s="38" t="str">
        <f>IFERROR(时间!$B$4+AU318,"上周无销量")</f>
        <v>上周无销量</v>
      </c>
    </row>
    <row r="319" spans="1:48">
      <c r="A319" s="21" t="s">
        <v>718</v>
      </c>
      <c r="B319" t="s">
        <v>719</v>
      </c>
      <c r="C319" t="s">
        <v>720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0</v>
      </c>
      <c r="J319" s="35">
        <v>0</v>
      </c>
      <c r="K319" s="35">
        <v>0</v>
      </c>
      <c r="L319" s="35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7">
        <v>0</v>
      </c>
      <c r="AS319" s="37">
        <v>0</v>
      </c>
      <c r="AT319" s="37">
        <v>0</v>
      </c>
      <c r="AU319" s="33" t="str">
        <f t="shared" si="7"/>
        <v>库存为0</v>
      </c>
      <c r="AV319" s="38" t="str">
        <f>IFERROR(时间!$B$4+AU319,"上周无销量")</f>
        <v>上周无销量</v>
      </c>
    </row>
    <row r="320" spans="1:48">
      <c r="A320" s="21" t="s">
        <v>721</v>
      </c>
      <c r="B320" t="s">
        <v>722</v>
      </c>
      <c r="C320" t="s">
        <v>720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1</v>
      </c>
      <c r="J320" s="35">
        <v>0</v>
      </c>
      <c r="K320" s="35">
        <v>0</v>
      </c>
      <c r="L320" s="35">
        <v>0</v>
      </c>
      <c r="M320">
        <v>1</v>
      </c>
      <c r="N320">
        <v>0</v>
      </c>
      <c r="O320">
        <v>1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3</v>
      </c>
      <c r="AK320">
        <v>0</v>
      </c>
      <c r="AL320">
        <v>0</v>
      </c>
      <c r="AM320">
        <v>1</v>
      </c>
      <c r="AN320" s="23">
        <v>0</v>
      </c>
      <c r="AO320" s="23" t="s">
        <v>54</v>
      </c>
      <c r="AP320" s="23" t="s">
        <v>54</v>
      </c>
      <c r="AQ320" s="23">
        <v>0</v>
      </c>
      <c r="AR320" s="37">
        <v>0</v>
      </c>
      <c r="AS320" s="37">
        <v>0</v>
      </c>
      <c r="AT320" s="37">
        <v>1</v>
      </c>
      <c r="AU320" s="33" t="str">
        <f t="shared" si="7"/>
        <v>库存为1</v>
      </c>
      <c r="AV320" s="38" t="str">
        <f>IFERROR(时间!$B$4+AU320,"上周无销量")</f>
        <v>上周无销量</v>
      </c>
    </row>
    <row r="321" spans="1:48">
      <c r="A321" s="21" t="s">
        <v>723</v>
      </c>
      <c r="B321" t="s">
        <v>724</v>
      </c>
      <c r="C321" t="s">
        <v>720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1</v>
      </c>
      <c r="J321" s="35">
        <v>0</v>
      </c>
      <c r="K321" s="35">
        <v>0</v>
      </c>
      <c r="L321" s="35">
        <v>0</v>
      </c>
      <c r="M321">
        <v>1</v>
      </c>
      <c r="N321">
        <v>0</v>
      </c>
      <c r="O321">
        <v>1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2</v>
      </c>
      <c r="AK321">
        <v>0</v>
      </c>
      <c r="AL321">
        <v>0</v>
      </c>
      <c r="AM321">
        <v>0</v>
      </c>
      <c r="AN321" s="23">
        <v>0</v>
      </c>
      <c r="AO321" s="23" t="s">
        <v>54</v>
      </c>
      <c r="AP321" s="23" t="s">
        <v>54</v>
      </c>
      <c r="AQ321" s="23" t="s">
        <v>54</v>
      </c>
      <c r="AR321" s="37">
        <v>0</v>
      </c>
      <c r="AS321" s="37">
        <v>0</v>
      </c>
      <c r="AT321" s="37">
        <v>1</v>
      </c>
      <c r="AU321" s="33" t="str">
        <f t="shared" si="7"/>
        <v>库存为1</v>
      </c>
      <c r="AV321" s="38" t="str">
        <f>IFERROR(时间!$B$4+AU321,"上周无销量")</f>
        <v>上周无销量</v>
      </c>
    </row>
    <row r="322" spans="1:48">
      <c r="A322" s="21" t="s">
        <v>725</v>
      </c>
      <c r="B322" t="s">
        <v>726</v>
      </c>
      <c r="C322" t="s">
        <v>720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1</v>
      </c>
      <c r="J322" s="35">
        <v>0</v>
      </c>
      <c r="K322" s="35">
        <v>0</v>
      </c>
      <c r="L322" s="35">
        <v>0</v>
      </c>
      <c r="M322">
        <v>1</v>
      </c>
      <c r="N322">
        <v>0</v>
      </c>
      <c r="O322">
        <v>1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2</v>
      </c>
      <c r="AK322">
        <v>0</v>
      </c>
      <c r="AL322">
        <v>0</v>
      </c>
      <c r="AM322">
        <v>0</v>
      </c>
      <c r="AN322" s="23">
        <v>0</v>
      </c>
      <c r="AO322" s="23" t="s">
        <v>54</v>
      </c>
      <c r="AP322" s="23" t="s">
        <v>54</v>
      </c>
      <c r="AQ322" s="23" t="s">
        <v>54</v>
      </c>
      <c r="AR322" s="37">
        <v>0</v>
      </c>
      <c r="AS322" s="37">
        <v>0</v>
      </c>
      <c r="AT322" s="37">
        <v>1</v>
      </c>
      <c r="AU322" s="33" t="str">
        <f t="shared" si="7"/>
        <v>库存为1</v>
      </c>
      <c r="AV322" s="38" t="str">
        <f>IFERROR(时间!$B$4+AU322,"上周无销量")</f>
        <v>上周无销量</v>
      </c>
    </row>
    <row r="323" spans="1:48">
      <c r="A323" s="21" t="s">
        <v>727</v>
      </c>
      <c r="B323" t="s">
        <v>728</v>
      </c>
      <c r="C323" t="s">
        <v>729</v>
      </c>
      <c r="D323" s="33">
        <v>0</v>
      </c>
      <c r="E323" s="33">
        <v>1</v>
      </c>
      <c r="F323" s="33">
        <v>0</v>
      </c>
      <c r="G323" s="33">
        <v>0</v>
      </c>
      <c r="H323" s="34">
        <v>9.9</v>
      </c>
      <c r="I323">
        <v>0</v>
      </c>
      <c r="J323" s="35">
        <v>0</v>
      </c>
      <c r="K323" s="35">
        <v>0</v>
      </c>
      <c r="L323" s="35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2</v>
      </c>
      <c r="AL323">
        <v>2</v>
      </c>
      <c r="AM323">
        <v>0</v>
      </c>
      <c r="AN323" s="23" t="s">
        <v>54</v>
      </c>
      <c r="AO323" s="23">
        <v>0.5</v>
      </c>
      <c r="AP323" s="23">
        <v>0</v>
      </c>
      <c r="AQ323" s="23" t="s">
        <v>54</v>
      </c>
      <c r="AR323" s="37">
        <v>0</v>
      </c>
      <c r="AS323" s="37">
        <v>0</v>
      </c>
      <c r="AT323" s="37">
        <v>0</v>
      </c>
      <c r="AU323" s="33" t="str">
        <f t="shared" si="7"/>
        <v>库存为0</v>
      </c>
      <c r="AV323" s="38" t="str">
        <f>IFERROR(时间!$B$4+AU323,"上周无销量")</f>
        <v>上周无销量</v>
      </c>
    </row>
    <row r="324" spans="1:48">
      <c r="A324" s="21" t="s">
        <v>730</v>
      </c>
      <c r="B324" t="s">
        <v>731</v>
      </c>
      <c r="C324" t="s">
        <v>729</v>
      </c>
      <c r="D324" s="33">
        <v>0</v>
      </c>
      <c r="E324" s="33">
        <v>1</v>
      </c>
      <c r="F324" s="33">
        <v>0</v>
      </c>
      <c r="G324" s="33">
        <v>0</v>
      </c>
      <c r="H324" s="34">
        <v>9.9</v>
      </c>
      <c r="I324">
        <v>0</v>
      </c>
      <c r="J324" s="35">
        <v>0</v>
      </c>
      <c r="K324" s="35">
        <v>0</v>
      </c>
      <c r="L324" s="35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2</v>
      </c>
      <c r="AN324" s="23" t="s">
        <v>54</v>
      </c>
      <c r="AO324" s="23" t="s">
        <v>54</v>
      </c>
      <c r="AP324" s="23" t="s">
        <v>54</v>
      </c>
      <c r="AQ324" s="23">
        <v>0</v>
      </c>
      <c r="AR324" s="37">
        <v>0</v>
      </c>
      <c r="AS324" s="37">
        <v>0</v>
      </c>
      <c r="AT324" s="37">
        <v>0</v>
      </c>
      <c r="AU324" s="33" t="str">
        <f t="shared" si="7"/>
        <v>库存为0</v>
      </c>
      <c r="AV324" s="38" t="str">
        <f>IFERROR(时间!$B$4+AU324,"上周无销量")</f>
        <v>上周无销量</v>
      </c>
    </row>
    <row r="325" spans="1:48">
      <c r="A325" s="21" t="s">
        <v>732</v>
      </c>
      <c r="B325" t="s">
        <v>733</v>
      </c>
      <c r="C325" t="s">
        <v>729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0</v>
      </c>
      <c r="J325" s="35">
        <v>0</v>
      </c>
      <c r="K325" s="35">
        <v>0</v>
      </c>
      <c r="L325" s="35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7">
        <v>0</v>
      </c>
      <c r="AS325" s="37">
        <v>0</v>
      </c>
      <c r="AT325" s="37">
        <v>0</v>
      </c>
      <c r="AU325" s="33" t="str">
        <f t="shared" ref="AU325:AU388" si="8">IF(AR325="","库存为"&amp;M325,IF(AS325=0,"库存为"&amp;M325,INT(M325/AR325)))</f>
        <v>库存为0</v>
      </c>
      <c r="AV325" s="38" t="str">
        <f>IFERROR(时间!$B$4+AU325,"上周无销量")</f>
        <v>上周无销量</v>
      </c>
    </row>
    <row r="326" spans="1:48">
      <c r="A326" s="21" t="s">
        <v>734</v>
      </c>
      <c r="B326" t="s">
        <v>735</v>
      </c>
      <c r="C326" t="s">
        <v>729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0</v>
      </c>
      <c r="J326" s="35">
        <v>0</v>
      </c>
      <c r="K326" s="35">
        <v>0</v>
      </c>
      <c r="L326" s="35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s">
        <v>54</v>
      </c>
      <c r="AO326" s="23" t="s">
        <v>54</v>
      </c>
      <c r="AP326" s="23" t="s">
        <v>54</v>
      </c>
      <c r="AQ326" s="23" t="s">
        <v>54</v>
      </c>
      <c r="AR326" s="37">
        <v>0</v>
      </c>
      <c r="AS326" s="37">
        <v>0</v>
      </c>
      <c r="AT326" s="37">
        <v>0</v>
      </c>
      <c r="AU326" s="33" t="str">
        <f t="shared" si="8"/>
        <v>库存为0</v>
      </c>
      <c r="AV326" s="38" t="str">
        <f>IFERROR(时间!$B$4+AU326,"上周无销量")</f>
        <v>上周无销量</v>
      </c>
    </row>
    <row r="327" spans="1:48">
      <c r="A327" s="21" t="s">
        <v>736</v>
      </c>
      <c r="B327" t="s">
        <v>737</v>
      </c>
      <c r="C327" t="s">
        <v>738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0</v>
      </c>
      <c r="J327" s="35">
        <v>0</v>
      </c>
      <c r="K327" s="35">
        <v>0</v>
      </c>
      <c r="L327" s="35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s">
        <v>54</v>
      </c>
      <c r="AO327" s="23" t="s">
        <v>54</v>
      </c>
      <c r="AP327" s="23" t="s">
        <v>54</v>
      </c>
      <c r="AQ327" s="23" t="s">
        <v>54</v>
      </c>
      <c r="AR327" s="37">
        <v>0</v>
      </c>
      <c r="AS327" s="37">
        <v>0</v>
      </c>
      <c r="AT327" s="37">
        <v>0</v>
      </c>
      <c r="AU327" s="33" t="str">
        <f t="shared" si="8"/>
        <v>库存为0</v>
      </c>
      <c r="AV327" s="38" t="str">
        <f>IFERROR(时间!$B$4+AU327,"上周无销量")</f>
        <v>上周无销量</v>
      </c>
    </row>
    <row r="328" spans="1:48">
      <c r="A328" s="21" t="s">
        <v>739</v>
      </c>
      <c r="B328" t="s">
        <v>740</v>
      </c>
      <c r="C328" t="s">
        <v>738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2</v>
      </c>
      <c r="J328" s="35">
        <v>0</v>
      </c>
      <c r="K328" s="35">
        <v>0</v>
      </c>
      <c r="L328" s="35">
        <v>0</v>
      </c>
      <c r="M328">
        <v>2</v>
      </c>
      <c r="N328">
        <v>0</v>
      </c>
      <c r="O328">
        <v>2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3</v>
      </c>
      <c r="AK328">
        <v>0</v>
      </c>
      <c r="AL328">
        <v>0</v>
      </c>
      <c r="AM328">
        <v>3</v>
      </c>
      <c r="AN328" s="23">
        <v>0</v>
      </c>
      <c r="AO328" s="23" t="s">
        <v>54</v>
      </c>
      <c r="AP328" s="23" t="s">
        <v>54</v>
      </c>
      <c r="AQ328" s="23">
        <v>0</v>
      </c>
      <c r="AR328" s="37">
        <v>0</v>
      </c>
      <c r="AS328" s="37">
        <v>0</v>
      </c>
      <c r="AT328" s="37">
        <v>2</v>
      </c>
      <c r="AU328" s="33" t="str">
        <f t="shared" si="8"/>
        <v>库存为2</v>
      </c>
      <c r="AV328" s="38" t="str">
        <f>IFERROR(时间!$B$4+AU328,"上周无销量")</f>
        <v>上周无销量</v>
      </c>
    </row>
    <row r="329" spans="1:48">
      <c r="A329" s="21" t="s">
        <v>741</v>
      </c>
      <c r="B329" t="s">
        <v>742</v>
      </c>
      <c r="C329" t="s">
        <v>743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2</v>
      </c>
      <c r="J329" s="35">
        <v>0</v>
      </c>
      <c r="K329" s="35">
        <v>0</v>
      </c>
      <c r="L329" s="35">
        <v>0</v>
      </c>
      <c r="M329">
        <v>2</v>
      </c>
      <c r="N329">
        <v>0</v>
      </c>
      <c r="O329">
        <v>2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2</v>
      </c>
      <c r="AK329">
        <v>0</v>
      </c>
      <c r="AL329">
        <v>0</v>
      </c>
      <c r="AM329">
        <v>0</v>
      </c>
      <c r="AN329" s="23">
        <v>0</v>
      </c>
      <c r="AO329" s="23" t="s">
        <v>54</v>
      </c>
      <c r="AP329" s="23" t="s">
        <v>54</v>
      </c>
      <c r="AQ329" s="23" t="s">
        <v>54</v>
      </c>
      <c r="AR329" s="37">
        <v>0</v>
      </c>
      <c r="AS329" s="37">
        <v>0</v>
      </c>
      <c r="AT329" s="37">
        <v>2</v>
      </c>
      <c r="AU329" s="33" t="str">
        <f t="shared" si="8"/>
        <v>库存为2</v>
      </c>
      <c r="AV329" s="38" t="str">
        <f>IFERROR(时间!$B$4+AU329,"上周无销量")</f>
        <v>上周无销量</v>
      </c>
    </row>
    <row r="330" spans="1:48">
      <c r="A330" s="21" t="s">
        <v>744</v>
      </c>
      <c r="B330" t="s">
        <v>745</v>
      </c>
      <c r="C330" t="s">
        <v>743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2</v>
      </c>
      <c r="J330" s="35">
        <v>0</v>
      </c>
      <c r="K330" s="35">
        <v>0</v>
      </c>
      <c r="L330" s="35">
        <v>0</v>
      </c>
      <c r="M330">
        <v>2</v>
      </c>
      <c r="N330">
        <v>0</v>
      </c>
      <c r="O330">
        <v>2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3</v>
      </c>
      <c r="AK330">
        <v>0</v>
      </c>
      <c r="AL330">
        <v>0</v>
      </c>
      <c r="AM330">
        <v>0</v>
      </c>
      <c r="AN330" s="23">
        <v>0</v>
      </c>
      <c r="AO330" s="23" t="s">
        <v>54</v>
      </c>
      <c r="AP330" s="23" t="s">
        <v>54</v>
      </c>
      <c r="AQ330" s="23" t="s">
        <v>54</v>
      </c>
      <c r="AR330" s="37">
        <v>0</v>
      </c>
      <c r="AS330" s="37">
        <v>0</v>
      </c>
      <c r="AT330" s="37">
        <v>2</v>
      </c>
      <c r="AU330" s="33" t="str">
        <f t="shared" si="8"/>
        <v>库存为2</v>
      </c>
      <c r="AV330" s="38" t="str">
        <f>IFERROR(时间!$B$4+AU330,"上周无销量")</f>
        <v>上周无销量</v>
      </c>
    </row>
    <row r="331" spans="1:48">
      <c r="A331" s="21" t="s">
        <v>746</v>
      </c>
      <c r="B331" t="s">
        <v>747</v>
      </c>
      <c r="C331" t="s">
        <v>748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0</v>
      </c>
      <c r="J331" s="35">
        <v>0</v>
      </c>
      <c r="K331" s="35">
        <v>0</v>
      </c>
      <c r="L331" s="35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s">
        <v>54</v>
      </c>
      <c r="AO331" s="23" t="s">
        <v>54</v>
      </c>
      <c r="AP331" s="23" t="s">
        <v>54</v>
      </c>
      <c r="AQ331" s="23" t="s">
        <v>54</v>
      </c>
      <c r="AR331" s="37">
        <v>0</v>
      </c>
      <c r="AS331" s="37">
        <v>0</v>
      </c>
      <c r="AT331" s="37">
        <v>0</v>
      </c>
      <c r="AU331" s="33" t="str">
        <f t="shared" si="8"/>
        <v>库存为0</v>
      </c>
      <c r="AV331" s="38" t="str">
        <f>IFERROR(时间!$B$4+AU331,"上周无销量")</f>
        <v>上周无销量</v>
      </c>
    </row>
    <row r="332" spans="1:48">
      <c r="A332" s="21" t="s">
        <v>749</v>
      </c>
      <c r="B332" t="s">
        <v>750</v>
      </c>
      <c r="C332" t="s">
        <v>751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1</v>
      </c>
      <c r="J332" s="35">
        <v>0</v>
      </c>
      <c r="K332" s="35">
        <v>0</v>
      </c>
      <c r="L332" s="35">
        <v>0</v>
      </c>
      <c r="M332">
        <v>1</v>
      </c>
      <c r="N332">
        <v>0</v>
      </c>
      <c r="O332">
        <v>1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3</v>
      </c>
      <c r="AK332">
        <v>0</v>
      </c>
      <c r="AL332">
        <v>0</v>
      </c>
      <c r="AM332">
        <v>1</v>
      </c>
      <c r="AN332" s="23">
        <v>0</v>
      </c>
      <c r="AO332" s="23" t="s">
        <v>54</v>
      </c>
      <c r="AP332" s="23" t="s">
        <v>54</v>
      </c>
      <c r="AQ332" s="23">
        <v>0</v>
      </c>
      <c r="AR332" s="37">
        <v>0</v>
      </c>
      <c r="AS332" s="37">
        <v>0</v>
      </c>
      <c r="AT332" s="37">
        <v>1</v>
      </c>
      <c r="AU332" s="33" t="str">
        <f t="shared" si="8"/>
        <v>库存为1</v>
      </c>
      <c r="AV332" s="38" t="str">
        <f>IFERROR(时间!$B$4+AU332,"上周无销量")</f>
        <v>上周无销量</v>
      </c>
    </row>
    <row r="333" spans="1:48">
      <c r="A333" s="21" t="s">
        <v>752</v>
      </c>
      <c r="B333" t="s">
        <v>753</v>
      </c>
      <c r="C333" t="s">
        <v>751</v>
      </c>
      <c r="D333" s="33">
        <v>0</v>
      </c>
      <c r="E333" s="33">
        <v>1</v>
      </c>
      <c r="F333" s="33">
        <v>0</v>
      </c>
      <c r="G333" s="33">
        <v>0</v>
      </c>
      <c r="H333" s="34">
        <v>12.9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3</v>
      </c>
      <c r="AL333">
        <v>3</v>
      </c>
      <c r="AM333">
        <v>0</v>
      </c>
      <c r="AN333" s="23" t="s">
        <v>54</v>
      </c>
      <c r="AO333" s="23">
        <v>0.333333333333333</v>
      </c>
      <c r="AP333" s="23">
        <v>0</v>
      </c>
      <c r="AQ333" s="23" t="s">
        <v>54</v>
      </c>
      <c r="AR333" s="37">
        <v>0</v>
      </c>
      <c r="AS333" s="37">
        <v>0</v>
      </c>
      <c r="AT333" s="37">
        <v>0</v>
      </c>
      <c r="AU333" s="33" t="str">
        <f t="shared" si="8"/>
        <v>库存为0</v>
      </c>
      <c r="AV333" s="38" t="str">
        <f>IFERROR(时间!$B$4+AU333,"上周无销量")</f>
        <v>上周无销量</v>
      </c>
    </row>
    <row r="334" spans="1:48">
      <c r="A334" s="21" t="s">
        <v>754</v>
      </c>
      <c r="B334" t="s">
        <v>755</v>
      </c>
      <c r="C334" t="s">
        <v>751</v>
      </c>
      <c r="D334" s="33">
        <v>0</v>
      </c>
      <c r="E334" s="33">
        <v>0</v>
      </c>
      <c r="F334" s="33">
        <v>1</v>
      </c>
      <c r="G334" s="33">
        <v>0</v>
      </c>
      <c r="H334" s="34">
        <v>12.9</v>
      </c>
      <c r="I334">
        <v>0</v>
      </c>
      <c r="J334" s="35">
        <v>0</v>
      </c>
      <c r="K334" s="35">
        <v>0</v>
      </c>
      <c r="L334" s="35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2</v>
      </c>
      <c r="AL334">
        <v>2</v>
      </c>
      <c r="AM334">
        <v>0</v>
      </c>
      <c r="AN334" s="23" t="s">
        <v>54</v>
      </c>
      <c r="AO334" s="23">
        <v>0</v>
      </c>
      <c r="AP334" s="23">
        <v>0.5</v>
      </c>
      <c r="AQ334" s="23" t="s">
        <v>54</v>
      </c>
      <c r="AR334" s="37">
        <v>0</v>
      </c>
      <c r="AS334" s="37">
        <v>0</v>
      </c>
      <c r="AT334" s="37">
        <v>0</v>
      </c>
      <c r="AU334" s="33" t="str">
        <f t="shared" si="8"/>
        <v>库存为0</v>
      </c>
      <c r="AV334" s="38" t="str">
        <f>IFERROR(时间!$B$4+AU334,"上周无销量")</f>
        <v>上周无销量</v>
      </c>
    </row>
    <row r="335" spans="1:48">
      <c r="A335" s="21" t="s">
        <v>756</v>
      </c>
      <c r="B335" t="s">
        <v>757</v>
      </c>
      <c r="C335" t="s">
        <v>758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5</v>
      </c>
      <c r="J335" s="35">
        <v>0</v>
      </c>
      <c r="K335" s="35">
        <v>0</v>
      </c>
      <c r="L335" s="35">
        <v>0</v>
      </c>
      <c r="M335">
        <v>5</v>
      </c>
      <c r="N335">
        <v>0</v>
      </c>
      <c r="O335">
        <v>5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1</v>
      </c>
      <c r="AK335">
        <v>1</v>
      </c>
      <c r="AL335">
        <v>1</v>
      </c>
      <c r="AM335">
        <v>0</v>
      </c>
      <c r="AN335" s="23">
        <v>0</v>
      </c>
      <c r="AO335" s="23">
        <v>0</v>
      </c>
      <c r="AP335" s="23">
        <v>0</v>
      </c>
      <c r="AQ335" s="23" t="s">
        <v>54</v>
      </c>
      <c r="AR335" s="37">
        <v>0</v>
      </c>
      <c r="AS335" s="37">
        <v>0</v>
      </c>
      <c r="AT335" s="37">
        <v>5</v>
      </c>
      <c r="AU335" s="33" t="str">
        <f t="shared" si="8"/>
        <v>库存为5</v>
      </c>
      <c r="AV335" s="38" t="str">
        <f>IFERROR(时间!$B$4+AU335,"上周无销量")</f>
        <v>上周无销量</v>
      </c>
    </row>
    <row r="336" spans="1:48">
      <c r="A336" s="21" t="s">
        <v>759</v>
      </c>
      <c r="B336" t="s">
        <v>760</v>
      </c>
      <c r="C336" t="s">
        <v>758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4</v>
      </c>
      <c r="J336" s="35">
        <v>0</v>
      </c>
      <c r="K336" s="35">
        <v>0</v>
      </c>
      <c r="L336" s="35">
        <v>0</v>
      </c>
      <c r="M336">
        <v>4</v>
      </c>
      <c r="N336">
        <v>0</v>
      </c>
      <c r="O336">
        <v>4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2</v>
      </c>
      <c r="AK336">
        <v>2</v>
      </c>
      <c r="AL336">
        <v>2</v>
      </c>
      <c r="AM336">
        <v>1</v>
      </c>
      <c r="AN336" s="23">
        <v>0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4</v>
      </c>
      <c r="AU336" s="33" t="str">
        <f t="shared" si="8"/>
        <v>库存为4</v>
      </c>
      <c r="AV336" s="38" t="str">
        <f>IFERROR(时间!$B$4+AU336,"上周无销量")</f>
        <v>上周无销量</v>
      </c>
    </row>
    <row r="337" spans="1:48">
      <c r="A337" s="21" t="s">
        <v>761</v>
      </c>
      <c r="B337" t="s">
        <v>762</v>
      </c>
      <c r="C337" t="s">
        <v>758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3</v>
      </c>
      <c r="J337" s="35">
        <v>0</v>
      </c>
      <c r="K337" s="35">
        <v>0</v>
      </c>
      <c r="L337" s="35">
        <v>0</v>
      </c>
      <c r="M337">
        <v>3</v>
      </c>
      <c r="N337">
        <v>0</v>
      </c>
      <c r="O337">
        <v>3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3</v>
      </c>
      <c r="AK337">
        <v>0</v>
      </c>
      <c r="AL337">
        <v>0</v>
      </c>
      <c r="AM337">
        <v>0</v>
      </c>
      <c r="AN337" s="23">
        <v>0</v>
      </c>
      <c r="AO337" s="23" t="s">
        <v>54</v>
      </c>
      <c r="AP337" s="23" t="s">
        <v>54</v>
      </c>
      <c r="AQ337" s="23" t="s">
        <v>54</v>
      </c>
      <c r="AR337" s="37">
        <v>0</v>
      </c>
      <c r="AS337" s="37">
        <v>0</v>
      </c>
      <c r="AT337" s="37">
        <v>3</v>
      </c>
      <c r="AU337" s="33" t="str">
        <f t="shared" si="8"/>
        <v>库存为3</v>
      </c>
      <c r="AV337" s="38" t="str">
        <f>IFERROR(时间!$B$4+AU337,"上周无销量")</f>
        <v>上周无销量</v>
      </c>
    </row>
    <row r="338" spans="1:48">
      <c r="A338" s="21" t="s">
        <v>763</v>
      </c>
      <c r="B338" t="s">
        <v>764</v>
      </c>
      <c r="C338" t="s">
        <v>758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2</v>
      </c>
      <c r="J338" s="35">
        <v>0</v>
      </c>
      <c r="K338" s="35">
        <v>0</v>
      </c>
      <c r="L338" s="35">
        <v>0</v>
      </c>
      <c r="M338">
        <v>2</v>
      </c>
      <c r="N338">
        <v>0</v>
      </c>
      <c r="O338">
        <v>2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1</v>
      </c>
      <c r="AK338">
        <v>2</v>
      </c>
      <c r="AL338">
        <v>2</v>
      </c>
      <c r="AM338">
        <v>1</v>
      </c>
      <c r="AN338" s="23">
        <v>0</v>
      </c>
      <c r="AO338" s="23">
        <v>0</v>
      </c>
      <c r="AP338" s="23">
        <v>0</v>
      </c>
      <c r="AQ338" s="23">
        <v>0</v>
      </c>
      <c r="AR338" s="37">
        <v>0</v>
      </c>
      <c r="AS338" s="37">
        <v>0</v>
      </c>
      <c r="AT338" s="37">
        <v>2</v>
      </c>
      <c r="AU338" s="33" t="str">
        <f t="shared" si="8"/>
        <v>库存为2</v>
      </c>
      <c r="AV338" s="38" t="str">
        <f>IFERROR(时间!$B$4+AU338,"上周无销量")</f>
        <v>上周无销量</v>
      </c>
    </row>
    <row r="339" spans="1:48">
      <c r="A339" s="21" t="s">
        <v>765</v>
      </c>
      <c r="B339" t="s">
        <v>766</v>
      </c>
      <c r="C339" t="s">
        <v>758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0</v>
      </c>
      <c r="J339" s="35">
        <v>0</v>
      </c>
      <c r="K339" s="35">
        <v>0</v>
      </c>
      <c r="L339" s="35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s">
        <v>54</v>
      </c>
      <c r="AO339" s="23" t="s">
        <v>54</v>
      </c>
      <c r="AP339" s="23" t="s">
        <v>54</v>
      </c>
      <c r="AQ339" s="23" t="s">
        <v>54</v>
      </c>
      <c r="AR339" s="37">
        <v>0</v>
      </c>
      <c r="AS339" s="37">
        <v>0</v>
      </c>
      <c r="AT339" s="37">
        <v>0</v>
      </c>
      <c r="AU339" s="33" t="str">
        <f t="shared" si="8"/>
        <v>库存为0</v>
      </c>
      <c r="AV339" s="38" t="str">
        <f>IFERROR(时间!$B$4+AU339,"上周无销量")</f>
        <v>上周无销量</v>
      </c>
    </row>
    <row r="340" spans="1:48">
      <c r="A340" s="21" t="s">
        <v>767</v>
      </c>
      <c r="B340" t="s">
        <v>768</v>
      </c>
      <c r="C340" t="s">
        <v>758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2</v>
      </c>
      <c r="J340" s="35">
        <v>0</v>
      </c>
      <c r="K340" s="35">
        <v>0</v>
      </c>
      <c r="L340" s="35">
        <v>0</v>
      </c>
      <c r="M340">
        <v>2</v>
      </c>
      <c r="N340">
        <v>0</v>
      </c>
      <c r="O340">
        <v>1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2</v>
      </c>
      <c r="AL340">
        <v>2</v>
      </c>
      <c r="AM340">
        <v>1</v>
      </c>
      <c r="AN340" s="23" t="s">
        <v>54</v>
      </c>
      <c r="AO340" s="23">
        <v>0</v>
      </c>
      <c r="AP340" s="23">
        <v>0</v>
      </c>
      <c r="AQ340" s="23">
        <v>0</v>
      </c>
      <c r="AR340" s="37">
        <v>0</v>
      </c>
      <c r="AS340" s="37">
        <v>0</v>
      </c>
      <c r="AT340" s="37">
        <v>2</v>
      </c>
      <c r="AU340" s="33" t="str">
        <f t="shared" si="8"/>
        <v>库存为2</v>
      </c>
      <c r="AV340" s="38" t="str">
        <f>IFERROR(时间!$B$4+AU340,"上周无销量")</f>
        <v>上周无销量</v>
      </c>
    </row>
    <row r="341" spans="1:48">
      <c r="A341" s="21" t="s">
        <v>769</v>
      </c>
      <c r="B341" t="s">
        <v>770</v>
      </c>
      <c r="C341" t="s">
        <v>771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1</v>
      </c>
      <c r="J341" s="35">
        <v>0</v>
      </c>
      <c r="K341" s="35">
        <v>0</v>
      </c>
      <c r="L341" s="35">
        <v>0</v>
      </c>
      <c r="M341">
        <v>1</v>
      </c>
      <c r="N341">
        <v>0</v>
      </c>
      <c r="O341">
        <v>1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1</v>
      </c>
      <c r="AK341">
        <v>2</v>
      </c>
      <c r="AL341">
        <v>2</v>
      </c>
      <c r="AM341">
        <v>1</v>
      </c>
      <c r="AN341" s="23">
        <v>0</v>
      </c>
      <c r="AO341" s="23">
        <v>0</v>
      </c>
      <c r="AP341" s="23">
        <v>0</v>
      </c>
      <c r="AQ341" s="23">
        <v>0</v>
      </c>
      <c r="AR341" s="37">
        <v>0</v>
      </c>
      <c r="AS341" s="37">
        <v>0</v>
      </c>
      <c r="AT341" s="37">
        <v>1</v>
      </c>
      <c r="AU341" s="33" t="str">
        <f t="shared" si="8"/>
        <v>库存为1</v>
      </c>
      <c r="AV341" s="38" t="str">
        <f>IFERROR(时间!$B$4+AU341,"上周无销量")</f>
        <v>上周无销量</v>
      </c>
    </row>
    <row r="342" spans="1:48">
      <c r="A342" s="21" t="s">
        <v>772</v>
      </c>
      <c r="B342" t="s">
        <v>773</v>
      </c>
      <c r="C342" t="s">
        <v>771</v>
      </c>
      <c r="D342" s="33">
        <v>0</v>
      </c>
      <c r="E342" s="33">
        <v>0</v>
      </c>
      <c r="F342" s="33">
        <v>1</v>
      </c>
      <c r="G342" s="33">
        <v>0</v>
      </c>
      <c r="H342" s="34">
        <v>17.88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1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1</v>
      </c>
      <c r="AK342">
        <v>2</v>
      </c>
      <c r="AL342">
        <v>2</v>
      </c>
      <c r="AM342">
        <v>3</v>
      </c>
      <c r="AN342" s="23">
        <v>0</v>
      </c>
      <c r="AO342" s="23">
        <v>0</v>
      </c>
      <c r="AP342" s="23">
        <v>0.5</v>
      </c>
      <c r="AQ342" s="23">
        <v>0</v>
      </c>
      <c r="AR342" s="37">
        <v>0</v>
      </c>
      <c r="AS342" s="37">
        <v>0</v>
      </c>
      <c r="AT342" s="37">
        <v>0</v>
      </c>
      <c r="AU342" s="33" t="str">
        <f t="shared" si="8"/>
        <v>库存为0</v>
      </c>
      <c r="AV342" s="38" t="str">
        <f>IFERROR(时间!$B$4+AU342,"上周无销量")</f>
        <v>上周无销量</v>
      </c>
    </row>
    <row r="343" spans="1:48">
      <c r="A343" s="21" t="s">
        <v>774</v>
      </c>
      <c r="B343" t="s">
        <v>775</v>
      </c>
      <c r="C343" t="s">
        <v>771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0</v>
      </c>
      <c r="J343" s="35">
        <v>0</v>
      </c>
      <c r="K343" s="35">
        <v>0</v>
      </c>
      <c r="L343" s="35">
        <v>0</v>
      </c>
      <c r="M343">
        <v>0</v>
      </c>
      <c r="N343">
        <v>0</v>
      </c>
      <c r="O343">
        <v>1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4</v>
      </c>
      <c r="AK343">
        <v>0</v>
      </c>
      <c r="AL343">
        <v>0</v>
      </c>
      <c r="AM343">
        <v>1</v>
      </c>
      <c r="AN343" s="23">
        <v>0</v>
      </c>
      <c r="AO343" s="23" t="s">
        <v>54</v>
      </c>
      <c r="AP343" s="23" t="s">
        <v>54</v>
      </c>
      <c r="AQ343" s="23">
        <v>0</v>
      </c>
      <c r="AR343" s="37">
        <v>0</v>
      </c>
      <c r="AS343" s="37">
        <v>0</v>
      </c>
      <c r="AT343" s="37">
        <v>0</v>
      </c>
      <c r="AU343" s="33" t="str">
        <f t="shared" si="8"/>
        <v>库存为0</v>
      </c>
      <c r="AV343" s="38" t="str">
        <f>IFERROR(时间!$B$4+AU343,"上周无销量")</f>
        <v>上周无销量</v>
      </c>
    </row>
    <row r="344" spans="1:48">
      <c r="A344" s="21" t="s">
        <v>776</v>
      </c>
      <c r="B344" t="s">
        <v>777</v>
      </c>
      <c r="C344" t="s">
        <v>771</v>
      </c>
      <c r="D344" s="33">
        <v>0</v>
      </c>
      <c r="E344" s="33">
        <v>1</v>
      </c>
      <c r="F344" s="33">
        <v>1</v>
      </c>
      <c r="G344" s="33">
        <v>0</v>
      </c>
      <c r="H344" s="34">
        <v>17.88</v>
      </c>
      <c r="I344">
        <v>0</v>
      </c>
      <c r="J344" s="35">
        <v>0</v>
      </c>
      <c r="K344" s="35">
        <v>0</v>
      </c>
      <c r="L344" s="35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2</v>
      </c>
      <c r="AL344">
        <v>2</v>
      </c>
      <c r="AM344">
        <v>1</v>
      </c>
      <c r="AN344" s="23" t="s">
        <v>54</v>
      </c>
      <c r="AO344" s="23">
        <v>0.5</v>
      </c>
      <c r="AP344" s="23">
        <v>0.5</v>
      </c>
      <c r="AQ344" s="23">
        <v>0</v>
      </c>
      <c r="AR344" s="37">
        <v>0</v>
      </c>
      <c r="AS344" s="37">
        <v>0</v>
      </c>
      <c r="AT344" s="37">
        <v>0</v>
      </c>
      <c r="AU344" s="33" t="str">
        <f t="shared" si="8"/>
        <v>库存为0</v>
      </c>
      <c r="AV344" s="38" t="str">
        <f>IFERROR(时间!$B$4+AU344,"上周无销量")</f>
        <v>上周无销量</v>
      </c>
    </row>
    <row r="345" spans="1:48">
      <c r="A345" s="21" t="s">
        <v>778</v>
      </c>
      <c r="B345" t="s">
        <v>779</v>
      </c>
      <c r="C345" t="s">
        <v>771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0</v>
      </c>
      <c r="J345" s="35">
        <v>0</v>
      </c>
      <c r="K345" s="35">
        <v>0</v>
      </c>
      <c r="L345" s="35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s">
        <v>54</v>
      </c>
      <c r="AO345" s="23" t="s">
        <v>54</v>
      </c>
      <c r="AP345" s="23" t="s">
        <v>54</v>
      </c>
      <c r="AQ345" s="23" t="s">
        <v>54</v>
      </c>
      <c r="AR345" s="37">
        <v>0</v>
      </c>
      <c r="AS345" s="37">
        <v>0</v>
      </c>
      <c r="AT345" s="37">
        <v>0</v>
      </c>
      <c r="AU345" s="33" t="str">
        <f t="shared" si="8"/>
        <v>库存为0</v>
      </c>
      <c r="AV345" s="38" t="str">
        <f>IFERROR(时间!$B$4+AU345,"上周无销量")</f>
        <v>上周无销量</v>
      </c>
    </row>
    <row r="346" spans="1:48">
      <c r="A346" s="21" t="s">
        <v>780</v>
      </c>
      <c r="B346" t="s">
        <v>781</v>
      </c>
      <c r="C346" t="s">
        <v>771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3</v>
      </c>
      <c r="J346" s="35">
        <v>0</v>
      </c>
      <c r="K346" s="35">
        <v>0</v>
      </c>
      <c r="L346" s="35">
        <v>0</v>
      </c>
      <c r="M346">
        <v>3</v>
      </c>
      <c r="N346">
        <v>0</v>
      </c>
      <c r="O346">
        <v>3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1</v>
      </c>
      <c r="AK346">
        <v>1</v>
      </c>
      <c r="AL346">
        <v>1</v>
      </c>
      <c r="AM346">
        <v>1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3</v>
      </c>
      <c r="AU346" s="33" t="str">
        <f t="shared" si="8"/>
        <v>库存为3</v>
      </c>
      <c r="AV346" s="38" t="str">
        <f>IFERROR(时间!$B$4+AU346,"上周无销量")</f>
        <v>上周无销量</v>
      </c>
    </row>
    <row r="347" spans="1:48">
      <c r="A347" s="21" t="s">
        <v>782</v>
      </c>
      <c r="B347" t="s">
        <v>783</v>
      </c>
      <c r="C347" t="s">
        <v>771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3</v>
      </c>
      <c r="J347" s="35">
        <v>0</v>
      </c>
      <c r="K347" s="35">
        <v>0</v>
      </c>
      <c r="L347" s="35">
        <v>0</v>
      </c>
      <c r="M347">
        <v>3</v>
      </c>
      <c r="N347">
        <v>0</v>
      </c>
      <c r="O347">
        <v>3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2</v>
      </c>
      <c r="AK347">
        <v>1</v>
      </c>
      <c r="AL347">
        <v>1</v>
      </c>
      <c r="AM347">
        <v>0</v>
      </c>
      <c r="AN347" s="23">
        <v>0</v>
      </c>
      <c r="AO347" s="23">
        <v>0</v>
      </c>
      <c r="AP347" s="23">
        <v>0</v>
      </c>
      <c r="AQ347" s="23" t="s">
        <v>54</v>
      </c>
      <c r="AR347" s="37">
        <v>0</v>
      </c>
      <c r="AS347" s="37">
        <v>0</v>
      </c>
      <c r="AT347" s="37">
        <v>3</v>
      </c>
      <c r="AU347" s="33" t="str">
        <f t="shared" si="8"/>
        <v>库存为3</v>
      </c>
      <c r="AV347" s="38" t="str">
        <f>IFERROR(时间!$B$4+AU347,"上周无销量")</f>
        <v>上周无销量</v>
      </c>
    </row>
    <row r="348" spans="1:48">
      <c r="A348" s="21" t="s">
        <v>784</v>
      </c>
      <c r="B348" t="s">
        <v>785</v>
      </c>
      <c r="C348" t="s">
        <v>786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2</v>
      </c>
      <c r="J348" s="35">
        <v>0</v>
      </c>
      <c r="K348" s="35">
        <v>0</v>
      </c>
      <c r="L348" s="35">
        <v>0</v>
      </c>
      <c r="M348">
        <v>2</v>
      </c>
      <c r="N348">
        <v>0</v>
      </c>
      <c r="O348">
        <v>2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1</v>
      </c>
      <c r="AK348">
        <v>0</v>
      </c>
      <c r="AL348">
        <v>0</v>
      </c>
      <c r="AM348">
        <v>0</v>
      </c>
      <c r="AN348" s="23">
        <v>0</v>
      </c>
      <c r="AO348" s="23" t="s">
        <v>54</v>
      </c>
      <c r="AP348" s="23" t="s">
        <v>54</v>
      </c>
      <c r="AQ348" s="23" t="s">
        <v>54</v>
      </c>
      <c r="AR348" s="37">
        <v>0</v>
      </c>
      <c r="AS348" s="37">
        <v>0</v>
      </c>
      <c r="AT348" s="37">
        <v>2</v>
      </c>
      <c r="AU348" s="33" t="str">
        <f t="shared" si="8"/>
        <v>库存为2</v>
      </c>
      <c r="AV348" s="38" t="str">
        <f>IFERROR(时间!$B$4+AU348,"上周无销量")</f>
        <v>上周无销量</v>
      </c>
    </row>
    <row r="349" spans="1:48">
      <c r="A349" s="21" t="s">
        <v>787</v>
      </c>
      <c r="B349" t="s">
        <v>788</v>
      </c>
      <c r="C349" t="s">
        <v>786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3</v>
      </c>
      <c r="J349" s="35">
        <v>0</v>
      </c>
      <c r="K349" s="35">
        <v>0</v>
      </c>
      <c r="L349" s="35">
        <v>0</v>
      </c>
      <c r="M349">
        <v>3</v>
      </c>
      <c r="N349">
        <v>0</v>
      </c>
      <c r="O349">
        <v>3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3</v>
      </c>
      <c r="AK349">
        <v>2</v>
      </c>
      <c r="AL349">
        <v>2</v>
      </c>
      <c r="AM349">
        <v>1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3</v>
      </c>
      <c r="AU349" s="33" t="str">
        <f t="shared" si="8"/>
        <v>库存为3</v>
      </c>
      <c r="AV349" s="38" t="str">
        <f>IFERROR(时间!$B$4+AU349,"上周无销量")</f>
        <v>上周无销量</v>
      </c>
    </row>
    <row r="350" spans="1:48">
      <c r="A350" s="21" t="s">
        <v>789</v>
      </c>
      <c r="B350" t="s">
        <v>790</v>
      </c>
      <c r="C350" t="s">
        <v>786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3</v>
      </c>
      <c r="J350" s="35">
        <v>0</v>
      </c>
      <c r="K350" s="35">
        <v>0</v>
      </c>
      <c r="L350" s="35">
        <v>0</v>
      </c>
      <c r="M350">
        <v>3</v>
      </c>
      <c r="N350">
        <v>0</v>
      </c>
      <c r="O350">
        <v>3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3</v>
      </c>
      <c r="AK350">
        <v>0</v>
      </c>
      <c r="AL350">
        <v>0</v>
      </c>
      <c r="AM350">
        <v>0</v>
      </c>
      <c r="AN350" s="23">
        <v>0</v>
      </c>
      <c r="AO350" s="23" t="s">
        <v>54</v>
      </c>
      <c r="AP350" s="23" t="s">
        <v>54</v>
      </c>
      <c r="AQ350" s="23" t="s">
        <v>54</v>
      </c>
      <c r="AR350" s="37">
        <v>0</v>
      </c>
      <c r="AS350" s="37">
        <v>0</v>
      </c>
      <c r="AT350" s="37">
        <v>3</v>
      </c>
      <c r="AU350" s="33" t="str">
        <f t="shared" si="8"/>
        <v>库存为3</v>
      </c>
      <c r="AV350" s="38" t="str">
        <f>IFERROR(时间!$B$4+AU350,"上周无销量")</f>
        <v>上周无销量</v>
      </c>
    </row>
    <row r="351" spans="1:48">
      <c r="A351" s="21" t="s">
        <v>791</v>
      </c>
      <c r="B351" t="s">
        <v>792</v>
      </c>
      <c r="C351" t="s">
        <v>786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3</v>
      </c>
      <c r="J351" s="35">
        <v>0</v>
      </c>
      <c r="K351" s="35">
        <v>0</v>
      </c>
      <c r="L351" s="35">
        <v>0</v>
      </c>
      <c r="M351">
        <v>3</v>
      </c>
      <c r="N351">
        <v>0</v>
      </c>
      <c r="O351">
        <v>3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2</v>
      </c>
      <c r="AK351">
        <v>0</v>
      </c>
      <c r="AL351">
        <v>0</v>
      </c>
      <c r="AM351">
        <v>0</v>
      </c>
      <c r="AN351" s="23">
        <v>0</v>
      </c>
      <c r="AO351" s="23" t="s">
        <v>54</v>
      </c>
      <c r="AP351" s="23" t="s">
        <v>54</v>
      </c>
      <c r="AQ351" s="23" t="s">
        <v>54</v>
      </c>
      <c r="AR351" s="37">
        <v>0</v>
      </c>
      <c r="AS351" s="37">
        <v>0</v>
      </c>
      <c r="AT351" s="37">
        <v>3</v>
      </c>
      <c r="AU351" s="33" t="str">
        <f t="shared" si="8"/>
        <v>库存为3</v>
      </c>
      <c r="AV351" s="38" t="str">
        <f>IFERROR(时间!$B$4+AU351,"上周无销量")</f>
        <v>上周无销量</v>
      </c>
    </row>
    <row r="352" spans="1:48">
      <c r="A352" s="21" t="s">
        <v>793</v>
      </c>
      <c r="B352" t="s">
        <v>794</v>
      </c>
      <c r="C352" t="s">
        <v>786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1</v>
      </c>
      <c r="J352" s="35">
        <v>0</v>
      </c>
      <c r="K352" s="35">
        <v>0</v>
      </c>
      <c r="L352" s="35">
        <v>0</v>
      </c>
      <c r="M352">
        <v>1</v>
      </c>
      <c r="N352">
        <v>0</v>
      </c>
      <c r="O352">
        <v>1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s">
        <v>54</v>
      </c>
      <c r="AO352" s="23" t="s">
        <v>54</v>
      </c>
      <c r="AP352" s="23" t="s">
        <v>54</v>
      </c>
      <c r="AQ352" s="23" t="s">
        <v>54</v>
      </c>
      <c r="AR352" s="37">
        <v>0</v>
      </c>
      <c r="AS352" s="37">
        <v>0</v>
      </c>
      <c r="AT352" s="37">
        <v>1</v>
      </c>
      <c r="AU352" s="33" t="str">
        <f t="shared" si="8"/>
        <v>库存为1</v>
      </c>
      <c r="AV352" s="38" t="str">
        <f>IFERROR(时间!$B$4+AU352,"上周无销量")</f>
        <v>上周无销量</v>
      </c>
    </row>
    <row r="353" spans="1:48">
      <c r="A353" s="21" t="s">
        <v>795</v>
      </c>
      <c r="B353" t="s">
        <v>796</v>
      </c>
      <c r="C353" t="s">
        <v>797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1</v>
      </c>
      <c r="J353" s="35">
        <v>0</v>
      </c>
      <c r="K353" s="35">
        <v>0</v>
      </c>
      <c r="L353" s="35">
        <v>0</v>
      </c>
      <c r="M353">
        <v>1</v>
      </c>
      <c r="N353">
        <v>0</v>
      </c>
      <c r="O353">
        <v>1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2</v>
      </c>
      <c r="AK353">
        <v>2</v>
      </c>
      <c r="AL353">
        <v>2</v>
      </c>
      <c r="AM353">
        <v>1</v>
      </c>
      <c r="AN353" s="23">
        <v>0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1</v>
      </c>
      <c r="AU353" s="33" t="str">
        <f t="shared" si="8"/>
        <v>库存为1</v>
      </c>
      <c r="AV353" s="38" t="str">
        <f>IFERROR(时间!$B$4+AU353,"上周无销量")</f>
        <v>上周无销量</v>
      </c>
    </row>
    <row r="354" spans="1:48">
      <c r="A354" s="21" t="s">
        <v>798</v>
      </c>
      <c r="B354" t="s">
        <v>799</v>
      </c>
      <c r="C354" t="s">
        <v>800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1</v>
      </c>
      <c r="J354" s="35">
        <v>0</v>
      </c>
      <c r="K354" s="35">
        <v>0</v>
      </c>
      <c r="L354" s="35">
        <v>0</v>
      </c>
      <c r="M354">
        <v>1</v>
      </c>
      <c r="N354">
        <v>0</v>
      </c>
      <c r="O354">
        <v>1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4</v>
      </c>
      <c r="AK354">
        <v>1</v>
      </c>
      <c r="AL354">
        <v>1</v>
      </c>
      <c r="AM354">
        <v>0</v>
      </c>
      <c r="AN354" s="23">
        <v>0</v>
      </c>
      <c r="AO354" s="23">
        <v>0</v>
      </c>
      <c r="AP354" s="23">
        <v>0</v>
      </c>
      <c r="AQ354" s="23" t="s">
        <v>54</v>
      </c>
      <c r="AR354" s="37">
        <v>0</v>
      </c>
      <c r="AS354" s="37">
        <v>0</v>
      </c>
      <c r="AT354" s="37">
        <v>1</v>
      </c>
      <c r="AU354" s="33" t="str">
        <f t="shared" si="8"/>
        <v>库存为1</v>
      </c>
      <c r="AV354" s="38" t="str">
        <f>IFERROR(时间!$B$4+AU354,"上周无销量")</f>
        <v>上周无销量</v>
      </c>
    </row>
    <row r="355" spans="1:48">
      <c r="A355" s="21" t="s">
        <v>801</v>
      </c>
      <c r="B355" t="s">
        <v>802</v>
      </c>
      <c r="C355" t="s">
        <v>803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1</v>
      </c>
      <c r="J355" s="35">
        <v>0</v>
      </c>
      <c r="K355" s="35">
        <v>0</v>
      </c>
      <c r="L355" s="35">
        <v>0</v>
      </c>
      <c r="M355">
        <v>1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3</v>
      </c>
      <c r="AK355">
        <v>0</v>
      </c>
      <c r="AL355">
        <v>0</v>
      </c>
      <c r="AM355">
        <v>0</v>
      </c>
      <c r="AN355" s="23">
        <v>0</v>
      </c>
      <c r="AO355" s="23" t="s">
        <v>54</v>
      </c>
      <c r="AP355" s="23" t="s">
        <v>54</v>
      </c>
      <c r="AQ355" s="23" t="s">
        <v>54</v>
      </c>
      <c r="AR355" s="37">
        <v>0</v>
      </c>
      <c r="AS355" s="37">
        <v>0</v>
      </c>
      <c r="AT355" s="37">
        <v>1</v>
      </c>
      <c r="AU355" s="33" t="str">
        <f t="shared" si="8"/>
        <v>库存为1</v>
      </c>
      <c r="AV355" s="38" t="str">
        <f>IFERROR(时间!$B$4+AU355,"上周无销量")</f>
        <v>上周无销量</v>
      </c>
    </row>
    <row r="356" spans="1:48">
      <c r="A356" s="21" t="s">
        <v>804</v>
      </c>
      <c r="B356" t="s">
        <v>805</v>
      </c>
      <c r="C356" t="s">
        <v>803</v>
      </c>
      <c r="D356" s="33">
        <v>0</v>
      </c>
      <c r="E356" s="33">
        <v>0</v>
      </c>
      <c r="F356" s="33">
        <v>1</v>
      </c>
      <c r="G356" s="33">
        <v>0</v>
      </c>
      <c r="H356" s="34">
        <v>19.99</v>
      </c>
      <c r="I356">
        <v>3</v>
      </c>
      <c r="J356" s="35">
        <v>0</v>
      </c>
      <c r="K356" s="35">
        <v>0</v>
      </c>
      <c r="L356" s="35">
        <v>0</v>
      </c>
      <c r="M356">
        <v>3</v>
      </c>
      <c r="N356">
        <v>0</v>
      </c>
      <c r="O356">
        <v>2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2</v>
      </c>
      <c r="AK356">
        <v>6</v>
      </c>
      <c r="AL356">
        <v>6</v>
      </c>
      <c r="AM356">
        <v>0</v>
      </c>
      <c r="AN356" s="23">
        <v>0</v>
      </c>
      <c r="AO356" s="23">
        <v>0</v>
      </c>
      <c r="AP356" s="23">
        <v>0.166666666666667</v>
      </c>
      <c r="AQ356" s="23" t="s">
        <v>54</v>
      </c>
      <c r="AR356" s="37">
        <v>0</v>
      </c>
      <c r="AS356" s="37">
        <v>0</v>
      </c>
      <c r="AT356" s="37">
        <v>3</v>
      </c>
      <c r="AU356" s="33" t="str">
        <f t="shared" si="8"/>
        <v>库存为3</v>
      </c>
      <c r="AV356" s="38" t="str">
        <f>IFERROR(时间!$B$4+AU356,"上周无销量")</f>
        <v>上周无销量</v>
      </c>
    </row>
    <row r="357" spans="1:48">
      <c r="A357" s="21" t="s">
        <v>806</v>
      </c>
      <c r="B357" t="s">
        <v>807</v>
      </c>
      <c r="C357" t="s">
        <v>808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0</v>
      </c>
      <c r="J357" s="35">
        <v>0</v>
      </c>
      <c r="K357" s="35">
        <v>0</v>
      </c>
      <c r="L357" s="35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s">
        <v>54</v>
      </c>
      <c r="AO357" s="23" t="s">
        <v>54</v>
      </c>
      <c r="AP357" s="23" t="s">
        <v>54</v>
      </c>
      <c r="AQ357" s="23" t="s">
        <v>54</v>
      </c>
      <c r="AR357" s="37">
        <v>0</v>
      </c>
      <c r="AS357" s="37">
        <v>0</v>
      </c>
      <c r="AT357" s="37">
        <v>0</v>
      </c>
      <c r="AU357" s="33" t="str">
        <f t="shared" si="8"/>
        <v>库存为0</v>
      </c>
      <c r="AV357" s="38" t="str">
        <f>IFERROR(时间!$B$4+AU357,"上周无销量")</f>
        <v>上周无销量</v>
      </c>
    </row>
    <row r="358" spans="1:48">
      <c r="A358" s="21" t="s">
        <v>809</v>
      </c>
      <c r="B358" t="s">
        <v>810</v>
      </c>
      <c r="C358" t="s">
        <v>808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0</v>
      </c>
      <c r="J358" s="35">
        <v>0</v>
      </c>
      <c r="K358" s="35">
        <v>0</v>
      </c>
      <c r="L358" s="35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s">
        <v>54</v>
      </c>
      <c r="AO358" s="23" t="s">
        <v>54</v>
      </c>
      <c r="AP358" s="23" t="s">
        <v>54</v>
      </c>
      <c r="AQ358" s="23" t="s">
        <v>54</v>
      </c>
      <c r="AR358" s="37">
        <v>0</v>
      </c>
      <c r="AS358" s="37">
        <v>0</v>
      </c>
      <c r="AT358" s="37">
        <v>0</v>
      </c>
      <c r="AU358" s="33" t="str">
        <f t="shared" si="8"/>
        <v>库存为0</v>
      </c>
      <c r="AV358" s="38" t="str">
        <f>IFERROR(时间!$B$4+AU358,"上周无销量")</f>
        <v>上周无销量</v>
      </c>
    </row>
    <row r="359" spans="1:48">
      <c r="A359" s="21" t="s">
        <v>811</v>
      </c>
      <c r="B359" t="s">
        <v>812</v>
      </c>
      <c r="C359" t="s">
        <v>813</v>
      </c>
      <c r="D359" s="33">
        <v>1</v>
      </c>
      <c r="E359" s="33">
        <v>1</v>
      </c>
      <c r="F359" s="33">
        <v>1</v>
      </c>
      <c r="G359" s="33">
        <v>1</v>
      </c>
      <c r="H359" s="34">
        <v>18.98</v>
      </c>
      <c r="I359">
        <v>7</v>
      </c>
      <c r="J359" s="35">
        <v>0</v>
      </c>
      <c r="K359" s="35">
        <v>0</v>
      </c>
      <c r="L359" s="35">
        <v>0</v>
      </c>
      <c r="M359">
        <v>7</v>
      </c>
      <c r="N359">
        <v>0</v>
      </c>
      <c r="O359">
        <v>0</v>
      </c>
      <c r="P359">
        <v>5959</v>
      </c>
      <c r="Q359">
        <v>4139</v>
      </c>
      <c r="R359">
        <v>4784</v>
      </c>
      <c r="S359">
        <v>3267</v>
      </c>
      <c r="T359">
        <v>21</v>
      </c>
      <c r="U359">
        <v>41</v>
      </c>
      <c r="V359">
        <v>38</v>
      </c>
      <c r="W359">
        <v>25</v>
      </c>
      <c r="X359" s="23">
        <v>0.00352408122168149</v>
      </c>
      <c r="Y359" s="23">
        <v>0.00990577434162841</v>
      </c>
      <c r="Z359" s="23">
        <v>0.00794314381270903</v>
      </c>
      <c r="AA359" s="23">
        <v>0.00765228037955311</v>
      </c>
      <c r="AB359">
        <v>6.84</v>
      </c>
      <c r="AC359">
        <v>14.38</v>
      </c>
      <c r="AD359">
        <v>13.38</v>
      </c>
      <c r="AE359">
        <v>8.66</v>
      </c>
      <c r="AF359" s="23">
        <v>0.360379346680717</v>
      </c>
      <c r="AG359" s="23">
        <v>0.757639620653319</v>
      </c>
      <c r="AH359" s="23">
        <v>0.70495258166491</v>
      </c>
      <c r="AI359" s="23">
        <v>0.456269757639621</v>
      </c>
      <c r="AJ359">
        <v>10</v>
      </c>
      <c r="AK359">
        <v>17</v>
      </c>
      <c r="AL359">
        <v>17</v>
      </c>
      <c r="AM359">
        <v>11</v>
      </c>
      <c r="AN359" s="23">
        <v>0.1</v>
      </c>
      <c r="AO359" s="23">
        <v>0.0588235294117647</v>
      </c>
      <c r="AP359" s="23">
        <v>0.0588235294117647</v>
      </c>
      <c r="AQ359" s="23">
        <v>0.0909090909090909</v>
      </c>
      <c r="AR359" s="37">
        <v>0.142857142857143</v>
      </c>
      <c r="AS359" s="37">
        <v>8.57142857142857</v>
      </c>
      <c r="AT359" s="37">
        <v>-1.57142857142857</v>
      </c>
      <c r="AU359" s="33">
        <f t="shared" si="8"/>
        <v>49</v>
      </c>
      <c r="AV359" s="38">
        <f>IFERROR(时间!$B$4+AU359,"上周无销量")</f>
        <v>43339</v>
      </c>
    </row>
    <row r="360" spans="1:48">
      <c r="A360" s="21" t="s">
        <v>814</v>
      </c>
      <c r="B360" t="s">
        <v>815</v>
      </c>
      <c r="C360" t="s">
        <v>813</v>
      </c>
      <c r="D360" s="33">
        <v>0</v>
      </c>
      <c r="E360" s="33">
        <v>0</v>
      </c>
      <c r="F360" s="33">
        <v>0</v>
      </c>
      <c r="G360" s="33">
        <v>2</v>
      </c>
      <c r="H360" s="34">
        <v>18.98</v>
      </c>
      <c r="I360">
        <v>0</v>
      </c>
      <c r="J360" s="35">
        <v>0</v>
      </c>
      <c r="K360" s="35">
        <v>0</v>
      </c>
      <c r="L360" s="35">
        <v>0</v>
      </c>
      <c r="M360">
        <v>0</v>
      </c>
      <c r="N360">
        <v>4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5</v>
      </c>
      <c r="AN360" s="23" t="s">
        <v>54</v>
      </c>
      <c r="AO360" s="23" t="s">
        <v>54</v>
      </c>
      <c r="AP360" s="23" t="s">
        <v>54</v>
      </c>
      <c r="AQ360" s="23">
        <v>0.4</v>
      </c>
      <c r="AR360" s="37">
        <v>0</v>
      </c>
      <c r="AS360" s="37">
        <v>0</v>
      </c>
      <c r="AT360" s="37">
        <v>0</v>
      </c>
      <c r="AU360" s="33" t="str">
        <f t="shared" si="8"/>
        <v>库存为0</v>
      </c>
      <c r="AV360" s="38" t="str">
        <f>IFERROR(时间!$B$4+AU360,"上周无销量")</f>
        <v>上周无销量</v>
      </c>
    </row>
    <row r="361" spans="1:48">
      <c r="A361" s="21" t="s">
        <v>816</v>
      </c>
      <c r="B361" t="s">
        <v>817</v>
      </c>
      <c r="C361" t="s">
        <v>813</v>
      </c>
      <c r="D361" s="33">
        <v>0</v>
      </c>
      <c r="E361" s="33">
        <v>0</v>
      </c>
      <c r="F361" s="33">
        <v>0</v>
      </c>
      <c r="G361" s="33">
        <v>1</v>
      </c>
      <c r="H361" s="34">
        <v>18.97</v>
      </c>
      <c r="I361">
        <v>9</v>
      </c>
      <c r="J361" s="35">
        <v>0</v>
      </c>
      <c r="K361" s="35">
        <v>0</v>
      </c>
      <c r="L361" s="35">
        <v>0</v>
      </c>
      <c r="M361">
        <v>9</v>
      </c>
      <c r="N361">
        <v>0</v>
      </c>
      <c r="O361">
        <v>1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8</v>
      </c>
      <c r="AK361">
        <v>11</v>
      </c>
      <c r="AL361">
        <v>11</v>
      </c>
      <c r="AM361">
        <v>5</v>
      </c>
      <c r="AN361" s="23">
        <v>0</v>
      </c>
      <c r="AO361" s="23">
        <v>0</v>
      </c>
      <c r="AP361" s="23">
        <v>0</v>
      </c>
      <c r="AQ361" s="23">
        <v>0.2</v>
      </c>
      <c r="AR361" s="37">
        <v>0</v>
      </c>
      <c r="AS361" s="37">
        <v>0</v>
      </c>
      <c r="AT361" s="37">
        <v>9</v>
      </c>
      <c r="AU361" s="33" t="str">
        <f t="shared" si="8"/>
        <v>库存为9</v>
      </c>
      <c r="AV361" s="38" t="str">
        <f>IFERROR(时间!$B$4+AU361,"上周无销量")</f>
        <v>上周无销量</v>
      </c>
    </row>
    <row r="362" spans="1:48">
      <c r="A362" s="21" t="s">
        <v>818</v>
      </c>
      <c r="B362" t="s">
        <v>819</v>
      </c>
      <c r="C362" t="s">
        <v>813</v>
      </c>
      <c r="D362" s="33">
        <v>0</v>
      </c>
      <c r="E362" s="33">
        <v>1</v>
      </c>
      <c r="F362" s="33">
        <v>0</v>
      </c>
      <c r="G362" s="33">
        <v>0</v>
      </c>
      <c r="H362" s="34">
        <v>18.98</v>
      </c>
      <c r="I362">
        <v>12</v>
      </c>
      <c r="J362" s="35">
        <v>0</v>
      </c>
      <c r="K362" s="35">
        <v>0</v>
      </c>
      <c r="L362" s="35">
        <v>0</v>
      </c>
      <c r="M362">
        <v>12</v>
      </c>
      <c r="N362">
        <v>0</v>
      </c>
      <c r="O362">
        <v>1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9</v>
      </c>
      <c r="AK362">
        <v>8</v>
      </c>
      <c r="AL362">
        <v>8</v>
      </c>
      <c r="AM362">
        <v>5</v>
      </c>
      <c r="AN362" s="23">
        <v>0</v>
      </c>
      <c r="AO362" s="23">
        <v>0.125</v>
      </c>
      <c r="AP362" s="23">
        <v>0</v>
      </c>
      <c r="AQ362" s="23">
        <v>0</v>
      </c>
      <c r="AR362" s="37">
        <v>0</v>
      </c>
      <c r="AS362" s="37">
        <v>0</v>
      </c>
      <c r="AT362" s="37">
        <v>12</v>
      </c>
      <c r="AU362" s="33" t="str">
        <f t="shared" si="8"/>
        <v>库存为12</v>
      </c>
      <c r="AV362" s="38" t="str">
        <f>IFERROR(时间!$B$4+AU362,"上周无销量")</f>
        <v>上周无销量</v>
      </c>
    </row>
    <row r="363" spans="1:48">
      <c r="A363" s="21" t="s">
        <v>820</v>
      </c>
      <c r="B363" t="s">
        <v>821</v>
      </c>
      <c r="C363" t="s">
        <v>813</v>
      </c>
      <c r="D363" s="33">
        <v>3</v>
      </c>
      <c r="E363" s="33">
        <v>9</v>
      </c>
      <c r="F363" s="33">
        <v>12</v>
      </c>
      <c r="G363" s="33">
        <v>7</v>
      </c>
      <c r="H363" s="34">
        <v>18.98</v>
      </c>
      <c r="I363">
        <v>32</v>
      </c>
      <c r="J363" s="35">
        <v>0</v>
      </c>
      <c r="K363" s="35">
        <v>0</v>
      </c>
      <c r="L363" s="35">
        <v>1</v>
      </c>
      <c r="M363">
        <v>33</v>
      </c>
      <c r="N363">
        <v>6</v>
      </c>
      <c r="O363">
        <v>0</v>
      </c>
      <c r="P363">
        <v>2817</v>
      </c>
      <c r="Q363">
        <v>10143</v>
      </c>
      <c r="R363">
        <v>13458</v>
      </c>
      <c r="S363">
        <v>26199</v>
      </c>
      <c r="T363">
        <v>29</v>
      </c>
      <c r="U363">
        <v>51</v>
      </c>
      <c r="V363">
        <v>61</v>
      </c>
      <c r="W363">
        <v>63</v>
      </c>
      <c r="X363" s="23">
        <v>0.0102946396876109</v>
      </c>
      <c r="Y363" s="23">
        <v>0.00502809819580006</v>
      </c>
      <c r="Z363" s="23">
        <v>0.00453262000297221</v>
      </c>
      <c r="AA363" s="23">
        <v>0.00240467193404328</v>
      </c>
      <c r="AB363">
        <v>4.47</v>
      </c>
      <c r="AC363">
        <v>11.32</v>
      </c>
      <c r="AD363">
        <v>15.12</v>
      </c>
      <c r="AE363">
        <v>15.57</v>
      </c>
      <c r="AF363" s="23">
        <v>0.0785036880927292</v>
      </c>
      <c r="AG363" s="23">
        <v>0.066268586816532</v>
      </c>
      <c r="AH363" s="23">
        <v>0.0663856691253951</v>
      </c>
      <c r="AI363" s="23">
        <v>0.117191028149932</v>
      </c>
      <c r="AJ363">
        <v>21</v>
      </c>
      <c r="AK363">
        <v>43</v>
      </c>
      <c r="AL363">
        <v>43</v>
      </c>
      <c r="AM363">
        <v>42</v>
      </c>
      <c r="AN363" s="23">
        <v>0.142857142857143</v>
      </c>
      <c r="AO363" s="23">
        <v>0.209302325581395</v>
      </c>
      <c r="AP363" s="23">
        <v>0.27906976744186</v>
      </c>
      <c r="AQ363" s="23">
        <v>0.166666666666667</v>
      </c>
      <c r="AR363" s="37">
        <v>0.428571428571429</v>
      </c>
      <c r="AS363" s="37">
        <v>25.7142857142857</v>
      </c>
      <c r="AT363" s="37">
        <v>7.28571428571429</v>
      </c>
      <c r="AU363" s="33">
        <f t="shared" si="8"/>
        <v>77</v>
      </c>
      <c r="AV363" s="38">
        <f>IFERROR(时间!$B$4+AU363,"上周无销量")</f>
        <v>43367</v>
      </c>
    </row>
    <row r="364" spans="1:48">
      <c r="A364" s="21" t="s">
        <v>822</v>
      </c>
      <c r="B364" t="s">
        <v>823</v>
      </c>
      <c r="C364" t="s">
        <v>813</v>
      </c>
      <c r="D364" s="33">
        <v>4</v>
      </c>
      <c r="E364" s="33">
        <v>2</v>
      </c>
      <c r="F364" s="33">
        <v>7</v>
      </c>
      <c r="G364" s="33">
        <v>5</v>
      </c>
      <c r="H364" s="34">
        <v>18.98</v>
      </c>
      <c r="I364">
        <v>48</v>
      </c>
      <c r="J364" s="35">
        <v>0</v>
      </c>
      <c r="K364" s="35">
        <v>0</v>
      </c>
      <c r="L364" s="35">
        <v>0</v>
      </c>
      <c r="M364">
        <v>48</v>
      </c>
      <c r="N364">
        <v>2</v>
      </c>
      <c r="O364">
        <v>0</v>
      </c>
      <c r="P364">
        <v>5230</v>
      </c>
      <c r="Q364">
        <v>38540</v>
      </c>
      <c r="R364">
        <v>35319</v>
      </c>
      <c r="S364">
        <v>27096</v>
      </c>
      <c r="T364">
        <v>37</v>
      </c>
      <c r="U364">
        <v>198</v>
      </c>
      <c r="V364">
        <v>122</v>
      </c>
      <c r="W364">
        <v>141</v>
      </c>
      <c r="X364" s="23">
        <v>0.00707456978967495</v>
      </c>
      <c r="Y364" s="23">
        <v>0.00513751946030099</v>
      </c>
      <c r="Z364" s="23">
        <v>0.00345423143350604</v>
      </c>
      <c r="AA364" s="23">
        <v>0.00520372010628875</v>
      </c>
      <c r="AB364">
        <v>15.13</v>
      </c>
      <c r="AC364">
        <v>74.62</v>
      </c>
      <c r="AD364">
        <v>44.52</v>
      </c>
      <c r="AE364">
        <v>53.14</v>
      </c>
      <c r="AF364" s="23">
        <v>0.199288724973656</v>
      </c>
      <c r="AG364" s="23">
        <v>1.96575342465753</v>
      </c>
      <c r="AH364" s="23">
        <v>0.33508956796628</v>
      </c>
      <c r="AI364" s="23">
        <v>0.559957850368809</v>
      </c>
      <c r="AJ364">
        <v>22</v>
      </c>
      <c r="AK364">
        <v>46</v>
      </c>
      <c r="AL364">
        <v>46</v>
      </c>
      <c r="AM364">
        <v>43</v>
      </c>
      <c r="AN364" s="23">
        <v>0.181818181818182</v>
      </c>
      <c r="AO364" s="23">
        <v>0.0434782608695652</v>
      </c>
      <c r="AP364" s="23">
        <v>0.152173913043478</v>
      </c>
      <c r="AQ364" s="23">
        <v>0.116279069767442</v>
      </c>
      <c r="AR364" s="37">
        <v>0.571428571428571</v>
      </c>
      <c r="AS364" s="37">
        <v>34.2857142857143</v>
      </c>
      <c r="AT364" s="37">
        <v>13.7142857142857</v>
      </c>
      <c r="AU364" s="33">
        <f t="shared" si="8"/>
        <v>84</v>
      </c>
      <c r="AV364" s="38">
        <f>IFERROR(时间!$B$4+AU364,"上周无销量")</f>
        <v>43374</v>
      </c>
    </row>
    <row r="365" spans="1:48">
      <c r="A365" s="21" t="s">
        <v>824</v>
      </c>
      <c r="B365" t="s">
        <v>825</v>
      </c>
      <c r="C365" t="s">
        <v>813</v>
      </c>
      <c r="D365" s="33">
        <v>4</v>
      </c>
      <c r="E365" s="33">
        <v>3</v>
      </c>
      <c r="F365" s="33">
        <v>1</v>
      </c>
      <c r="G365" s="33">
        <v>1</v>
      </c>
      <c r="H365" s="34">
        <v>18.98</v>
      </c>
      <c r="I365">
        <v>5</v>
      </c>
      <c r="J365" s="35">
        <v>0</v>
      </c>
      <c r="K365" s="35">
        <v>0</v>
      </c>
      <c r="L365" s="35">
        <v>0</v>
      </c>
      <c r="M365">
        <v>5</v>
      </c>
      <c r="N365">
        <v>4</v>
      </c>
      <c r="O365">
        <v>0</v>
      </c>
      <c r="P365">
        <v>7719</v>
      </c>
      <c r="Q365">
        <v>7224</v>
      </c>
      <c r="R365">
        <v>6014</v>
      </c>
      <c r="S365">
        <v>7193</v>
      </c>
      <c r="T365">
        <v>61</v>
      </c>
      <c r="U365">
        <v>48</v>
      </c>
      <c r="V365">
        <v>49</v>
      </c>
      <c r="W365">
        <v>33</v>
      </c>
      <c r="X365" s="23">
        <v>0.00790257805415209</v>
      </c>
      <c r="Y365" s="23">
        <v>0.00664451827242525</v>
      </c>
      <c r="Z365" s="23">
        <v>0.00814765547056867</v>
      </c>
      <c r="AA365" s="23">
        <v>0.00458779368830808</v>
      </c>
      <c r="AB365">
        <v>9.81</v>
      </c>
      <c r="AC365">
        <v>9.96</v>
      </c>
      <c r="AD365">
        <v>11.34</v>
      </c>
      <c r="AE365">
        <v>8.01</v>
      </c>
      <c r="AF365" s="23">
        <v>0.129214963119073</v>
      </c>
      <c r="AG365" s="23">
        <v>0.174920969441517</v>
      </c>
      <c r="AH365" s="23">
        <v>0.597471022128556</v>
      </c>
      <c r="AI365" s="23">
        <v>0.422023182297155</v>
      </c>
      <c r="AJ365">
        <v>20</v>
      </c>
      <c r="AK365">
        <v>48</v>
      </c>
      <c r="AL365">
        <v>48</v>
      </c>
      <c r="AM365">
        <v>37</v>
      </c>
      <c r="AN365" s="23">
        <v>0.2</v>
      </c>
      <c r="AO365" s="23">
        <v>0.0625</v>
      </c>
      <c r="AP365" s="23">
        <v>0.0208333333333333</v>
      </c>
      <c r="AQ365" s="23">
        <v>0.027027027027027</v>
      </c>
      <c r="AR365" s="37">
        <v>0.571428571428571</v>
      </c>
      <c r="AS365" s="37">
        <v>34.2857142857143</v>
      </c>
      <c r="AT365" s="37">
        <v>-29.2857142857143</v>
      </c>
      <c r="AU365" s="33">
        <f t="shared" si="8"/>
        <v>8</v>
      </c>
      <c r="AV365" s="38">
        <f>IFERROR(时间!$B$4+AU365,"上周无销量")</f>
        <v>43298</v>
      </c>
    </row>
    <row r="366" spans="1:48">
      <c r="A366" s="21" t="s">
        <v>826</v>
      </c>
      <c r="B366" t="s">
        <v>827</v>
      </c>
      <c r="C366" t="s">
        <v>813</v>
      </c>
      <c r="D366" s="33">
        <v>8</v>
      </c>
      <c r="E366" s="33">
        <v>11</v>
      </c>
      <c r="F366" s="33">
        <v>10</v>
      </c>
      <c r="G366" s="33">
        <v>13</v>
      </c>
      <c r="H366" s="34">
        <v>18.98</v>
      </c>
      <c r="I366">
        <v>53</v>
      </c>
      <c r="J366" s="35">
        <v>0</v>
      </c>
      <c r="K366" s="35">
        <v>0</v>
      </c>
      <c r="L366" s="35">
        <v>1</v>
      </c>
      <c r="M366">
        <v>54</v>
      </c>
      <c r="N366">
        <v>13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24</v>
      </c>
      <c r="AK366">
        <v>29</v>
      </c>
      <c r="AL366">
        <v>29</v>
      </c>
      <c r="AM366">
        <v>33</v>
      </c>
      <c r="AN366" s="23">
        <v>0.333333333333333</v>
      </c>
      <c r="AO366" s="23">
        <v>0.379310344827586</v>
      </c>
      <c r="AP366" s="23">
        <v>0.344827586206897</v>
      </c>
      <c r="AQ366" s="23">
        <v>0.393939393939394</v>
      </c>
      <c r="AR366" s="37">
        <v>1.14285714285714</v>
      </c>
      <c r="AS366" s="37">
        <v>68.5714285714286</v>
      </c>
      <c r="AT366" s="37">
        <v>-14.5714285714286</v>
      </c>
      <c r="AU366" s="33">
        <f t="shared" si="8"/>
        <v>47</v>
      </c>
      <c r="AV366" s="38">
        <f>IFERROR(时间!$B$4+AU366,"上周无销量")</f>
        <v>43337</v>
      </c>
    </row>
    <row r="367" spans="1:48">
      <c r="A367" s="21" t="s">
        <v>828</v>
      </c>
      <c r="B367" t="s">
        <v>829</v>
      </c>
      <c r="C367" t="s">
        <v>813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0</v>
      </c>
      <c r="J367" s="35">
        <v>0</v>
      </c>
      <c r="K367" s="35">
        <v>0</v>
      </c>
      <c r="L367" s="35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s">
        <v>54</v>
      </c>
      <c r="AO367" s="23" t="s">
        <v>54</v>
      </c>
      <c r="AP367" s="23" t="s">
        <v>54</v>
      </c>
      <c r="AQ367" s="23" t="s">
        <v>54</v>
      </c>
      <c r="AR367" s="37">
        <v>0</v>
      </c>
      <c r="AS367" s="37">
        <v>0</v>
      </c>
      <c r="AT367" s="37">
        <v>0</v>
      </c>
      <c r="AU367" s="33" t="str">
        <f t="shared" si="8"/>
        <v>库存为0</v>
      </c>
      <c r="AV367" s="38" t="str">
        <f>IFERROR(时间!$B$4+AU367,"上周无销量")</f>
        <v>上周无销量</v>
      </c>
    </row>
    <row r="368" spans="1:48">
      <c r="A368" s="21" t="s">
        <v>830</v>
      </c>
      <c r="B368" t="s">
        <v>831</v>
      </c>
      <c r="C368" t="s">
        <v>813</v>
      </c>
      <c r="D368" s="33">
        <v>0</v>
      </c>
      <c r="E368" s="33">
        <v>1</v>
      </c>
      <c r="F368" s="33">
        <v>0</v>
      </c>
      <c r="G368" s="33">
        <v>3</v>
      </c>
      <c r="H368" s="34">
        <v>12.98</v>
      </c>
      <c r="I368">
        <v>4</v>
      </c>
      <c r="J368" s="35">
        <v>0</v>
      </c>
      <c r="K368" s="35">
        <v>0</v>
      </c>
      <c r="L368" s="35">
        <v>0</v>
      </c>
      <c r="M368">
        <v>4</v>
      </c>
      <c r="N368">
        <v>2</v>
      </c>
      <c r="O368">
        <v>2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15</v>
      </c>
      <c r="AK368">
        <v>15</v>
      </c>
      <c r="AL368">
        <v>15</v>
      </c>
      <c r="AM368">
        <v>10</v>
      </c>
      <c r="AN368" s="23">
        <v>0</v>
      </c>
      <c r="AO368" s="23">
        <v>0.0666666666666667</v>
      </c>
      <c r="AP368" s="23">
        <v>0</v>
      </c>
      <c r="AQ368" s="23">
        <v>0.3</v>
      </c>
      <c r="AR368" s="37">
        <v>0</v>
      </c>
      <c r="AS368" s="37">
        <v>0</v>
      </c>
      <c r="AT368" s="37">
        <v>4</v>
      </c>
      <c r="AU368" s="33" t="str">
        <f t="shared" si="8"/>
        <v>库存为4</v>
      </c>
      <c r="AV368" s="38" t="str">
        <f>IFERROR(时间!$B$4+AU368,"上周无销量")</f>
        <v>上周无销量</v>
      </c>
    </row>
    <row r="369" spans="1:48">
      <c r="A369" s="21" t="s">
        <v>832</v>
      </c>
      <c r="B369" t="s">
        <v>833</v>
      </c>
      <c r="C369" t="s">
        <v>834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0</v>
      </c>
      <c r="J369" s="35">
        <v>0</v>
      </c>
      <c r="K369" s="35">
        <v>0</v>
      </c>
      <c r="L369" s="35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7">
        <v>0</v>
      </c>
      <c r="AS369" s="37">
        <v>0</v>
      </c>
      <c r="AT369" s="37">
        <v>0</v>
      </c>
      <c r="AU369" s="33" t="str">
        <f t="shared" si="8"/>
        <v>库存为0</v>
      </c>
      <c r="AV369" s="38" t="str">
        <f>IFERROR(时间!$B$4+AU369,"上周无销量")</f>
        <v>上周无销量</v>
      </c>
    </row>
    <row r="370" spans="1:48">
      <c r="A370" s="21" t="s">
        <v>835</v>
      </c>
      <c r="B370" t="s">
        <v>836</v>
      </c>
      <c r="C370" t="s">
        <v>837</v>
      </c>
      <c r="D370" s="33">
        <v>0</v>
      </c>
      <c r="E370" s="33">
        <v>1</v>
      </c>
      <c r="F370" s="33">
        <v>0</v>
      </c>
      <c r="G370" s="33">
        <v>0</v>
      </c>
      <c r="H370" s="34">
        <v>19.9</v>
      </c>
      <c r="I370">
        <v>0</v>
      </c>
      <c r="J370" s="35">
        <v>0</v>
      </c>
      <c r="K370" s="35">
        <v>0</v>
      </c>
      <c r="L370" s="35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s">
        <v>54</v>
      </c>
      <c r="AO370" s="23" t="s">
        <v>54</v>
      </c>
      <c r="AP370" s="23" t="s">
        <v>54</v>
      </c>
      <c r="AQ370" s="23" t="s">
        <v>54</v>
      </c>
      <c r="AR370" s="37">
        <v>0</v>
      </c>
      <c r="AS370" s="37">
        <v>0</v>
      </c>
      <c r="AT370" s="37">
        <v>0</v>
      </c>
      <c r="AU370" s="33" t="str">
        <f t="shared" si="8"/>
        <v>库存为0</v>
      </c>
      <c r="AV370" s="38" t="str">
        <f>IFERROR(时间!$B$4+AU370,"上周无销量")</f>
        <v>上周无销量</v>
      </c>
    </row>
    <row r="371" spans="1:48">
      <c r="A371" s="21" t="s">
        <v>838</v>
      </c>
      <c r="B371" t="s">
        <v>839</v>
      </c>
      <c r="C371" t="s">
        <v>837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2</v>
      </c>
      <c r="J371" s="35">
        <v>0</v>
      </c>
      <c r="K371" s="35">
        <v>0</v>
      </c>
      <c r="L371" s="35">
        <v>0</v>
      </c>
      <c r="M371">
        <v>2</v>
      </c>
      <c r="N371">
        <v>0</v>
      </c>
      <c r="O371">
        <v>2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2</v>
      </c>
      <c r="AK371">
        <v>1</v>
      </c>
      <c r="AL371">
        <v>1</v>
      </c>
      <c r="AM371">
        <v>0</v>
      </c>
      <c r="AN371" s="23">
        <v>0</v>
      </c>
      <c r="AO371" s="23">
        <v>0</v>
      </c>
      <c r="AP371" s="23">
        <v>0</v>
      </c>
      <c r="AQ371" s="23" t="s">
        <v>54</v>
      </c>
      <c r="AR371" s="37">
        <v>0</v>
      </c>
      <c r="AS371" s="37">
        <v>0</v>
      </c>
      <c r="AT371" s="37">
        <v>2</v>
      </c>
      <c r="AU371" s="33" t="str">
        <f t="shared" si="8"/>
        <v>库存为2</v>
      </c>
      <c r="AV371" s="38" t="str">
        <f>IFERROR(时间!$B$4+AU371,"上周无销量")</f>
        <v>上周无销量</v>
      </c>
    </row>
    <row r="372" spans="1:48">
      <c r="A372" s="21" t="s">
        <v>840</v>
      </c>
      <c r="B372" t="s">
        <v>841</v>
      </c>
      <c r="C372" t="s">
        <v>842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3</v>
      </c>
      <c r="J372" s="35">
        <v>0</v>
      </c>
      <c r="K372" s="35">
        <v>0</v>
      </c>
      <c r="L372" s="35">
        <v>0</v>
      </c>
      <c r="M372">
        <v>3</v>
      </c>
      <c r="N372">
        <v>0</v>
      </c>
      <c r="O372">
        <v>3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1</v>
      </c>
      <c r="AK372">
        <v>1</v>
      </c>
      <c r="AL372">
        <v>1</v>
      </c>
      <c r="AM372">
        <v>0</v>
      </c>
      <c r="AN372" s="23">
        <v>0</v>
      </c>
      <c r="AO372" s="23">
        <v>0</v>
      </c>
      <c r="AP372" s="23">
        <v>0</v>
      </c>
      <c r="AQ372" s="23" t="s">
        <v>54</v>
      </c>
      <c r="AR372" s="37">
        <v>0</v>
      </c>
      <c r="AS372" s="37">
        <v>0</v>
      </c>
      <c r="AT372" s="37">
        <v>3</v>
      </c>
      <c r="AU372" s="33" t="str">
        <f t="shared" si="8"/>
        <v>库存为3</v>
      </c>
      <c r="AV372" s="38" t="str">
        <f>IFERROR(时间!$B$4+AU372,"上周无销量")</f>
        <v>上周无销量</v>
      </c>
    </row>
    <row r="373" spans="1:48">
      <c r="A373" s="21" t="s">
        <v>843</v>
      </c>
      <c r="B373" t="s">
        <v>844</v>
      </c>
      <c r="C373" t="s">
        <v>842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2</v>
      </c>
      <c r="J373" s="35">
        <v>0</v>
      </c>
      <c r="K373" s="35">
        <v>0</v>
      </c>
      <c r="L373" s="35">
        <v>0</v>
      </c>
      <c r="M373">
        <v>2</v>
      </c>
      <c r="N373">
        <v>0</v>
      </c>
      <c r="O373">
        <v>2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1</v>
      </c>
      <c r="AK373">
        <v>0</v>
      </c>
      <c r="AL373">
        <v>0</v>
      </c>
      <c r="AM373">
        <v>1</v>
      </c>
      <c r="AN373" s="23">
        <v>0</v>
      </c>
      <c r="AO373" s="23" t="s">
        <v>54</v>
      </c>
      <c r="AP373" s="23" t="s">
        <v>54</v>
      </c>
      <c r="AQ373" s="23">
        <v>0</v>
      </c>
      <c r="AR373" s="37">
        <v>0</v>
      </c>
      <c r="AS373" s="37">
        <v>0</v>
      </c>
      <c r="AT373" s="37">
        <v>2</v>
      </c>
      <c r="AU373" s="33" t="str">
        <f t="shared" si="8"/>
        <v>库存为2</v>
      </c>
      <c r="AV373" s="38" t="str">
        <f>IFERROR(时间!$B$4+AU373,"上周无销量")</f>
        <v>上周无销量</v>
      </c>
    </row>
    <row r="374" spans="1:48">
      <c r="A374" s="21" t="s">
        <v>845</v>
      </c>
      <c r="B374" t="s">
        <v>846</v>
      </c>
      <c r="C374" t="s">
        <v>842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3</v>
      </c>
      <c r="J374" s="35">
        <v>0</v>
      </c>
      <c r="K374" s="35">
        <v>0</v>
      </c>
      <c r="L374" s="35">
        <v>0</v>
      </c>
      <c r="M374">
        <v>3</v>
      </c>
      <c r="N374">
        <v>0</v>
      </c>
      <c r="O374">
        <v>3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2</v>
      </c>
      <c r="AN374" s="23" t="s">
        <v>54</v>
      </c>
      <c r="AO374" s="23" t="s">
        <v>54</v>
      </c>
      <c r="AP374" s="23" t="s">
        <v>54</v>
      </c>
      <c r="AQ374" s="23">
        <v>0</v>
      </c>
      <c r="AR374" s="37">
        <v>0</v>
      </c>
      <c r="AS374" s="37">
        <v>0</v>
      </c>
      <c r="AT374" s="37">
        <v>3</v>
      </c>
      <c r="AU374" s="33" t="str">
        <f t="shared" si="8"/>
        <v>库存为3</v>
      </c>
      <c r="AV374" s="38" t="str">
        <f>IFERROR(时间!$B$4+AU374,"上周无销量")</f>
        <v>上周无销量</v>
      </c>
    </row>
    <row r="375" spans="1:48">
      <c r="A375" s="21" t="s">
        <v>847</v>
      </c>
      <c r="B375" t="s">
        <v>848</v>
      </c>
      <c r="C375" t="s">
        <v>842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3</v>
      </c>
      <c r="J375" s="35">
        <v>0</v>
      </c>
      <c r="K375" s="35">
        <v>0</v>
      </c>
      <c r="L375" s="35">
        <v>0</v>
      </c>
      <c r="M375">
        <v>3</v>
      </c>
      <c r="N375">
        <v>0</v>
      </c>
      <c r="O375">
        <v>3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1</v>
      </c>
      <c r="AK375">
        <v>1</v>
      </c>
      <c r="AL375">
        <v>1</v>
      </c>
      <c r="AM375">
        <v>1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3</v>
      </c>
      <c r="AU375" s="33" t="str">
        <f t="shared" si="8"/>
        <v>库存为3</v>
      </c>
      <c r="AV375" s="38" t="str">
        <f>IFERROR(时间!$B$4+AU375,"上周无销量")</f>
        <v>上周无销量</v>
      </c>
    </row>
    <row r="376" spans="1:48">
      <c r="A376" s="21" t="s">
        <v>849</v>
      </c>
      <c r="B376" t="s">
        <v>850</v>
      </c>
      <c r="C376" t="s">
        <v>842</v>
      </c>
      <c r="D376" s="33">
        <v>0</v>
      </c>
      <c r="E376" s="33">
        <v>1</v>
      </c>
      <c r="F376" s="33">
        <v>0</v>
      </c>
      <c r="G376" s="33">
        <v>0</v>
      </c>
      <c r="H376" s="34">
        <v>23.88</v>
      </c>
      <c r="I376">
        <v>0</v>
      </c>
      <c r="J376" s="35">
        <v>0</v>
      </c>
      <c r="K376" s="35">
        <v>0</v>
      </c>
      <c r="L376" s="35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7">
        <v>0</v>
      </c>
      <c r="AS376" s="37">
        <v>0</v>
      </c>
      <c r="AT376" s="37">
        <v>0</v>
      </c>
      <c r="AU376" s="33" t="str">
        <f t="shared" si="8"/>
        <v>库存为0</v>
      </c>
      <c r="AV376" s="38" t="str">
        <f>IFERROR(时间!$B$4+AU376,"上周无销量")</f>
        <v>上周无销量</v>
      </c>
    </row>
    <row r="377" spans="1:48">
      <c r="A377" s="21" t="s">
        <v>851</v>
      </c>
      <c r="B377" t="s">
        <v>852</v>
      </c>
      <c r="C377" t="s">
        <v>842</v>
      </c>
      <c r="D377" s="33">
        <v>0</v>
      </c>
      <c r="E377" s="33">
        <v>0</v>
      </c>
      <c r="F377" s="33">
        <v>1</v>
      </c>
      <c r="G377" s="33">
        <v>0</v>
      </c>
      <c r="H377" s="34">
        <v>23.88</v>
      </c>
      <c r="I377">
        <v>0</v>
      </c>
      <c r="J377" s="35">
        <v>0</v>
      </c>
      <c r="K377" s="35">
        <v>0</v>
      </c>
      <c r="L377" s="35">
        <v>0</v>
      </c>
      <c r="M377">
        <v>0</v>
      </c>
      <c r="N377">
        <v>1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1</v>
      </c>
      <c r="AL377">
        <v>1</v>
      </c>
      <c r="AM377">
        <v>0</v>
      </c>
      <c r="AN377" s="23" t="s">
        <v>54</v>
      </c>
      <c r="AO377" s="23">
        <v>0</v>
      </c>
      <c r="AP377" s="23">
        <v>1</v>
      </c>
      <c r="AQ377" s="23" t="s">
        <v>54</v>
      </c>
      <c r="AR377" s="37">
        <v>0</v>
      </c>
      <c r="AS377" s="37">
        <v>0</v>
      </c>
      <c r="AT377" s="37">
        <v>0</v>
      </c>
      <c r="AU377" s="33" t="str">
        <f t="shared" si="8"/>
        <v>库存为0</v>
      </c>
      <c r="AV377" s="38" t="str">
        <f>IFERROR(时间!$B$4+AU377,"上周无销量")</f>
        <v>上周无销量</v>
      </c>
    </row>
    <row r="378" spans="1:48">
      <c r="A378" s="21" t="s">
        <v>853</v>
      </c>
      <c r="B378" t="s">
        <v>854</v>
      </c>
      <c r="C378" t="s">
        <v>842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1</v>
      </c>
      <c r="J378" s="35">
        <v>0</v>
      </c>
      <c r="K378" s="35">
        <v>0</v>
      </c>
      <c r="L378" s="35">
        <v>0</v>
      </c>
      <c r="M378">
        <v>1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1</v>
      </c>
      <c r="AK378">
        <v>1</v>
      </c>
      <c r="AL378">
        <v>1</v>
      </c>
      <c r="AM378">
        <v>0</v>
      </c>
      <c r="AN378" s="23">
        <v>0</v>
      </c>
      <c r="AO378" s="23">
        <v>0</v>
      </c>
      <c r="AP378" s="23">
        <v>0</v>
      </c>
      <c r="AQ378" s="23" t="s">
        <v>54</v>
      </c>
      <c r="AR378" s="37">
        <v>0</v>
      </c>
      <c r="AS378" s="37">
        <v>0</v>
      </c>
      <c r="AT378" s="37">
        <v>1</v>
      </c>
      <c r="AU378" s="33" t="str">
        <f t="shared" si="8"/>
        <v>库存为1</v>
      </c>
      <c r="AV378" s="38" t="str">
        <f>IFERROR(时间!$B$4+AU378,"上周无销量")</f>
        <v>上周无销量</v>
      </c>
    </row>
    <row r="379" spans="1:48">
      <c r="A379" s="21" t="s">
        <v>855</v>
      </c>
      <c r="B379" t="s">
        <v>856</v>
      </c>
      <c r="C379" t="s">
        <v>842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5</v>
      </c>
      <c r="J379" s="35">
        <v>0</v>
      </c>
      <c r="K379" s="35">
        <v>0</v>
      </c>
      <c r="L379" s="35">
        <v>0</v>
      </c>
      <c r="M379">
        <v>5</v>
      </c>
      <c r="N379">
        <v>0</v>
      </c>
      <c r="O379">
        <v>4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s">
        <v>54</v>
      </c>
      <c r="AO379" s="23" t="s">
        <v>54</v>
      </c>
      <c r="AP379" s="23" t="s">
        <v>54</v>
      </c>
      <c r="AQ379" s="23" t="s">
        <v>54</v>
      </c>
      <c r="AR379" s="37">
        <v>0</v>
      </c>
      <c r="AS379" s="37">
        <v>0</v>
      </c>
      <c r="AT379" s="37">
        <v>5</v>
      </c>
      <c r="AU379" s="33" t="str">
        <f t="shared" si="8"/>
        <v>库存为5</v>
      </c>
      <c r="AV379" s="38" t="str">
        <f>IFERROR(时间!$B$4+AU379,"上周无销量")</f>
        <v>上周无销量</v>
      </c>
    </row>
    <row r="380" spans="1:48">
      <c r="A380" s="21" t="s">
        <v>857</v>
      </c>
      <c r="B380" t="s">
        <v>858</v>
      </c>
      <c r="C380" t="s">
        <v>842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2</v>
      </c>
      <c r="J380" s="35">
        <v>0</v>
      </c>
      <c r="K380" s="35">
        <v>0</v>
      </c>
      <c r="L380" s="35">
        <v>0</v>
      </c>
      <c r="M380">
        <v>2</v>
      </c>
      <c r="N380">
        <v>0</v>
      </c>
      <c r="O380">
        <v>2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1</v>
      </c>
      <c r="AK380">
        <v>0</v>
      </c>
      <c r="AL380">
        <v>0</v>
      </c>
      <c r="AM380">
        <v>0</v>
      </c>
      <c r="AN380" s="23">
        <v>0</v>
      </c>
      <c r="AO380" s="23" t="s">
        <v>54</v>
      </c>
      <c r="AP380" s="23" t="s">
        <v>54</v>
      </c>
      <c r="AQ380" s="23" t="s">
        <v>54</v>
      </c>
      <c r="AR380" s="37">
        <v>0</v>
      </c>
      <c r="AS380" s="37">
        <v>0</v>
      </c>
      <c r="AT380" s="37">
        <v>2</v>
      </c>
      <c r="AU380" s="33" t="str">
        <f t="shared" si="8"/>
        <v>库存为2</v>
      </c>
      <c r="AV380" s="38" t="str">
        <f>IFERROR(时间!$B$4+AU380,"上周无销量")</f>
        <v>上周无销量</v>
      </c>
    </row>
    <row r="381" spans="1:48">
      <c r="A381" s="21" t="s">
        <v>859</v>
      </c>
      <c r="B381" t="s">
        <v>860</v>
      </c>
      <c r="C381" t="s">
        <v>842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1</v>
      </c>
      <c r="J381" s="35">
        <v>0</v>
      </c>
      <c r="K381" s="35">
        <v>0</v>
      </c>
      <c r="L381" s="35">
        <v>0</v>
      </c>
      <c r="M381">
        <v>1</v>
      </c>
      <c r="N381">
        <v>0</v>
      </c>
      <c r="O381">
        <v>1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1</v>
      </c>
      <c r="AN381" s="23" t="s">
        <v>54</v>
      </c>
      <c r="AO381" s="23" t="s">
        <v>54</v>
      </c>
      <c r="AP381" s="23" t="s">
        <v>54</v>
      </c>
      <c r="AQ381" s="23">
        <v>0</v>
      </c>
      <c r="AR381" s="37">
        <v>0</v>
      </c>
      <c r="AS381" s="37">
        <v>0</v>
      </c>
      <c r="AT381" s="37">
        <v>1</v>
      </c>
      <c r="AU381" s="33" t="str">
        <f t="shared" si="8"/>
        <v>库存为1</v>
      </c>
      <c r="AV381" s="38" t="str">
        <f>IFERROR(时间!$B$4+AU381,"上周无销量")</f>
        <v>上周无销量</v>
      </c>
    </row>
    <row r="382" spans="1:48">
      <c r="A382" s="21" t="s">
        <v>861</v>
      </c>
      <c r="B382" t="s">
        <v>862</v>
      </c>
      <c r="C382" t="s">
        <v>842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1</v>
      </c>
      <c r="J382" s="35">
        <v>0</v>
      </c>
      <c r="K382" s="35">
        <v>0</v>
      </c>
      <c r="L382" s="35">
        <v>0</v>
      </c>
      <c r="M382">
        <v>1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1</v>
      </c>
      <c r="AK382">
        <v>4</v>
      </c>
      <c r="AL382">
        <v>4</v>
      </c>
      <c r="AM382">
        <v>0</v>
      </c>
      <c r="AN382" s="23">
        <v>0</v>
      </c>
      <c r="AO382" s="23">
        <v>0</v>
      </c>
      <c r="AP382" s="23">
        <v>0</v>
      </c>
      <c r="AQ382" s="23" t="s">
        <v>54</v>
      </c>
      <c r="AR382" s="37">
        <v>0</v>
      </c>
      <c r="AS382" s="37">
        <v>0</v>
      </c>
      <c r="AT382" s="37">
        <v>1</v>
      </c>
      <c r="AU382" s="33" t="str">
        <f t="shared" si="8"/>
        <v>库存为1</v>
      </c>
      <c r="AV382" s="38" t="str">
        <f>IFERROR(时间!$B$4+AU382,"上周无销量")</f>
        <v>上周无销量</v>
      </c>
    </row>
    <row r="383" spans="1:48">
      <c r="A383" s="21" t="s">
        <v>863</v>
      </c>
      <c r="B383" t="s">
        <v>864</v>
      </c>
      <c r="C383" t="s">
        <v>842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4</v>
      </c>
      <c r="J383" s="35">
        <v>0</v>
      </c>
      <c r="K383" s="35">
        <v>0</v>
      </c>
      <c r="L383" s="35">
        <v>0</v>
      </c>
      <c r="M383">
        <v>4</v>
      </c>
      <c r="N383">
        <v>0</v>
      </c>
      <c r="O383">
        <v>4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7">
        <v>0</v>
      </c>
      <c r="AS383" s="37">
        <v>0</v>
      </c>
      <c r="AT383" s="37">
        <v>4</v>
      </c>
      <c r="AU383" s="33" t="str">
        <f t="shared" si="8"/>
        <v>库存为4</v>
      </c>
      <c r="AV383" s="38" t="str">
        <f>IFERROR(时间!$B$4+AU383,"上周无销量")</f>
        <v>上周无销量</v>
      </c>
    </row>
    <row r="384" spans="1:48">
      <c r="A384" s="21" t="s">
        <v>865</v>
      </c>
      <c r="B384" t="s">
        <v>866</v>
      </c>
      <c r="C384" t="s">
        <v>842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0</v>
      </c>
      <c r="J384" s="35">
        <v>0</v>
      </c>
      <c r="K384" s="35">
        <v>0</v>
      </c>
      <c r="L384" s="35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s">
        <v>54</v>
      </c>
      <c r="AO384" s="23" t="s">
        <v>54</v>
      </c>
      <c r="AP384" s="23" t="s">
        <v>54</v>
      </c>
      <c r="AQ384" s="23" t="s">
        <v>54</v>
      </c>
      <c r="AR384" s="37">
        <v>0</v>
      </c>
      <c r="AS384" s="37">
        <v>0</v>
      </c>
      <c r="AT384" s="37">
        <v>0</v>
      </c>
      <c r="AU384" s="33" t="str">
        <f t="shared" si="8"/>
        <v>库存为0</v>
      </c>
      <c r="AV384" s="38" t="str">
        <f>IFERROR(时间!$B$4+AU384,"上周无销量")</f>
        <v>上周无销量</v>
      </c>
    </row>
    <row r="385" spans="1:48">
      <c r="A385" s="21" t="s">
        <v>867</v>
      </c>
      <c r="B385" t="s">
        <v>868</v>
      </c>
      <c r="C385" t="s">
        <v>869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0</v>
      </c>
      <c r="J385" s="35">
        <v>0</v>
      </c>
      <c r="K385" s="35">
        <v>0</v>
      </c>
      <c r="L385" s="35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s">
        <v>54</v>
      </c>
      <c r="AO385" s="23" t="s">
        <v>54</v>
      </c>
      <c r="AP385" s="23" t="s">
        <v>54</v>
      </c>
      <c r="AQ385" s="23" t="s">
        <v>54</v>
      </c>
      <c r="AR385" s="37">
        <v>0</v>
      </c>
      <c r="AS385" s="37">
        <v>0</v>
      </c>
      <c r="AT385" s="37">
        <v>0</v>
      </c>
      <c r="AU385" s="33" t="str">
        <f t="shared" si="8"/>
        <v>库存为0</v>
      </c>
      <c r="AV385" s="38" t="str">
        <f>IFERROR(时间!$B$4+AU385,"上周无销量")</f>
        <v>上周无销量</v>
      </c>
    </row>
    <row r="386" spans="1:48">
      <c r="A386" s="21" t="s">
        <v>870</v>
      </c>
      <c r="B386" t="s">
        <v>871</v>
      </c>
      <c r="C386" t="s">
        <v>869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0</v>
      </c>
      <c r="J386" s="35">
        <v>0</v>
      </c>
      <c r="K386" s="35">
        <v>0</v>
      </c>
      <c r="L386" s="35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s">
        <v>54</v>
      </c>
      <c r="AO386" s="23" t="s">
        <v>54</v>
      </c>
      <c r="AP386" s="23" t="s">
        <v>54</v>
      </c>
      <c r="AQ386" s="23" t="s">
        <v>54</v>
      </c>
      <c r="AR386" s="37">
        <v>0</v>
      </c>
      <c r="AS386" s="37">
        <v>0</v>
      </c>
      <c r="AT386" s="37">
        <v>0</v>
      </c>
      <c r="AU386" s="33" t="str">
        <f t="shared" si="8"/>
        <v>库存为0</v>
      </c>
      <c r="AV386" s="38" t="str">
        <f>IFERROR(时间!$B$4+AU386,"上周无销量")</f>
        <v>上周无销量</v>
      </c>
    </row>
    <row r="387" spans="1:48">
      <c r="A387" s="21" t="s">
        <v>872</v>
      </c>
      <c r="B387" t="s">
        <v>873</v>
      </c>
      <c r="C387" t="s">
        <v>869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3</v>
      </c>
      <c r="J387" s="35">
        <v>0</v>
      </c>
      <c r="K387" s="35">
        <v>0</v>
      </c>
      <c r="L387" s="35">
        <v>0</v>
      </c>
      <c r="M387">
        <v>3</v>
      </c>
      <c r="N387">
        <v>0</v>
      </c>
      <c r="O387">
        <v>3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2</v>
      </c>
      <c r="AK387">
        <v>1</v>
      </c>
      <c r="AL387">
        <v>1</v>
      </c>
      <c r="AM387">
        <v>2</v>
      </c>
      <c r="AN387" s="23">
        <v>0</v>
      </c>
      <c r="AO387" s="23">
        <v>0</v>
      </c>
      <c r="AP387" s="23">
        <v>0</v>
      </c>
      <c r="AQ387" s="23">
        <v>0</v>
      </c>
      <c r="AR387" s="37">
        <v>0</v>
      </c>
      <c r="AS387" s="37">
        <v>0</v>
      </c>
      <c r="AT387" s="37">
        <v>3</v>
      </c>
      <c r="AU387" s="33" t="str">
        <f t="shared" si="8"/>
        <v>库存为3</v>
      </c>
      <c r="AV387" s="38" t="str">
        <f>IFERROR(时间!$B$4+AU387,"上周无销量")</f>
        <v>上周无销量</v>
      </c>
    </row>
    <row r="388" spans="1:48">
      <c r="A388" s="21" t="s">
        <v>874</v>
      </c>
      <c r="B388" t="s">
        <v>875</v>
      </c>
      <c r="C388" t="s">
        <v>876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0</v>
      </c>
      <c r="J388" s="35">
        <v>0</v>
      </c>
      <c r="K388" s="35">
        <v>0</v>
      </c>
      <c r="L388" s="35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s">
        <v>54</v>
      </c>
      <c r="AO388" s="23" t="s">
        <v>54</v>
      </c>
      <c r="AP388" s="23" t="s">
        <v>54</v>
      </c>
      <c r="AQ388" s="23" t="s">
        <v>54</v>
      </c>
      <c r="AR388" s="37">
        <v>0</v>
      </c>
      <c r="AS388" s="37">
        <v>0</v>
      </c>
      <c r="AT388" s="37">
        <v>0</v>
      </c>
      <c r="AU388" s="33" t="str">
        <f t="shared" si="8"/>
        <v>库存为0</v>
      </c>
      <c r="AV388" s="38" t="str">
        <f>IFERROR(时间!$B$4+AU388,"上周无销量")</f>
        <v>上周无销量</v>
      </c>
    </row>
    <row r="389" spans="1:48">
      <c r="A389" s="21" t="s">
        <v>877</v>
      </c>
      <c r="B389" t="s">
        <v>878</v>
      </c>
      <c r="C389" t="s">
        <v>879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7">
        <v>0</v>
      </c>
      <c r="AS389" s="37">
        <v>0</v>
      </c>
      <c r="AT389" s="37">
        <v>0</v>
      </c>
      <c r="AU389" s="33" t="str">
        <f t="shared" ref="AU389:AU452" si="9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880</v>
      </c>
      <c r="B390" t="s">
        <v>881</v>
      </c>
      <c r="C390" t="s">
        <v>879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2</v>
      </c>
      <c r="J390" s="35">
        <v>0</v>
      </c>
      <c r="K390" s="35">
        <v>0</v>
      </c>
      <c r="L390" s="35">
        <v>0</v>
      </c>
      <c r="M390">
        <v>2</v>
      </c>
      <c r="N390">
        <v>0</v>
      </c>
      <c r="O390">
        <v>2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3</v>
      </c>
      <c r="AK390">
        <v>2</v>
      </c>
      <c r="AL390">
        <v>2</v>
      </c>
      <c r="AM390">
        <v>4</v>
      </c>
      <c r="AN390" s="23">
        <v>0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2</v>
      </c>
      <c r="AU390" s="33" t="str">
        <f t="shared" si="9"/>
        <v>库存为2</v>
      </c>
      <c r="AV390" s="38" t="str">
        <f>IFERROR(时间!$B$4+AU390,"上周无销量")</f>
        <v>上周无销量</v>
      </c>
    </row>
    <row r="391" spans="1:48">
      <c r="A391" s="21" t="s">
        <v>882</v>
      </c>
      <c r="B391" t="s">
        <v>883</v>
      </c>
      <c r="C391" t="s">
        <v>879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1</v>
      </c>
      <c r="J391" s="35">
        <v>0</v>
      </c>
      <c r="K391" s="35">
        <v>0</v>
      </c>
      <c r="L391" s="35">
        <v>0</v>
      </c>
      <c r="M391">
        <v>1</v>
      </c>
      <c r="N391">
        <v>0</v>
      </c>
      <c r="O391">
        <v>1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2</v>
      </c>
      <c r="AK391">
        <v>2</v>
      </c>
      <c r="AL391">
        <v>2</v>
      </c>
      <c r="AM391">
        <v>1</v>
      </c>
      <c r="AN391" s="23">
        <v>0</v>
      </c>
      <c r="AO391" s="23">
        <v>0</v>
      </c>
      <c r="AP391" s="23">
        <v>0</v>
      </c>
      <c r="AQ391" s="23">
        <v>0</v>
      </c>
      <c r="AR391" s="37">
        <v>0</v>
      </c>
      <c r="AS391" s="37">
        <v>0</v>
      </c>
      <c r="AT391" s="37">
        <v>1</v>
      </c>
      <c r="AU391" s="33" t="str">
        <f t="shared" si="9"/>
        <v>库存为1</v>
      </c>
      <c r="AV391" s="38" t="str">
        <f>IFERROR(时间!$B$4+AU391,"上周无销量")</f>
        <v>上周无销量</v>
      </c>
    </row>
    <row r="392" spans="1:48">
      <c r="A392" s="21" t="s">
        <v>884</v>
      </c>
      <c r="B392" t="s">
        <v>885</v>
      </c>
      <c r="C392" t="s">
        <v>879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4</v>
      </c>
      <c r="J392" s="35">
        <v>0</v>
      </c>
      <c r="K392" s="35">
        <v>0</v>
      </c>
      <c r="L392" s="35">
        <v>0</v>
      </c>
      <c r="M392">
        <v>4</v>
      </c>
      <c r="N392">
        <v>0</v>
      </c>
      <c r="O392">
        <v>4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2</v>
      </c>
      <c r="AK392">
        <v>1</v>
      </c>
      <c r="AL392">
        <v>1</v>
      </c>
      <c r="AM392">
        <v>1</v>
      </c>
      <c r="AN392" s="23">
        <v>0</v>
      </c>
      <c r="AO392" s="23">
        <v>0</v>
      </c>
      <c r="AP392" s="23">
        <v>0</v>
      </c>
      <c r="AQ392" s="23">
        <v>0</v>
      </c>
      <c r="AR392" s="37">
        <v>0</v>
      </c>
      <c r="AS392" s="37">
        <v>0</v>
      </c>
      <c r="AT392" s="37">
        <v>4</v>
      </c>
      <c r="AU392" s="33" t="str">
        <f t="shared" si="9"/>
        <v>库存为4</v>
      </c>
      <c r="AV392" s="38" t="str">
        <f>IFERROR(时间!$B$4+AU392,"上周无销量")</f>
        <v>上周无销量</v>
      </c>
    </row>
    <row r="393" spans="1:48">
      <c r="A393" s="21" t="s">
        <v>886</v>
      </c>
      <c r="B393" t="s">
        <v>887</v>
      </c>
      <c r="C393" t="s">
        <v>879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4</v>
      </c>
      <c r="J393" s="35">
        <v>0</v>
      </c>
      <c r="K393" s="35">
        <v>0</v>
      </c>
      <c r="L393" s="35">
        <v>0</v>
      </c>
      <c r="M393">
        <v>4</v>
      </c>
      <c r="N393">
        <v>0</v>
      </c>
      <c r="O393">
        <v>4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3</v>
      </c>
      <c r="AK393">
        <v>3</v>
      </c>
      <c r="AL393">
        <v>3</v>
      </c>
      <c r="AM393">
        <v>0</v>
      </c>
      <c r="AN393" s="23">
        <v>0</v>
      </c>
      <c r="AO393" s="23">
        <v>0</v>
      </c>
      <c r="AP393" s="23">
        <v>0</v>
      </c>
      <c r="AQ393" s="23" t="s">
        <v>54</v>
      </c>
      <c r="AR393" s="37">
        <v>0</v>
      </c>
      <c r="AS393" s="37">
        <v>0</v>
      </c>
      <c r="AT393" s="37">
        <v>4</v>
      </c>
      <c r="AU393" s="33" t="str">
        <f t="shared" si="9"/>
        <v>库存为4</v>
      </c>
      <c r="AV393" s="38" t="str">
        <f>IFERROR(时间!$B$4+AU393,"上周无销量")</f>
        <v>上周无销量</v>
      </c>
    </row>
    <row r="394" spans="1:48">
      <c r="A394" s="21" t="s">
        <v>888</v>
      </c>
      <c r="B394" t="s">
        <v>889</v>
      </c>
      <c r="C394" t="s">
        <v>879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3</v>
      </c>
      <c r="J394" s="35">
        <v>0</v>
      </c>
      <c r="K394" s="35">
        <v>0</v>
      </c>
      <c r="L394" s="35">
        <v>0</v>
      </c>
      <c r="M394">
        <v>3</v>
      </c>
      <c r="N394">
        <v>0</v>
      </c>
      <c r="O394">
        <v>3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3</v>
      </c>
      <c r="AK394">
        <v>2</v>
      </c>
      <c r="AL394">
        <v>2</v>
      </c>
      <c r="AM394">
        <v>2</v>
      </c>
      <c r="AN394" s="23">
        <v>0</v>
      </c>
      <c r="AO394" s="23">
        <v>0</v>
      </c>
      <c r="AP394" s="23">
        <v>0</v>
      </c>
      <c r="AQ394" s="23">
        <v>0</v>
      </c>
      <c r="AR394" s="37">
        <v>0</v>
      </c>
      <c r="AS394" s="37">
        <v>0</v>
      </c>
      <c r="AT394" s="37">
        <v>3</v>
      </c>
      <c r="AU394" s="33" t="str">
        <f t="shared" si="9"/>
        <v>库存为3</v>
      </c>
      <c r="AV394" s="38" t="str">
        <f>IFERROR(时间!$B$4+AU394,"上周无销量")</f>
        <v>上周无销量</v>
      </c>
    </row>
    <row r="395" spans="1:48">
      <c r="A395" s="21" t="s">
        <v>890</v>
      </c>
      <c r="B395" t="s">
        <v>891</v>
      </c>
      <c r="C395" t="s">
        <v>879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4</v>
      </c>
      <c r="J395" s="35">
        <v>0</v>
      </c>
      <c r="K395" s="35">
        <v>0</v>
      </c>
      <c r="L395" s="35">
        <v>0</v>
      </c>
      <c r="M395">
        <v>4</v>
      </c>
      <c r="N395">
        <v>0</v>
      </c>
      <c r="O395">
        <v>3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4</v>
      </c>
      <c r="AK395">
        <v>1</v>
      </c>
      <c r="AL395">
        <v>1</v>
      </c>
      <c r="AM395">
        <v>0</v>
      </c>
      <c r="AN395" s="23">
        <v>0</v>
      </c>
      <c r="AO395" s="23">
        <v>0</v>
      </c>
      <c r="AP395" s="23">
        <v>0</v>
      </c>
      <c r="AQ395" s="23" t="s">
        <v>54</v>
      </c>
      <c r="AR395" s="37">
        <v>0</v>
      </c>
      <c r="AS395" s="37">
        <v>0</v>
      </c>
      <c r="AT395" s="37">
        <v>4</v>
      </c>
      <c r="AU395" s="33" t="str">
        <f t="shared" si="9"/>
        <v>库存为4</v>
      </c>
      <c r="AV395" s="38" t="str">
        <f>IFERROR(时间!$B$4+AU395,"上周无销量")</f>
        <v>上周无销量</v>
      </c>
    </row>
    <row r="396" spans="1:48">
      <c r="A396" s="21" t="s">
        <v>892</v>
      </c>
      <c r="B396" t="s">
        <v>893</v>
      </c>
      <c r="C396" t="s">
        <v>879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0</v>
      </c>
      <c r="J396" s="35">
        <v>0</v>
      </c>
      <c r="K396" s="35">
        <v>0</v>
      </c>
      <c r="L396" s="35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7">
        <v>0</v>
      </c>
      <c r="AS396" s="37">
        <v>0</v>
      </c>
      <c r="AT396" s="37">
        <v>0</v>
      </c>
      <c r="AU396" s="33" t="str">
        <f t="shared" si="9"/>
        <v>库存为0</v>
      </c>
      <c r="AV396" s="38" t="str">
        <f>IFERROR(时间!$B$4+AU396,"上周无销量")</f>
        <v>上周无销量</v>
      </c>
    </row>
    <row r="397" spans="1:48">
      <c r="A397" s="21" t="s">
        <v>894</v>
      </c>
      <c r="B397" t="s">
        <v>895</v>
      </c>
      <c r="C397" t="s">
        <v>879</v>
      </c>
      <c r="D397" s="33">
        <v>0</v>
      </c>
      <c r="E397" s="33">
        <v>0</v>
      </c>
      <c r="F397" s="33">
        <v>0</v>
      </c>
      <c r="G397" s="33">
        <v>1</v>
      </c>
      <c r="H397" s="34">
        <v>18.18</v>
      </c>
      <c r="I397">
        <v>0</v>
      </c>
      <c r="J397" s="35">
        <v>0</v>
      </c>
      <c r="K397" s="35">
        <v>0</v>
      </c>
      <c r="L397" s="35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7">
        <v>0</v>
      </c>
      <c r="AS397" s="37">
        <v>0</v>
      </c>
      <c r="AT397" s="37">
        <v>0</v>
      </c>
      <c r="AU397" s="33" t="str">
        <f t="shared" si="9"/>
        <v>库存为0</v>
      </c>
      <c r="AV397" s="38" t="str">
        <f>IFERROR(时间!$B$4+AU397,"上周无销量")</f>
        <v>上周无销量</v>
      </c>
    </row>
    <row r="398" spans="1:48">
      <c r="A398" s="21" t="s">
        <v>896</v>
      </c>
      <c r="B398" t="s">
        <v>897</v>
      </c>
      <c r="C398" t="s">
        <v>879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0</v>
      </c>
      <c r="J398" s="35">
        <v>0</v>
      </c>
      <c r="K398" s="35">
        <v>0</v>
      </c>
      <c r="L398" s="35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s">
        <v>54</v>
      </c>
      <c r="AO398" s="23" t="s">
        <v>54</v>
      </c>
      <c r="AP398" s="23" t="s">
        <v>54</v>
      </c>
      <c r="AQ398" s="23" t="s">
        <v>54</v>
      </c>
      <c r="AR398" s="37">
        <v>0</v>
      </c>
      <c r="AS398" s="37">
        <v>0</v>
      </c>
      <c r="AT398" s="37">
        <v>0</v>
      </c>
      <c r="AU398" s="33" t="str">
        <f t="shared" si="9"/>
        <v>库存为0</v>
      </c>
      <c r="AV398" s="38" t="str">
        <f>IFERROR(时间!$B$4+AU398,"上周无销量")</f>
        <v>上周无销量</v>
      </c>
    </row>
    <row r="399" spans="1:48">
      <c r="A399" s="21" t="s">
        <v>898</v>
      </c>
      <c r="B399" t="s">
        <v>899</v>
      </c>
      <c r="C399" t="s">
        <v>900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1</v>
      </c>
      <c r="J399" s="35">
        <v>0</v>
      </c>
      <c r="K399" s="35">
        <v>0</v>
      </c>
      <c r="L399" s="35">
        <v>0</v>
      </c>
      <c r="M399">
        <v>1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1</v>
      </c>
      <c r="AK399">
        <v>0</v>
      </c>
      <c r="AL399">
        <v>0</v>
      </c>
      <c r="AM399">
        <v>0</v>
      </c>
      <c r="AN399" s="23">
        <v>0</v>
      </c>
      <c r="AO399" s="23" t="s">
        <v>54</v>
      </c>
      <c r="AP399" s="23" t="s">
        <v>54</v>
      </c>
      <c r="AQ399" s="23" t="s">
        <v>54</v>
      </c>
      <c r="AR399" s="37">
        <v>0</v>
      </c>
      <c r="AS399" s="37">
        <v>0</v>
      </c>
      <c r="AT399" s="37">
        <v>1</v>
      </c>
      <c r="AU399" s="33" t="str">
        <f t="shared" si="9"/>
        <v>库存为1</v>
      </c>
      <c r="AV399" s="38" t="str">
        <f>IFERROR(时间!$B$4+AU399,"上周无销量")</f>
        <v>上周无销量</v>
      </c>
    </row>
    <row r="400" spans="1:48">
      <c r="A400" s="21" t="s">
        <v>901</v>
      </c>
      <c r="B400" t="s">
        <v>902</v>
      </c>
      <c r="C400" t="s">
        <v>903</v>
      </c>
      <c r="D400" s="33">
        <v>17</v>
      </c>
      <c r="E400" s="33">
        <v>12</v>
      </c>
      <c r="F400" s="33">
        <v>24</v>
      </c>
      <c r="G400" s="33">
        <v>12</v>
      </c>
      <c r="H400" s="34">
        <v>18.99</v>
      </c>
      <c r="I400">
        <v>31</v>
      </c>
      <c r="J400" s="35">
        <v>25</v>
      </c>
      <c r="K400" s="35">
        <v>0</v>
      </c>
      <c r="L400" s="35">
        <v>1</v>
      </c>
      <c r="M400">
        <v>57</v>
      </c>
      <c r="N400">
        <v>20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48</v>
      </c>
      <c r="AK400">
        <v>52</v>
      </c>
      <c r="AL400">
        <v>52</v>
      </c>
      <c r="AM400">
        <v>20</v>
      </c>
      <c r="AN400" s="23">
        <v>0.354166666666667</v>
      </c>
      <c r="AO400" s="23">
        <v>0.230769230769231</v>
      </c>
      <c r="AP400" s="23">
        <v>0.461538461538462</v>
      </c>
      <c r="AQ400" s="23">
        <v>0.6</v>
      </c>
      <c r="AR400" s="37">
        <v>2.42857142857143</v>
      </c>
      <c r="AS400" s="37">
        <v>145.714285714286</v>
      </c>
      <c r="AT400" s="37">
        <v>-88.7142857142857</v>
      </c>
      <c r="AU400" s="33">
        <f t="shared" si="9"/>
        <v>23</v>
      </c>
      <c r="AV400" s="38">
        <f>IFERROR(时间!$B$4+AU400,"上周无销量")</f>
        <v>43313</v>
      </c>
    </row>
    <row r="401" spans="1:48">
      <c r="A401" s="21" t="s">
        <v>904</v>
      </c>
      <c r="B401" t="s">
        <v>905</v>
      </c>
      <c r="C401" t="s">
        <v>903</v>
      </c>
      <c r="D401" s="33">
        <v>3</v>
      </c>
      <c r="E401" s="33">
        <v>9</v>
      </c>
      <c r="F401" s="33">
        <v>6</v>
      </c>
      <c r="G401" s="33">
        <v>4</v>
      </c>
      <c r="H401" s="34">
        <v>18.99</v>
      </c>
      <c r="I401">
        <v>2</v>
      </c>
      <c r="J401" s="35">
        <v>30</v>
      </c>
      <c r="K401" s="35">
        <v>0</v>
      </c>
      <c r="L401" s="35">
        <v>0</v>
      </c>
      <c r="M401">
        <v>32</v>
      </c>
      <c r="N401">
        <v>6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33</v>
      </c>
      <c r="AK401">
        <v>36</v>
      </c>
      <c r="AL401">
        <v>36</v>
      </c>
      <c r="AM401">
        <v>14</v>
      </c>
      <c r="AN401" s="23">
        <v>0.0909090909090909</v>
      </c>
      <c r="AO401" s="23">
        <v>0.25</v>
      </c>
      <c r="AP401" s="23">
        <v>0.166666666666667</v>
      </c>
      <c r="AQ401" s="23">
        <v>0.285714285714286</v>
      </c>
      <c r="AR401" s="37">
        <v>0.428571428571429</v>
      </c>
      <c r="AS401" s="37">
        <v>25.7142857142857</v>
      </c>
      <c r="AT401" s="37">
        <v>6.28571428571429</v>
      </c>
      <c r="AU401" s="33">
        <f t="shared" si="9"/>
        <v>74</v>
      </c>
      <c r="AV401" s="38">
        <f>IFERROR(时间!$B$4+AU401,"上周无销量")</f>
        <v>43364</v>
      </c>
    </row>
    <row r="402" spans="1:48">
      <c r="A402" s="21" t="s">
        <v>906</v>
      </c>
      <c r="B402" t="s">
        <v>907</v>
      </c>
      <c r="C402" t="s">
        <v>903</v>
      </c>
      <c r="D402" s="33">
        <v>1</v>
      </c>
      <c r="E402" s="33">
        <v>4</v>
      </c>
      <c r="F402" s="33">
        <v>1</v>
      </c>
      <c r="G402" s="33">
        <v>1</v>
      </c>
      <c r="H402" s="34">
        <v>18.99</v>
      </c>
      <c r="I402">
        <v>10</v>
      </c>
      <c r="J402" s="35">
        <v>0</v>
      </c>
      <c r="K402" s="35">
        <v>0</v>
      </c>
      <c r="L402" s="35">
        <v>0</v>
      </c>
      <c r="M402">
        <v>10</v>
      </c>
      <c r="N402">
        <v>2</v>
      </c>
      <c r="O402">
        <v>2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20</v>
      </c>
      <c r="AK402">
        <v>7</v>
      </c>
      <c r="AL402">
        <v>7</v>
      </c>
      <c r="AM402">
        <v>7</v>
      </c>
      <c r="AN402" s="23">
        <v>0.05</v>
      </c>
      <c r="AO402" s="23">
        <v>0.571428571428571</v>
      </c>
      <c r="AP402" s="23">
        <v>0.142857142857143</v>
      </c>
      <c r="AQ402" s="23">
        <v>0.142857142857143</v>
      </c>
      <c r="AR402" s="37">
        <v>0.142857142857143</v>
      </c>
      <c r="AS402" s="37">
        <v>8.57142857142857</v>
      </c>
      <c r="AT402" s="37">
        <v>1.42857142857143</v>
      </c>
      <c r="AU402" s="33">
        <f t="shared" si="9"/>
        <v>70</v>
      </c>
      <c r="AV402" s="38">
        <f>IFERROR(时间!$B$4+AU402,"上周无销量")</f>
        <v>43360</v>
      </c>
    </row>
    <row r="403" spans="1:48">
      <c r="A403" s="21" t="s">
        <v>908</v>
      </c>
      <c r="B403" t="s">
        <v>909</v>
      </c>
      <c r="C403" t="s">
        <v>903</v>
      </c>
      <c r="D403" s="33">
        <v>0</v>
      </c>
      <c r="E403" s="33">
        <v>1</v>
      </c>
      <c r="F403" s="33">
        <v>1</v>
      </c>
      <c r="G403" s="33">
        <v>3</v>
      </c>
      <c r="H403" s="34">
        <v>18.99</v>
      </c>
      <c r="I403">
        <v>11</v>
      </c>
      <c r="J403" s="35">
        <v>0</v>
      </c>
      <c r="K403" s="35">
        <v>0</v>
      </c>
      <c r="L403" s="35">
        <v>1</v>
      </c>
      <c r="M403">
        <v>12</v>
      </c>
      <c r="N403">
        <v>2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27</v>
      </c>
      <c r="AK403">
        <v>16</v>
      </c>
      <c r="AL403">
        <v>16</v>
      </c>
      <c r="AM403">
        <v>12</v>
      </c>
      <c r="AN403" s="23">
        <v>0</v>
      </c>
      <c r="AO403" s="23">
        <v>0.0625</v>
      </c>
      <c r="AP403" s="23">
        <v>0.0625</v>
      </c>
      <c r="AQ403" s="23">
        <v>0.25</v>
      </c>
      <c r="AR403" s="37">
        <v>0</v>
      </c>
      <c r="AS403" s="37">
        <v>0</v>
      </c>
      <c r="AT403" s="37">
        <v>12</v>
      </c>
      <c r="AU403" s="33" t="str">
        <f t="shared" si="9"/>
        <v>库存为12</v>
      </c>
      <c r="AV403" s="38" t="str">
        <f>IFERROR(时间!$B$4+AU403,"上周无销量")</f>
        <v>上周无销量</v>
      </c>
    </row>
    <row r="404" spans="1:48">
      <c r="A404" s="21" t="s">
        <v>910</v>
      </c>
      <c r="B404" t="s">
        <v>911</v>
      </c>
      <c r="C404" t="s">
        <v>903</v>
      </c>
      <c r="D404" s="33">
        <v>29</v>
      </c>
      <c r="E404" s="33">
        <v>56</v>
      </c>
      <c r="F404" s="33">
        <v>60</v>
      </c>
      <c r="G404" s="33">
        <v>43</v>
      </c>
      <c r="H404" s="34">
        <v>18.6157978723403</v>
      </c>
      <c r="I404">
        <v>80</v>
      </c>
      <c r="J404" s="35">
        <v>0</v>
      </c>
      <c r="K404" s="35">
        <v>0</v>
      </c>
      <c r="L404" s="35">
        <v>3</v>
      </c>
      <c r="M404">
        <v>83</v>
      </c>
      <c r="N404">
        <v>51</v>
      </c>
      <c r="O404">
        <v>0</v>
      </c>
      <c r="P404">
        <v>28051</v>
      </c>
      <c r="Q404">
        <v>25171</v>
      </c>
      <c r="R404">
        <v>43080</v>
      </c>
      <c r="S404">
        <v>47602</v>
      </c>
      <c r="T404">
        <v>199</v>
      </c>
      <c r="U404">
        <v>231</v>
      </c>
      <c r="V404">
        <v>319</v>
      </c>
      <c r="W404">
        <v>313</v>
      </c>
      <c r="X404" s="23">
        <v>0.0070942212398845</v>
      </c>
      <c r="Y404" s="23">
        <v>0.00917722776210719</v>
      </c>
      <c r="Z404" s="23">
        <v>0.00740482822655525</v>
      </c>
      <c r="AA404" s="23">
        <v>0.00657535397672367</v>
      </c>
      <c r="AB404">
        <v>75.07</v>
      </c>
      <c r="AC404">
        <v>85.93</v>
      </c>
      <c r="AD404">
        <v>112.89</v>
      </c>
      <c r="AE404">
        <v>108.57</v>
      </c>
      <c r="AF404" s="23">
        <v>0.139055049233286</v>
      </c>
      <c r="AG404" s="23">
        <v>0.0824280697629523</v>
      </c>
      <c r="AH404" s="23">
        <v>0.101070070318907</v>
      </c>
      <c r="AI404" s="23">
        <v>0.135631238491354</v>
      </c>
      <c r="AJ404">
        <v>159</v>
      </c>
      <c r="AK404">
        <v>199</v>
      </c>
      <c r="AL404">
        <v>199</v>
      </c>
      <c r="AM404">
        <v>186</v>
      </c>
      <c r="AN404" s="23">
        <v>0.182389937106918</v>
      </c>
      <c r="AO404" s="23">
        <v>0.281407035175879</v>
      </c>
      <c r="AP404" s="23">
        <v>0.301507537688442</v>
      </c>
      <c r="AQ404" s="23">
        <v>0.231182795698925</v>
      </c>
      <c r="AR404" s="37">
        <v>4.14285714285714</v>
      </c>
      <c r="AS404" s="37">
        <v>248.571428571429</v>
      </c>
      <c r="AT404" s="37">
        <v>-165.571428571429</v>
      </c>
      <c r="AU404" s="33">
        <f t="shared" si="9"/>
        <v>20</v>
      </c>
      <c r="AV404" s="38">
        <f>IFERROR(时间!$B$4+AU404,"上周无销量")</f>
        <v>43310</v>
      </c>
    </row>
    <row r="405" spans="1:48">
      <c r="A405" s="21" t="s">
        <v>912</v>
      </c>
      <c r="B405" t="s">
        <v>913</v>
      </c>
      <c r="C405" t="s">
        <v>903</v>
      </c>
      <c r="D405" s="33">
        <v>21</v>
      </c>
      <c r="E405" s="33">
        <v>36</v>
      </c>
      <c r="F405" s="33">
        <v>36</v>
      </c>
      <c r="G405" s="33">
        <v>30</v>
      </c>
      <c r="H405" s="34">
        <v>18.6289430894309</v>
      </c>
      <c r="I405">
        <v>108</v>
      </c>
      <c r="J405" s="35">
        <v>29</v>
      </c>
      <c r="K405" s="35">
        <v>0</v>
      </c>
      <c r="L405" s="35">
        <v>2</v>
      </c>
      <c r="M405">
        <v>139</v>
      </c>
      <c r="N405">
        <v>56</v>
      </c>
      <c r="O405">
        <v>18</v>
      </c>
      <c r="P405">
        <v>81718</v>
      </c>
      <c r="Q405">
        <v>63783</v>
      </c>
      <c r="R405">
        <v>55351</v>
      </c>
      <c r="S405">
        <v>72547</v>
      </c>
      <c r="T405">
        <v>701</v>
      </c>
      <c r="U405">
        <v>543</v>
      </c>
      <c r="V405">
        <v>451</v>
      </c>
      <c r="W405">
        <v>459</v>
      </c>
      <c r="X405" s="23">
        <v>0.0085782814067892</v>
      </c>
      <c r="Y405" s="23">
        <v>0.00851324020507032</v>
      </c>
      <c r="Z405" s="23">
        <v>0.00814800093945909</v>
      </c>
      <c r="AA405" s="23">
        <v>0.00632693288488842</v>
      </c>
      <c r="AB405">
        <v>236.72</v>
      </c>
      <c r="AC405">
        <v>194.34</v>
      </c>
      <c r="AD405">
        <v>172.65</v>
      </c>
      <c r="AE405">
        <v>165.12</v>
      </c>
      <c r="AF405" s="23">
        <v>0.605100402007042</v>
      </c>
      <c r="AG405" s="23">
        <v>0.289782050834439</v>
      </c>
      <c r="AH405" s="23">
        <v>0.257439904685427</v>
      </c>
      <c r="AI405" s="23">
        <v>0.2954542280567</v>
      </c>
      <c r="AJ405">
        <v>78</v>
      </c>
      <c r="AK405">
        <v>189</v>
      </c>
      <c r="AL405">
        <v>189</v>
      </c>
      <c r="AM405">
        <v>125</v>
      </c>
      <c r="AN405" s="23">
        <v>0.269230769230769</v>
      </c>
      <c r="AO405" s="23">
        <v>0.19047619047619</v>
      </c>
      <c r="AP405" s="23">
        <v>0.19047619047619</v>
      </c>
      <c r="AQ405" s="23">
        <v>0.24</v>
      </c>
      <c r="AR405" s="37">
        <v>3</v>
      </c>
      <c r="AS405" s="37">
        <v>180</v>
      </c>
      <c r="AT405" s="37">
        <v>-41</v>
      </c>
      <c r="AU405" s="33">
        <f t="shared" si="9"/>
        <v>46</v>
      </c>
      <c r="AV405" s="38">
        <f>IFERROR(时间!$B$4+AU405,"上周无销量")</f>
        <v>43336</v>
      </c>
    </row>
    <row r="406" spans="1:48">
      <c r="A406" s="21" t="s">
        <v>914</v>
      </c>
      <c r="B406" t="s">
        <v>915</v>
      </c>
      <c r="C406" t="s">
        <v>903</v>
      </c>
      <c r="D406" s="33">
        <v>9</v>
      </c>
      <c r="E406" s="33">
        <v>15</v>
      </c>
      <c r="F406" s="33">
        <v>14</v>
      </c>
      <c r="G406" s="33">
        <v>15</v>
      </c>
      <c r="H406" s="34">
        <v>18.5728301886793</v>
      </c>
      <c r="I406">
        <v>38</v>
      </c>
      <c r="J406" s="35">
        <v>31</v>
      </c>
      <c r="K406" s="35">
        <v>0</v>
      </c>
      <c r="L406" s="35">
        <v>1</v>
      </c>
      <c r="M406">
        <v>70</v>
      </c>
      <c r="N406">
        <v>20</v>
      </c>
      <c r="O406">
        <v>0</v>
      </c>
      <c r="P406">
        <v>33764</v>
      </c>
      <c r="Q406">
        <v>38808</v>
      </c>
      <c r="R406">
        <v>40404</v>
      </c>
      <c r="S406">
        <v>44599</v>
      </c>
      <c r="T406">
        <v>442</v>
      </c>
      <c r="U406">
        <v>385</v>
      </c>
      <c r="V406">
        <v>210</v>
      </c>
      <c r="W406">
        <v>232</v>
      </c>
      <c r="X406" s="23">
        <v>0.0130908660111361</v>
      </c>
      <c r="Y406" s="23">
        <v>0.00992063492063492</v>
      </c>
      <c r="Z406" s="23">
        <v>0.0051975051975052</v>
      </c>
      <c r="AA406" s="23">
        <v>0.00520191035673446</v>
      </c>
      <c r="AB406">
        <v>178.71</v>
      </c>
      <c r="AC406">
        <v>157.42</v>
      </c>
      <c r="AD406">
        <v>86.34</v>
      </c>
      <c r="AE406">
        <v>92.32</v>
      </c>
      <c r="AF406" s="23">
        <v>1.06912443956818</v>
      </c>
      <c r="AG406" s="23">
        <v>0.565054790252887</v>
      </c>
      <c r="AH406" s="23">
        <v>0.332051862558993</v>
      </c>
      <c r="AI406" s="23">
        <v>0.331380118384872</v>
      </c>
      <c r="AJ406">
        <v>92</v>
      </c>
      <c r="AK406">
        <v>153</v>
      </c>
      <c r="AL406">
        <v>153</v>
      </c>
      <c r="AM406">
        <v>96</v>
      </c>
      <c r="AN406" s="23">
        <v>0.0978260869565217</v>
      </c>
      <c r="AO406" s="23">
        <v>0.0980392156862745</v>
      </c>
      <c r="AP406" s="23">
        <v>0.0915032679738562</v>
      </c>
      <c r="AQ406" s="23">
        <v>0.15625</v>
      </c>
      <c r="AR406" s="37">
        <v>1.28571428571429</v>
      </c>
      <c r="AS406" s="37">
        <v>77.1428571428572</v>
      </c>
      <c r="AT406" s="37">
        <v>-7.14285714285715</v>
      </c>
      <c r="AU406" s="33">
        <f t="shared" si="9"/>
        <v>54</v>
      </c>
      <c r="AV406" s="38">
        <f>IFERROR(时间!$B$4+AU406,"上周无销量")</f>
        <v>43344</v>
      </c>
    </row>
    <row r="407" spans="1:48">
      <c r="A407" s="21" t="s">
        <v>916</v>
      </c>
      <c r="B407" t="s">
        <v>917</v>
      </c>
      <c r="C407" t="s">
        <v>903</v>
      </c>
      <c r="D407" s="33">
        <v>28</v>
      </c>
      <c r="E407" s="33">
        <v>42</v>
      </c>
      <c r="F407" s="33">
        <v>39</v>
      </c>
      <c r="G407" s="33">
        <v>33</v>
      </c>
      <c r="H407" s="34">
        <v>18.4944366197183</v>
      </c>
      <c r="I407">
        <v>134</v>
      </c>
      <c r="J407" s="35">
        <v>0</v>
      </c>
      <c r="K407" s="35">
        <v>0</v>
      </c>
      <c r="L407" s="35">
        <v>1</v>
      </c>
      <c r="M407">
        <v>135</v>
      </c>
      <c r="N407">
        <v>33</v>
      </c>
      <c r="O407">
        <v>0</v>
      </c>
      <c r="P407">
        <v>12914</v>
      </c>
      <c r="Q407">
        <v>6689</v>
      </c>
      <c r="R407">
        <v>13000</v>
      </c>
      <c r="S407">
        <v>11597</v>
      </c>
      <c r="T407">
        <v>76</v>
      </c>
      <c r="U407">
        <v>59</v>
      </c>
      <c r="V407">
        <v>75</v>
      </c>
      <c r="W407">
        <v>62</v>
      </c>
      <c r="X407" s="23">
        <v>0.00588508595322905</v>
      </c>
      <c r="Y407" s="23">
        <v>0.00882045148751682</v>
      </c>
      <c r="Z407" s="23">
        <v>0.00576923076923077</v>
      </c>
      <c r="AA407" s="23">
        <v>0.00534621022678279</v>
      </c>
      <c r="AB407">
        <v>25.39</v>
      </c>
      <c r="AC407">
        <v>18.2</v>
      </c>
      <c r="AD407">
        <v>24.56</v>
      </c>
      <c r="AE407">
        <v>20.51</v>
      </c>
      <c r="AF407" s="23">
        <v>0.0490301885335032</v>
      </c>
      <c r="AG407" s="23">
        <v>0.0234304695105621</v>
      </c>
      <c r="AH407" s="23">
        <v>0.034050433797598</v>
      </c>
      <c r="AI407" s="23">
        <v>0.0336055195567573</v>
      </c>
      <c r="AJ407">
        <v>82</v>
      </c>
      <c r="AK407">
        <v>100</v>
      </c>
      <c r="AL407">
        <v>100</v>
      </c>
      <c r="AM407">
        <v>72</v>
      </c>
      <c r="AN407" s="23">
        <v>0.341463414634146</v>
      </c>
      <c r="AO407" s="23">
        <v>0.42</v>
      </c>
      <c r="AP407" s="23">
        <v>0.39</v>
      </c>
      <c r="AQ407" s="23">
        <v>0.458333333333333</v>
      </c>
      <c r="AR407" s="37">
        <v>4</v>
      </c>
      <c r="AS407" s="37">
        <v>240</v>
      </c>
      <c r="AT407" s="37">
        <v>-105</v>
      </c>
      <c r="AU407" s="33">
        <f t="shared" si="9"/>
        <v>33</v>
      </c>
      <c r="AV407" s="38">
        <f>IFERROR(时间!$B$4+AU407,"上周无销量")</f>
        <v>43323</v>
      </c>
    </row>
    <row r="408" spans="1:48">
      <c r="A408" s="21" t="s">
        <v>918</v>
      </c>
      <c r="B408" t="s">
        <v>919</v>
      </c>
      <c r="C408" t="s">
        <v>920</v>
      </c>
      <c r="D408" s="33">
        <v>2</v>
      </c>
      <c r="E408" s="33">
        <v>3</v>
      </c>
      <c r="F408" s="33">
        <v>5</v>
      </c>
      <c r="G408" s="33">
        <v>7</v>
      </c>
      <c r="H408" s="34">
        <v>18.99</v>
      </c>
      <c r="I408">
        <v>25</v>
      </c>
      <c r="J408" s="35">
        <v>0</v>
      </c>
      <c r="K408" s="35">
        <v>0</v>
      </c>
      <c r="L408" s="35">
        <v>1</v>
      </c>
      <c r="M408">
        <v>26</v>
      </c>
      <c r="N408">
        <v>5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 s="23" t="s">
        <v>54</v>
      </c>
      <c r="Y408" s="23" t="s">
        <v>54</v>
      </c>
      <c r="Z408" s="23" t="s">
        <v>54</v>
      </c>
      <c r="AA408" s="23" t="s">
        <v>54</v>
      </c>
      <c r="AB408">
        <v>0</v>
      </c>
      <c r="AC408">
        <v>0</v>
      </c>
      <c r="AD408">
        <v>0</v>
      </c>
      <c r="AE408">
        <v>0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13</v>
      </c>
      <c r="AK408">
        <v>14</v>
      </c>
      <c r="AL408">
        <v>14</v>
      </c>
      <c r="AM408">
        <v>9</v>
      </c>
      <c r="AN408" s="23">
        <v>0.153846153846154</v>
      </c>
      <c r="AO408" s="23">
        <v>0.214285714285714</v>
      </c>
      <c r="AP408" s="23">
        <v>0.357142857142857</v>
      </c>
      <c r="AQ408" s="23">
        <v>0.777777777777778</v>
      </c>
      <c r="AR408" s="37">
        <v>0.285714285714286</v>
      </c>
      <c r="AS408" s="37">
        <v>17.1428571428571</v>
      </c>
      <c r="AT408" s="37">
        <v>8.85714285714286</v>
      </c>
      <c r="AU408" s="33">
        <f t="shared" si="9"/>
        <v>91</v>
      </c>
      <c r="AV408" s="38">
        <f>IFERROR(时间!$B$4+AU408,"上周无销量")</f>
        <v>43381</v>
      </c>
    </row>
    <row r="409" spans="1:48">
      <c r="A409" s="21" t="s">
        <v>921</v>
      </c>
      <c r="B409" t="s">
        <v>922</v>
      </c>
      <c r="C409" t="s">
        <v>920</v>
      </c>
      <c r="D409" s="33">
        <v>4</v>
      </c>
      <c r="E409" s="33">
        <v>11</v>
      </c>
      <c r="F409" s="33">
        <v>9</v>
      </c>
      <c r="G409" s="33">
        <v>10</v>
      </c>
      <c r="H409" s="34">
        <v>16.99</v>
      </c>
      <c r="I409">
        <v>22</v>
      </c>
      <c r="J409" s="35">
        <v>0</v>
      </c>
      <c r="K409" s="35">
        <v>0</v>
      </c>
      <c r="L409" s="35">
        <v>1</v>
      </c>
      <c r="M409">
        <v>23</v>
      </c>
      <c r="N409">
        <v>5</v>
      </c>
      <c r="O409">
        <v>0</v>
      </c>
      <c r="P409">
        <v>133001</v>
      </c>
      <c r="Q409">
        <v>72458</v>
      </c>
      <c r="R409">
        <v>34882</v>
      </c>
      <c r="S409">
        <v>73355</v>
      </c>
      <c r="T409">
        <v>748</v>
      </c>
      <c r="U409">
        <v>440</v>
      </c>
      <c r="V409">
        <v>227</v>
      </c>
      <c r="W409">
        <v>410</v>
      </c>
      <c r="X409" s="23">
        <v>0.00562401786452733</v>
      </c>
      <c r="Y409" s="23">
        <v>0.00607248336967623</v>
      </c>
      <c r="Z409" s="23">
        <v>0.00650765437761596</v>
      </c>
      <c r="AA409" s="23">
        <v>0.0055892577193102</v>
      </c>
      <c r="AB409">
        <v>192.37</v>
      </c>
      <c r="AC409">
        <v>118</v>
      </c>
      <c r="AD409">
        <v>53.67</v>
      </c>
      <c r="AE409">
        <v>99.72</v>
      </c>
      <c r="AF409" s="23">
        <v>2.83063566804002</v>
      </c>
      <c r="AG409" s="23">
        <v>0.631387447161432</v>
      </c>
      <c r="AH409" s="23">
        <v>0.350990778889543</v>
      </c>
      <c r="AI409" s="23">
        <v>0.586933490288405</v>
      </c>
      <c r="AJ409">
        <v>37</v>
      </c>
      <c r="AK409">
        <v>150</v>
      </c>
      <c r="AL409">
        <v>150</v>
      </c>
      <c r="AM409">
        <v>103</v>
      </c>
      <c r="AN409" s="23">
        <v>0.108108108108108</v>
      </c>
      <c r="AO409" s="23">
        <v>0.0733333333333333</v>
      </c>
      <c r="AP409" s="23">
        <v>0.06</v>
      </c>
      <c r="AQ409" s="23">
        <v>0.0970873786407767</v>
      </c>
      <c r="AR409" s="37">
        <v>0.571428571428571</v>
      </c>
      <c r="AS409" s="37">
        <v>34.2857142857143</v>
      </c>
      <c r="AT409" s="37">
        <v>-11.2857142857143</v>
      </c>
      <c r="AU409" s="33">
        <f t="shared" si="9"/>
        <v>40</v>
      </c>
      <c r="AV409" s="38">
        <f>IFERROR(时间!$B$4+AU409,"上周无销量")</f>
        <v>43330</v>
      </c>
    </row>
    <row r="410" spans="1:48">
      <c r="A410" s="21" t="s">
        <v>923</v>
      </c>
      <c r="B410" t="s">
        <v>924</v>
      </c>
      <c r="C410" t="s">
        <v>920</v>
      </c>
      <c r="D410" s="33">
        <v>3</v>
      </c>
      <c r="E410" s="33">
        <v>0</v>
      </c>
      <c r="F410" s="33">
        <v>2</v>
      </c>
      <c r="G410" s="33">
        <v>6</v>
      </c>
      <c r="H410" s="34">
        <v>18.99</v>
      </c>
      <c r="I410">
        <v>7</v>
      </c>
      <c r="J410" s="35">
        <v>0</v>
      </c>
      <c r="K410" s="35">
        <v>0</v>
      </c>
      <c r="L410" s="35">
        <v>0</v>
      </c>
      <c r="M410">
        <v>7</v>
      </c>
      <c r="N410">
        <v>1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11</v>
      </c>
      <c r="AK410">
        <v>5</v>
      </c>
      <c r="AL410">
        <v>5</v>
      </c>
      <c r="AM410">
        <v>58</v>
      </c>
      <c r="AN410" s="23">
        <v>0.272727272727273</v>
      </c>
      <c r="AO410" s="23">
        <v>0</v>
      </c>
      <c r="AP410" s="23">
        <v>0.4</v>
      </c>
      <c r="AQ410" s="23">
        <v>0.103448275862069</v>
      </c>
      <c r="AR410" s="37">
        <v>0.428571428571429</v>
      </c>
      <c r="AS410" s="37">
        <v>25.7142857142857</v>
      </c>
      <c r="AT410" s="37">
        <v>-18.7142857142857</v>
      </c>
      <c r="AU410" s="33">
        <f t="shared" si="9"/>
        <v>16</v>
      </c>
      <c r="AV410" s="38">
        <f>IFERROR(时间!$B$4+AU410,"上周无销量")</f>
        <v>43306</v>
      </c>
    </row>
    <row r="411" spans="1:48">
      <c r="A411" s="21" t="s">
        <v>925</v>
      </c>
      <c r="B411" t="s">
        <v>926</v>
      </c>
      <c r="C411" t="s">
        <v>920</v>
      </c>
      <c r="D411" s="33">
        <v>5</v>
      </c>
      <c r="E411" s="33">
        <v>8</v>
      </c>
      <c r="F411" s="33">
        <v>0</v>
      </c>
      <c r="G411" s="33">
        <v>2</v>
      </c>
      <c r="H411" s="34">
        <v>18.99</v>
      </c>
      <c r="I411">
        <v>5</v>
      </c>
      <c r="J411" s="35">
        <v>0</v>
      </c>
      <c r="K411" s="35">
        <v>0</v>
      </c>
      <c r="L411" s="35">
        <v>0</v>
      </c>
      <c r="M411">
        <v>5</v>
      </c>
      <c r="N411">
        <v>6</v>
      </c>
      <c r="O411">
        <v>0</v>
      </c>
      <c r="P411">
        <v>1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 s="23">
        <v>0</v>
      </c>
      <c r="Y411" s="23" t="s">
        <v>54</v>
      </c>
      <c r="Z411" s="23" t="s">
        <v>54</v>
      </c>
      <c r="AA411" s="23">
        <v>0</v>
      </c>
      <c r="AB411">
        <v>0</v>
      </c>
      <c r="AC411">
        <v>0</v>
      </c>
      <c r="AD411">
        <v>0</v>
      </c>
      <c r="AE411">
        <v>0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6</v>
      </c>
      <c r="AK411">
        <v>4</v>
      </c>
      <c r="AL411">
        <v>4</v>
      </c>
      <c r="AM411">
        <v>1</v>
      </c>
      <c r="AN411" s="23">
        <v>0.833333333333333</v>
      </c>
      <c r="AO411" s="23">
        <v>2</v>
      </c>
      <c r="AP411" s="23">
        <v>0</v>
      </c>
      <c r="AQ411" s="23">
        <v>2</v>
      </c>
      <c r="AR411" s="37">
        <v>0.714285714285714</v>
      </c>
      <c r="AS411" s="37">
        <v>42.8571428571429</v>
      </c>
      <c r="AT411" s="37">
        <v>-37.8571428571429</v>
      </c>
      <c r="AU411" s="33">
        <f t="shared" si="9"/>
        <v>7</v>
      </c>
      <c r="AV411" s="38">
        <f>IFERROR(时间!$B$4+AU411,"上周无销量")</f>
        <v>43297</v>
      </c>
    </row>
    <row r="412" spans="1:48">
      <c r="A412" s="21" t="s">
        <v>927</v>
      </c>
      <c r="B412" t="s">
        <v>928</v>
      </c>
      <c r="C412" t="s">
        <v>929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6</v>
      </c>
      <c r="J412" s="35">
        <v>0</v>
      </c>
      <c r="K412" s="35">
        <v>0</v>
      </c>
      <c r="L412" s="35">
        <v>0</v>
      </c>
      <c r="M412">
        <v>6</v>
      </c>
      <c r="N412">
        <v>0</v>
      </c>
      <c r="O412">
        <v>5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2</v>
      </c>
      <c r="AK412">
        <v>2</v>
      </c>
      <c r="AL412">
        <v>2</v>
      </c>
      <c r="AM412">
        <v>1</v>
      </c>
      <c r="AN412" s="23">
        <v>0</v>
      </c>
      <c r="AO412" s="23">
        <v>0</v>
      </c>
      <c r="AP412" s="23">
        <v>0</v>
      </c>
      <c r="AQ412" s="23">
        <v>0</v>
      </c>
      <c r="AR412" s="37">
        <v>0</v>
      </c>
      <c r="AS412" s="37">
        <v>0</v>
      </c>
      <c r="AT412" s="37">
        <v>6</v>
      </c>
      <c r="AU412" s="33" t="str">
        <f t="shared" si="9"/>
        <v>库存为6</v>
      </c>
      <c r="AV412" s="38" t="str">
        <f>IFERROR(时间!$B$4+AU412,"上周无销量")</f>
        <v>上周无销量</v>
      </c>
    </row>
    <row r="413" spans="1:48">
      <c r="A413" s="21" t="s">
        <v>930</v>
      </c>
      <c r="B413" t="s">
        <v>931</v>
      </c>
      <c r="C413" t="s">
        <v>929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3</v>
      </c>
      <c r="J413" s="35">
        <v>0</v>
      </c>
      <c r="K413" s="35">
        <v>0</v>
      </c>
      <c r="L413" s="35">
        <v>0</v>
      </c>
      <c r="M413">
        <v>3</v>
      </c>
      <c r="N413">
        <v>0</v>
      </c>
      <c r="O413">
        <v>3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2</v>
      </c>
      <c r="AK413">
        <v>1</v>
      </c>
      <c r="AL413">
        <v>1</v>
      </c>
      <c r="AM413">
        <v>2</v>
      </c>
      <c r="AN413" s="23">
        <v>0</v>
      </c>
      <c r="AO413" s="23">
        <v>0</v>
      </c>
      <c r="AP413" s="23">
        <v>0</v>
      </c>
      <c r="AQ413" s="23">
        <v>0</v>
      </c>
      <c r="AR413" s="37">
        <v>0</v>
      </c>
      <c r="AS413" s="37">
        <v>0</v>
      </c>
      <c r="AT413" s="37">
        <v>3</v>
      </c>
      <c r="AU413" s="33" t="str">
        <f t="shared" si="9"/>
        <v>库存为3</v>
      </c>
      <c r="AV413" s="38" t="str">
        <f>IFERROR(时间!$B$4+AU413,"上周无销量")</f>
        <v>上周无销量</v>
      </c>
    </row>
    <row r="414" spans="1:48">
      <c r="A414" s="21" t="s">
        <v>932</v>
      </c>
      <c r="B414" t="s">
        <v>933</v>
      </c>
      <c r="C414" t="s">
        <v>929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6</v>
      </c>
      <c r="J414" s="35">
        <v>0</v>
      </c>
      <c r="K414" s="35">
        <v>0</v>
      </c>
      <c r="L414" s="35">
        <v>0</v>
      </c>
      <c r="M414">
        <v>6</v>
      </c>
      <c r="N414">
        <v>0</v>
      </c>
      <c r="O414">
        <v>5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4</v>
      </c>
      <c r="AK414">
        <v>2</v>
      </c>
      <c r="AL414">
        <v>2</v>
      </c>
      <c r="AM414">
        <v>1</v>
      </c>
      <c r="AN414" s="23">
        <v>0</v>
      </c>
      <c r="AO414" s="23">
        <v>0</v>
      </c>
      <c r="AP414" s="23">
        <v>0</v>
      </c>
      <c r="AQ414" s="23">
        <v>0</v>
      </c>
      <c r="AR414" s="37">
        <v>0</v>
      </c>
      <c r="AS414" s="37">
        <v>0</v>
      </c>
      <c r="AT414" s="37">
        <v>6</v>
      </c>
      <c r="AU414" s="33" t="str">
        <f t="shared" si="9"/>
        <v>库存为6</v>
      </c>
      <c r="AV414" s="38" t="str">
        <f>IFERROR(时间!$B$4+AU414,"上周无销量")</f>
        <v>上周无销量</v>
      </c>
    </row>
    <row r="415" spans="1:48">
      <c r="A415" s="21" t="s">
        <v>934</v>
      </c>
      <c r="B415" t="s">
        <v>935</v>
      </c>
      <c r="C415" t="s">
        <v>929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4</v>
      </c>
      <c r="J415" s="35">
        <v>0</v>
      </c>
      <c r="K415" s="35">
        <v>0</v>
      </c>
      <c r="L415" s="35">
        <v>0</v>
      </c>
      <c r="M415">
        <v>4</v>
      </c>
      <c r="N415">
        <v>0</v>
      </c>
      <c r="O415">
        <v>4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4</v>
      </c>
      <c r="AK415">
        <v>2</v>
      </c>
      <c r="AL415">
        <v>2</v>
      </c>
      <c r="AM415">
        <v>2</v>
      </c>
      <c r="AN415" s="23">
        <v>0</v>
      </c>
      <c r="AO415" s="23">
        <v>0</v>
      </c>
      <c r="AP415" s="23">
        <v>0</v>
      </c>
      <c r="AQ415" s="23">
        <v>0</v>
      </c>
      <c r="AR415" s="37">
        <v>0</v>
      </c>
      <c r="AS415" s="37">
        <v>0</v>
      </c>
      <c r="AT415" s="37">
        <v>4</v>
      </c>
      <c r="AU415" s="33" t="str">
        <f t="shared" si="9"/>
        <v>库存为4</v>
      </c>
      <c r="AV415" s="38" t="str">
        <f>IFERROR(时间!$B$4+AU415,"上周无销量")</f>
        <v>上周无销量</v>
      </c>
    </row>
    <row r="416" spans="1:48">
      <c r="A416" s="21" t="s">
        <v>936</v>
      </c>
      <c r="B416" t="s">
        <v>937</v>
      </c>
      <c r="C416" t="s">
        <v>938</v>
      </c>
      <c r="D416" s="33">
        <v>0</v>
      </c>
      <c r="E416" s="33">
        <v>1</v>
      </c>
      <c r="F416" s="33">
        <v>0</v>
      </c>
      <c r="G416" s="33">
        <v>0</v>
      </c>
      <c r="H416" s="34">
        <v>16.99</v>
      </c>
      <c r="I416">
        <v>0</v>
      </c>
      <c r="J416" s="35">
        <v>0</v>
      </c>
      <c r="K416" s="35">
        <v>0</v>
      </c>
      <c r="L416" s="35">
        <v>0</v>
      </c>
      <c r="M416">
        <v>0</v>
      </c>
      <c r="N416">
        <v>0</v>
      </c>
      <c r="O416">
        <v>0</v>
      </c>
      <c r="P416">
        <v>0</v>
      </c>
      <c r="Q416">
        <v>4516</v>
      </c>
      <c r="R416">
        <v>0</v>
      </c>
      <c r="S416">
        <v>5994</v>
      </c>
      <c r="T416">
        <v>0</v>
      </c>
      <c r="U416">
        <v>14</v>
      </c>
      <c r="V416">
        <v>0</v>
      </c>
      <c r="W416">
        <v>24</v>
      </c>
      <c r="X416" s="23" t="s">
        <v>54</v>
      </c>
      <c r="Y416" s="23">
        <v>0.00310008857395926</v>
      </c>
      <c r="Z416" s="23" t="s">
        <v>54</v>
      </c>
      <c r="AA416" s="23">
        <v>0.004004004004004</v>
      </c>
      <c r="AB416">
        <v>0</v>
      </c>
      <c r="AC416">
        <v>3.61</v>
      </c>
      <c r="AD416">
        <v>0</v>
      </c>
      <c r="AE416">
        <v>6.46</v>
      </c>
      <c r="AF416" s="23" t="s">
        <v>54</v>
      </c>
      <c r="AG416" s="23">
        <v>0.212477928193055</v>
      </c>
      <c r="AH416" s="23" t="s">
        <v>54</v>
      </c>
      <c r="AI416" s="23">
        <v>0</v>
      </c>
      <c r="AJ416">
        <v>1</v>
      </c>
      <c r="AK416">
        <v>11</v>
      </c>
      <c r="AL416">
        <v>11</v>
      </c>
      <c r="AM416">
        <v>5</v>
      </c>
      <c r="AN416" s="23">
        <v>0</v>
      </c>
      <c r="AO416" s="23">
        <v>0.0909090909090909</v>
      </c>
      <c r="AP416" s="23">
        <v>0</v>
      </c>
      <c r="AQ416" s="23">
        <v>0</v>
      </c>
      <c r="AR416" s="37">
        <v>0</v>
      </c>
      <c r="AS416" s="37">
        <v>0</v>
      </c>
      <c r="AT416" s="37">
        <v>0</v>
      </c>
      <c r="AU416" s="33" t="str">
        <f t="shared" si="9"/>
        <v>库存为0</v>
      </c>
      <c r="AV416" s="38" t="str">
        <f>IFERROR(时间!$B$4+AU416,"上周无销量")</f>
        <v>上周无销量</v>
      </c>
    </row>
    <row r="417" spans="1:48">
      <c r="A417" s="21" t="s">
        <v>939</v>
      </c>
      <c r="B417" t="s">
        <v>940</v>
      </c>
      <c r="C417" t="s">
        <v>938</v>
      </c>
      <c r="D417" s="33">
        <v>0</v>
      </c>
      <c r="E417" s="33">
        <v>0</v>
      </c>
      <c r="F417" s="33">
        <v>0</v>
      </c>
      <c r="G417" s="33">
        <v>0</v>
      </c>
      <c r="H417" s="34">
        <v>0</v>
      </c>
      <c r="I417">
        <v>0</v>
      </c>
      <c r="J417" s="35">
        <v>0</v>
      </c>
      <c r="K417" s="35">
        <v>0</v>
      </c>
      <c r="L417" s="35">
        <v>0</v>
      </c>
      <c r="M417">
        <v>0</v>
      </c>
      <c r="N417">
        <v>1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1</v>
      </c>
      <c r="AK417">
        <v>9</v>
      </c>
      <c r="AL417">
        <v>9</v>
      </c>
      <c r="AM417">
        <v>10</v>
      </c>
      <c r="AN417" s="23">
        <v>0</v>
      </c>
      <c r="AO417" s="23">
        <v>0</v>
      </c>
      <c r="AP417" s="23">
        <v>0</v>
      </c>
      <c r="AQ417" s="23">
        <v>0</v>
      </c>
      <c r="AR417" s="37">
        <v>0</v>
      </c>
      <c r="AS417" s="37">
        <v>0</v>
      </c>
      <c r="AT417" s="37">
        <v>0</v>
      </c>
      <c r="AU417" s="33" t="str">
        <f t="shared" si="9"/>
        <v>库存为0</v>
      </c>
      <c r="AV417" s="38" t="str">
        <f>IFERROR(时间!$B$4+AU417,"上周无销量")</f>
        <v>上周无销量</v>
      </c>
    </row>
    <row r="418" spans="1:48">
      <c r="A418" s="21" t="s">
        <v>941</v>
      </c>
      <c r="B418" t="s">
        <v>942</v>
      </c>
      <c r="C418" t="s">
        <v>938</v>
      </c>
      <c r="D418" s="33">
        <v>0</v>
      </c>
      <c r="E418" s="33">
        <v>0</v>
      </c>
      <c r="F418" s="33">
        <v>1</v>
      </c>
      <c r="G418" s="33">
        <v>1</v>
      </c>
      <c r="H418" s="34">
        <v>16.99</v>
      </c>
      <c r="I418">
        <v>0</v>
      </c>
      <c r="J418" s="35">
        <v>0</v>
      </c>
      <c r="K418" s="35">
        <v>0</v>
      </c>
      <c r="L418" s="35">
        <v>1</v>
      </c>
      <c r="M418">
        <v>1</v>
      </c>
      <c r="N418">
        <v>1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4</v>
      </c>
      <c r="AN418" s="23" t="s">
        <v>54</v>
      </c>
      <c r="AO418" s="23" t="s">
        <v>54</v>
      </c>
      <c r="AP418" s="23" t="s">
        <v>54</v>
      </c>
      <c r="AQ418" s="23">
        <v>0.25</v>
      </c>
      <c r="AR418" s="37">
        <v>0</v>
      </c>
      <c r="AS418" s="37">
        <v>0</v>
      </c>
      <c r="AT418" s="37">
        <v>1</v>
      </c>
      <c r="AU418" s="33" t="str">
        <f t="shared" si="9"/>
        <v>库存为1</v>
      </c>
      <c r="AV418" s="38" t="str">
        <f>IFERROR(时间!$B$4+AU418,"上周无销量")</f>
        <v>上周无销量</v>
      </c>
    </row>
    <row r="419" spans="1:48">
      <c r="A419" s="21" t="s">
        <v>943</v>
      </c>
      <c r="B419" t="s">
        <v>944</v>
      </c>
      <c r="C419" t="s">
        <v>938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0</v>
      </c>
      <c r="J419" s="35">
        <v>0</v>
      </c>
      <c r="K419" s="35">
        <v>0</v>
      </c>
      <c r="L419" s="35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1</v>
      </c>
      <c r="AK419">
        <v>1</v>
      </c>
      <c r="AL419">
        <v>1</v>
      </c>
      <c r="AM419">
        <v>4</v>
      </c>
      <c r="AN419" s="23">
        <v>0</v>
      </c>
      <c r="AO419" s="23">
        <v>0</v>
      </c>
      <c r="AP419" s="23">
        <v>0</v>
      </c>
      <c r="AQ419" s="23">
        <v>0</v>
      </c>
      <c r="AR419" s="37">
        <v>0</v>
      </c>
      <c r="AS419" s="37">
        <v>0</v>
      </c>
      <c r="AT419" s="37">
        <v>0</v>
      </c>
      <c r="AU419" s="33" t="str">
        <f t="shared" si="9"/>
        <v>库存为0</v>
      </c>
      <c r="AV419" s="38" t="str">
        <f>IFERROR(时间!$B$4+AU419,"上周无销量")</f>
        <v>上周无销量</v>
      </c>
    </row>
    <row r="420" spans="1:48">
      <c r="A420" s="21" t="s">
        <v>945</v>
      </c>
      <c r="B420" t="s">
        <v>946</v>
      </c>
      <c r="C420" t="s">
        <v>938</v>
      </c>
      <c r="D420" s="33">
        <v>0</v>
      </c>
      <c r="E420" s="33">
        <v>0</v>
      </c>
      <c r="F420" s="33">
        <v>1</v>
      </c>
      <c r="G420" s="33">
        <v>0</v>
      </c>
      <c r="H420" s="34">
        <v>16.99</v>
      </c>
      <c r="I420">
        <v>0</v>
      </c>
      <c r="J420" s="35">
        <v>0</v>
      </c>
      <c r="K420" s="35">
        <v>0</v>
      </c>
      <c r="L420" s="35">
        <v>0</v>
      </c>
      <c r="M420">
        <v>0</v>
      </c>
      <c r="N420">
        <v>1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7</v>
      </c>
      <c r="AL420">
        <v>7</v>
      </c>
      <c r="AM420">
        <v>8</v>
      </c>
      <c r="AN420" s="23" t="s">
        <v>54</v>
      </c>
      <c r="AO420" s="23">
        <v>0</v>
      </c>
      <c r="AP420" s="23">
        <v>0.142857142857143</v>
      </c>
      <c r="AQ420" s="23">
        <v>0</v>
      </c>
      <c r="AR420" s="37">
        <v>0</v>
      </c>
      <c r="AS420" s="37">
        <v>0</v>
      </c>
      <c r="AT420" s="37">
        <v>0</v>
      </c>
      <c r="AU420" s="33" t="str">
        <f t="shared" si="9"/>
        <v>库存为0</v>
      </c>
      <c r="AV420" s="38" t="str">
        <f>IFERROR(时间!$B$4+AU420,"上周无销量")</f>
        <v>上周无销量</v>
      </c>
    </row>
    <row r="421" spans="1:48">
      <c r="A421" s="21" t="s">
        <v>947</v>
      </c>
      <c r="B421" t="s">
        <v>948</v>
      </c>
      <c r="C421" t="s">
        <v>938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0</v>
      </c>
      <c r="J421" s="35">
        <v>0</v>
      </c>
      <c r="K421" s="35">
        <v>0</v>
      </c>
      <c r="L421" s="35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7">
        <v>0</v>
      </c>
      <c r="AS421" s="37">
        <v>0</v>
      </c>
      <c r="AT421" s="37">
        <v>0</v>
      </c>
      <c r="AU421" s="33" t="str">
        <f t="shared" si="9"/>
        <v>库存为0</v>
      </c>
      <c r="AV421" s="38" t="str">
        <f>IFERROR(时间!$B$4+AU421,"上周无销量")</f>
        <v>上周无销量</v>
      </c>
    </row>
    <row r="422" spans="1:48">
      <c r="A422" s="21" t="s">
        <v>949</v>
      </c>
      <c r="B422" t="s">
        <v>950</v>
      </c>
      <c r="C422" t="s">
        <v>951</v>
      </c>
      <c r="D422" s="33">
        <v>0</v>
      </c>
      <c r="E422" s="33">
        <v>1</v>
      </c>
      <c r="F422" s="33">
        <v>0</v>
      </c>
      <c r="G422" s="33">
        <v>0</v>
      </c>
      <c r="H422" s="34">
        <v>16.99</v>
      </c>
      <c r="I422">
        <v>0</v>
      </c>
      <c r="J422" s="35">
        <v>0</v>
      </c>
      <c r="K422" s="35">
        <v>0</v>
      </c>
      <c r="L422" s="35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1</v>
      </c>
      <c r="AK422">
        <v>4</v>
      </c>
      <c r="AL422">
        <v>4</v>
      </c>
      <c r="AM422">
        <v>1</v>
      </c>
      <c r="AN422" s="23">
        <v>0</v>
      </c>
      <c r="AO422" s="23">
        <v>0.25</v>
      </c>
      <c r="AP422" s="23">
        <v>0</v>
      </c>
      <c r="AQ422" s="23">
        <v>0</v>
      </c>
      <c r="AR422" s="37">
        <v>0</v>
      </c>
      <c r="AS422" s="37">
        <v>0</v>
      </c>
      <c r="AT422" s="37">
        <v>0</v>
      </c>
      <c r="AU422" s="33" t="str">
        <f t="shared" si="9"/>
        <v>库存为0</v>
      </c>
      <c r="AV422" s="38" t="str">
        <f>IFERROR(时间!$B$4+AU422,"上周无销量")</f>
        <v>上周无销量</v>
      </c>
    </row>
    <row r="423" spans="1:48">
      <c r="A423" s="21" t="s">
        <v>952</v>
      </c>
      <c r="B423" t="s">
        <v>953</v>
      </c>
      <c r="C423" t="s">
        <v>951</v>
      </c>
      <c r="D423" s="33">
        <v>0</v>
      </c>
      <c r="E423" s="33">
        <v>0</v>
      </c>
      <c r="F423" s="33">
        <v>1</v>
      </c>
      <c r="G423" s="33">
        <v>2</v>
      </c>
      <c r="H423" s="34">
        <v>16.99</v>
      </c>
      <c r="I423">
        <v>1</v>
      </c>
      <c r="J423" s="35">
        <v>0</v>
      </c>
      <c r="K423" s="35">
        <v>0</v>
      </c>
      <c r="L423" s="35">
        <v>0</v>
      </c>
      <c r="M423">
        <v>1</v>
      </c>
      <c r="N423">
        <v>1</v>
      </c>
      <c r="O423">
        <v>0</v>
      </c>
      <c r="P423">
        <v>1</v>
      </c>
      <c r="Q423">
        <v>216</v>
      </c>
      <c r="R423">
        <v>3003</v>
      </c>
      <c r="S423">
        <v>1850</v>
      </c>
      <c r="T423">
        <v>0</v>
      </c>
      <c r="U423">
        <v>5</v>
      </c>
      <c r="V423">
        <v>15</v>
      </c>
      <c r="W423">
        <v>4</v>
      </c>
      <c r="X423" s="23">
        <v>0</v>
      </c>
      <c r="Y423" s="23">
        <v>0.0231481481481481</v>
      </c>
      <c r="Z423" s="23">
        <v>0.00499500499500499</v>
      </c>
      <c r="AA423" s="23">
        <v>0.00216216216216216</v>
      </c>
      <c r="AB423">
        <v>0</v>
      </c>
      <c r="AC423">
        <v>1.19</v>
      </c>
      <c r="AD423">
        <v>3.28</v>
      </c>
      <c r="AE423">
        <v>0.79</v>
      </c>
      <c r="AF423" s="23" t="s">
        <v>54</v>
      </c>
      <c r="AG423" s="23">
        <v>0</v>
      </c>
      <c r="AH423" s="23">
        <v>0.193054738081224</v>
      </c>
      <c r="AI423" s="23">
        <v>0.0232489699823426</v>
      </c>
      <c r="AJ423">
        <v>1</v>
      </c>
      <c r="AK423">
        <v>1</v>
      </c>
      <c r="AL423">
        <v>1</v>
      </c>
      <c r="AM423">
        <v>4</v>
      </c>
      <c r="AN423" s="23">
        <v>0</v>
      </c>
      <c r="AO423" s="23">
        <v>0</v>
      </c>
      <c r="AP423" s="23">
        <v>1</v>
      </c>
      <c r="AQ423" s="23">
        <v>0.5</v>
      </c>
      <c r="AR423" s="37">
        <v>0</v>
      </c>
      <c r="AS423" s="37">
        <v>0</v>
      </c>
      <c r="AT423" s="37">
        <v>1</v>
      </c>
      <c r="AU423" s="33" t="str">
        <f t="shared" si="9"/>
        <v>库存为1</v>
      </c>
      <c r="AV423" s="38" t="str">
        <f>IFERROR(时间!$B$4+AU423,"上周无销量")</f>
        <v>上周无销量</v>
      </c>
    </row>
    <row r="424" spans="1:48">
      <c r="A424" s="21" t="s">
        <v>954</v>
      </c>
      <c r="B424" t="s">
        <v>955</v>
      </c>
      <c r="C424" t="s">
        <v>951</v>
      </c>
      <c r="D424" s="33">
        <v>1</v>
      </c>
      <c r="E424" s="33">
        <v>1</v>
      </c>
      <c r="F424" s="33">
        <v>1</v>
      </c>
      <c r="G424" s="33">
        <v>2</v>
      </c>
      <c r="H424" s="34">
        <v>16.99</v>
      </c>
      <c r="I424">
        <v>8</v>
      </c>
      <c r="J424" s="35">
        <v>0</v>
      </c>
      <c r="K424" s="35">
        <v>0</v>
      </c>
      <c r="L424" s="35">
        <v>0</v>
      </c>
      <c r="M424">
        <v>8</v>
      </c>
      <c r="N424">
        <v>1</v>
      </c>
      <c r="O424">
        <v>6</v>
      </c>
      <c r="P424">
        <v>0</v>
      </c>
      <c r="Q424">
        <v>387</v>
      </c>
      <c r="R424">
        <v>2510</v>
      </c>
      <c r="S424">
        <v>1587</v>
      </c>
      <c r="T424">
        <v>0</v>
      </c>
      <c r="U424">
        <v>8</v>
      </c>
      <c r="V424">
        <v>36</v>
      </c>
      <c r="W424">
        <v>30</v>
      </c>
      <c r="X424" s="23" t="s">
        <v>54</v>
      </c>
      <c r="Y424" s="23">
        <v>0.020671834625323</v>
      </c>
      <c r="Z424" s="23">
        <v>0.0143426294820717</v>
      </c>
      <c r="AA424" s="23">
        <v>0.0189035916824197</v>
      </c>
      <c r="AB424">
        <v>0</v>
      </c>
      <c r="AC424">
        <v>1.77</v>
      </c>
      <c r="AD424">
        <v>8.71</v>
      </c>
      <c r="AE424">
        <v>7.2</v>
      </c>
      <c r="AF424" s="23" t="s">
        <v>54</v>
      </c>
      <c r="AG424" s="23">
        <v>0.104178928781636</v>
      </c>
      <c r="AH424" s="23">
        <v>0.512654502648617</v>
      </c>
      <c r="AI424" s="23">
        <v>0.211889346674514</v>
      </c>
      <c r="AJ424">
        <v>1</v>
      </c>
      <c r="AK424">
        <v>8</v>
      </c>
      <c r="AL424">
        <v>8</v>
      </c>
      <c r="AM424">
        <v>6</v>
      </c>
      <c r="AN424" s="23">
        <v>1</v>
      </c>
      <c r="AO424" s="23">
        <v>0.125</v>
      </c>
      <c r="AP424" s="23">
        <v>0.125</v>
      </c>
      <c r="AQ424" s="23">
        <v>0.333333333333333</v>
      </c>
      <c r="AR424" s="37">
        <v>0.142857142857143</v>
      </c>
      <c r="AS424" s="37">
        <v>8.57142857142857</v>
      </c>
      <c r="AT424" s="37">
        <v>-0.571428571428571</v>
      </c>
      <c r="AU424" s="33">
        <f t="shared" si="9"/>
        <v>56</v>
      </c>
      <c r="AV424" s="38">
        <f>IFERROR(时间!$B$4+AU424,"上周无销量")</f>
        <v>43346</v>
      </c>
    </row>
    <row r="425" spans="1:48">
      <c r="A425" s="21" t="s">
        <v>956</v>
      </c>
      <c r="B425" t="s">
        <v>957</v>
      </c>
      <c r="C425" t="s">
        <v>951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11</v>
      </c>
      <c r="J425" s="35">
        <v>0</v>
      </c>
      <c r="K425" s="35">
        <v>0</v>
      </c>
      <c r="L425" s="35">
        <v>0</v>
      </c>
      <c r="M425">
        <v>11</v>
      </c>
      <c r="N425">
        <v>0</v>
      </c>
      <c r="O425">
        <v>8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3</v>
      </c>
      <c r="AK425">
        <v>5</v>
      </c>
      <c r="AL425">
        <v>5</v>
      </c>
      <c r="AM425">
        <v>2</v>
      </c>
      <c r="AN425" s="23">
        <v>0</v>
      </c>
      <c r="AO425" s="23">
        <v>0</v>
      </c>
      <c r="AP425" s="23">
        <v>0</v>
      </c>
      <c r="AQ425" s="23">
        <v>0</v>
      </c>
      <c r="AR425" s="37">
        <v>0</v>
      </c>
      <c r="AS425" s="37">
        <v>0</v>
      </c>
      <c r="AT425" s="37">
        <v>11</v>
      </c>
      <c r="AU425" s="33" t="str">
        <f t="shared" si="9"/>
        <v>库存为11</v>
      </c>
      <c r="AV425" s="38" t="str">
        <f>IFERROR(时间!$B$4+AU425,"上周无销量")</f>
        <v>上周无销量</v>
      </c>
    </row>
    <row r="426" spans="1:48">
      <c r="A426" s="21" t="s">
        <v>958</v>
      </c>
      <c r="B426" t="s">
        <v>959</v>
      </c>
      <c r="C426" t="s">
        <v>951</v>
      </c>
      <c r="D426" s="33">
        <v>1</v>
      </c>
      <c r="E426" s="33">
        <v>0</v>
      </c>
      <c r="F426" s="33">
        <v>2</v>
      </c>
      <c r="G426" s="33">
        <v>1</v>
      </c>
      <c r="H426" s="34">
        <v>16.99</v>
      </c>
      <c r="I426">
        <v>1</v>
      </c>
      <c r="J426" s="35">
        <v>0</v>
      </c>
      <c r="K426" s="35">
        <v>0</v>
      </c>
      <c r="L426" s="35">
        <v>0</v>
      </c>
      <c r="M426">
        <v>1</v>
      </c>
      <c r="N426">
        <v>3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4</v>
      </c>
      <c r="AK426">
        <v>2</v>
      </c>
      <c r="AL426">
        <v>2</v>
      </c>
      <c r="AM426">
        <v>0</v>
      </c>
      <c r="AN426" s="23">
        <v>0.25</v>
      </c>
      <c r="AO426" s="23">
        <v>0</v>
      </c>
      <c r="AP426" s="23">
        <v>1</v>
      </c>
      <c r="AQ426" s="23" t="s">
        <v>54</v>
      </c>
      <c r="AR426" s="37">
        <v>0.142857142857143</v>
      </c>
      <c r="AS426" s="37">
        <v>8.57142857142857</v>
      </c>
      <c r="AT426" s="37">
        <v>-7.57142857142857</v>
      </c>
      <c r="AU426" s="33">
        <f t="shared" si="9"/>
        <v>7</v>
      </c>
      <c r="AV426" s="38">
        <f>IFERROR(时间!$B$4+AU426,"上周无销量")</f>
        <v>43297</v>
      </c>
    </row>
    <row r="427" spans="1:48">
      <c r="A427" s="21" t="s">
        <v>960</v>
      </c>
      <c r="B427" t="s">
        <v>961</v>
      </c>
      <c r="C427" t="s">
        <v>962</v>
      </c>
      <c r="D427" s="33">
        <v>0</v>
      </c>
      <c r="E427" s="33">
        <v>1</v>
      </c>
      <c r="F427" s="33">
        <v>0</v>
      </c>
      <c r="G427" s="33">
        <v>0</v>
      </c>
      <c r="H427" s="34">
        <v>16.99</v>
      </c>
      <c r="I427">
        <v>1</v>
      </c>
      <c r="J427" s="35">
        <v>0</v>
      </c>
      <c r="K427" s="35">
        <v>0</v>
      </c>
      <c r="L427" s="35">
        <v>0</v>
      </c>
      <c r="M427">
        <v>1</v>
      </c>
      <c r="N427">
        <v>0</v>
      </c>
      <c r="O427">
        <v>0</v>
      </c>
      <c r="P427">
        <v>6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 s="23">
        <v>0</v>
      </c>
      <c r="Y427" s="23">
        <v>0</v>
      </c>
      <c r="Z427" s="23" t="s">
        <v>54</v>
      </c>
      <c r="AA427" s="23" t="s">
        <v>54</v>
      </c>
      <c r="AB427">
        <v>0</v>
      </c>
      <c r="AC427">
        <v>0</v>
      </c>
      <c r="AD427">
        <v>0</v>
      </c>
      <c r="AE427">
        <v>0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4</v>
      </c>
      <c r="AK427">
        <v>2</v>
      </c>
      <c r="AL427">
        <v>2</v>
      </c>
      <c r="AM427">
        <v>1</v>
      </c>
      <c r="AN427" s="23">
        <v>0</v>
      </c>
      <c r="AO427" s="23">
        <v>0.5</v>
      </c>
      <c r="AP427" s="23">
        <v>0</v>
      </c>
      <c r="AQ427" s="23">
        <v>0</v>
      </c>
      <c r="AR427" s="37">
        <v>0</v>
      </c>
      <c r="AS427" s="37">
        <v>0</v>
      </c>
      <c r="AT427" s="37">
        <v>1</v>
      </c>
      <c r="AU427" s="33" t="str">
        <f t="shared" si="9"/>
        <v>库存为1</v>
      </c>
      <c r="AV427" s="38" t="str">
        <f>IFERROR(时间!$B$4+AU427,"上周无销量")</f>
        <v>上周无销量</v>
      </c>
    </row>
    <row r="428" spans="1:48">
      <c r="A428" s="21" t="s">
        <v>963</v>
      </c>
      <c r="B428" t="s">
        <v>964</v>
      </c>
      <c r="C428" t="s">
        <v>962</v>
      </c>
      <c r="D428" s="33">
        <v>0</v>
      </c>
      <c r="E428" s="33">
        <v>0</v>
      </c>
      <c r="F428" s="33">
        <v>0</v>
      </c>
      <c r="G428" s="33">
        <v>0</v>
      </c>
      <c r="H428" s="34">
        <v>0</v>
      </c>
      <c r="I428">
        <v>1</v>
      </c>
      <c r="J428" s="35">
        <v>0</v>
      </c>
      <c r="K428" s="35">
        <v>0</v>
      </c>
      <c r="L428" s="35">
        <v>0</v>
      </c>
      <c r="M428">
        <v>1</v>
      </c>
      <c r="N428">
        <v>0</v>
      </c>
      <c r="O428">
        <v>1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9</v>
      </c>
      <c r="AK428">
        <v>21</v>
      </c>
      <c r="AL428">
        <v>21</v>
      </c>
      <c r="AM428">
        <v>24</v>
      </c>
      <c r="AN428" s="23">
        <v>0</v>
      </c>
      <c r="AO428" s="23">
        <v>0</v>
      </c>
      <c r="AP428" s="23">
        <v>0</v>
      </c>
      <c r="AQ428" s="23">
        <v>0</v>
      </c>
      <c r="AR428" s="37">
        <v>0</v>
      </c>
      <c r="AS428" s="37">
        <v>0</v>
      </c>
      <c r="AT428" s="37">
        <v>1</v>
      </c>
      <c r="AU428" s="33" t="str">
        <f t="shared" si="9"/>
        <v>库存为1</v>
      </c>
      <c r="AV428" s="38" t="str">
        <f>IFERROR(时间!$B$4+AU428,"上周无销量")</f>
        <v>上周无销量</v>
      </c>
    </row>
    <row r="429" spans="1:48">
      <c r="A429" s="21" t="s">
        <v>965</v>
      </c>
      <c r="B429" t="s">
        <v>966</v>
      </c>
      <c r="C429" t="s">
        <v>962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4</v>
      </c>
      <c r="J429" s="35">
        <v>0</v>
      </c>
      <c r="K429" s="35">
        <v>0</v>
      </c>
      <c r="L429" s="35">
        <v>0</v>
      </c>
      <c r="M429">
        <v>4</v>
      </c>
      <c r="N429">
        <v>0</v>
      </c>
      <c r="O429">
        <v>3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6</v>
      </c>
      <c r="AK429">
        <v>11</v>
      </c>
      <c r="AL429">
        <v>11</v>
      </c>
      <c r="AM429">
        <v>5</v>
      </c>
      <c r="AN429" s="23">
        <v>0</v>
      </c>
      <c r="AO429" s="23">
        <v>0</v>
      </c>
      <c r="AP429" s="23">
        <v>0</v>
      </c>
      <c r="AQ429" s="23">
        <v>0</v>
      </c>
      <c r="AR429" s="37">
        <v>0</v>
      </c>
      <c r="AS429" s="37">
        <v>0</v>
      </c>
      <c r="AT429" s="37">
        <v>4</v>
      </c>
      <c r="AU429" s="33" t="str">
        <f t="shared" si="9"/>
        <v>库存为4</v>
      </c>
      <c r="AV429" s="38" t="str">
        <f>IFERROR(时间!$B$4+AU429,"上周无销量")</f>
        <v>上周无销量</v>
      </c>
    </row>
    <row r="430" spans="1:48">
      <c r="A430" s="21" t="s">
        <v>967</v>
      </c>
      <c r="B430" t="s">
        <v>968</v>
      </c>
      <c r="C430" t="s">
        <v>962</v>
      </c>
      <c r="D430" s="33">
        <v>0</v>
      </c>
      <c r="E430" s="33">
        <v>0</v>
      </c>
      <c r="F430" s="33">
        <v>0</v>
      </c>
      <c r="G430" s="33">
        <v>0</v>
      </c>
      <c r="H430" s="34">
        <v>0</v>
      </c>
      <c r="I430">
        <v>0</v>
      </c>
      <c r="J430" s="35">
        <v>0</v>
      </c>
      <c r="K430" s="35">
        <v>0</v>
      </c>
      <c r="L430" s="35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7">
        <v>0</v>
      </c>
      <c r="AS430" s="37">
        <v>0</v>
      </c>
      <c r="AT430" s="37">
        <v>0</v>
      </c>
      <c r="AU430" s="33" t="str">
        <f t="shared" si="9"/>
        <v>库存为0</v>
      </c>
      <c r="AV430" s="38" t="str">
        <f>IFERROR(时间!$B$4+AU430,"上周无销量")</f>
        <v>上周无销量</v>
      </c>
    </row>
    <row r="431" spans="1:48">
      <c r="A431" s="21" t="s">
        <v>969</v>
      </c>
      <c r="B431" t="s">
        <v>970</v>
      </c>
      <c r="C431" t="s">
        <v>962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5</v>
      </c>
      <c r="J431" s="35">
        <v>0</v>
      </c>
      <c r="K431" s="35">
        <v>0</v>
      </c>
      <c r="L431" s="35">
        <v>0</v>
      </c>
      <c r="M431">
        <v>5</v>
      </c>
      <c r="N431">
        <v>0</v>
      </c>
      <c r="O431">
        <v>5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3</v>
      </c>
      <c r="AK431">
        <v>11</v>
      </c>
      <c r="AL431">
        <v>11</v>
      </c>
      <c r="AM431">
        <v>2</v>
      </c>
      <c r="AN431" s="23">
        <v>0</v>
      </c>
      <c r="AO431" s="23">
        <v>0</v>
      </c>
      <c r="AP431" s="23">
        <v>0</v>
      </c>
      <c r="AQ431" s="23">
        <v>0</v>
      </c>
      <c r="AR431" s="37">
        <v>0</v>
      </c>
      <c r="AS431" s="37">
        <v>0</v>
      </c>
      <c r="AT431" s="37">
        <v>5</v>
      </c>
      <c r="AU431" s="33" t="str">
        <f t="shared" si="9"/>
        <v>库存为5</v>
      </c>
      <c r="AV431" s="38" t="str">
        <f>IFERROR(时间!$B$4+AU431,"上周无销量")</f>
        <v>上周无销量</v>
      </c>
    </row>
    <row r="432" spans="1:48">
      <c r="A432" s="21" t="s">
        <v>971</v>
      </c>
      <c r="B432" t="s">
        <v>972</v>
      </c>
      <c r="C432" t="s">
        <v>962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1</v>
      </c>
      <c r="J432" s="35">
        <v>0</v>
      </c>
      <c r="K432" s="35">
        <v>0</v>
      </c>
      <c r="L432" s="35">
        <v>0</v>
      </c>
      <c r="M432">
        <v>1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3</v>
      </c>
      <c r="AK432">
        <v>5</v>
      </c>
      <c r="AL432">
        <v>5</v>
      </c>
      <c r="AM432">
        <v>5</v>
      </c>
      <c r="AN432" s="23">
        <v>0</v>
      </c>
      <c r="AO432" s="23">
        <v>0</v>
      </c>
      <c r="AP432" s="23">
        <v>0</v>
      </c>
      <c r="AQ432" s="23">
        <v>0</v>
      </c>
      <c r="AR432" s="37">
        <v>0</v>
      </c>
      <c r="AS432" s="37">
        <v>0</v>
      </c>
      <c r="AT432" s="37">
        <v>1</v>
      </c>
      <c r="AU432" s="33" t="str">
        <f t="shared" si="9"/>
        <v>库存为1</v>
      </c>
      <c r="AV432" s="38" t="str">
        <f>IFERROR(时间!$B$4+AU432,"上周无销量")</f>
        <v>上周无销量</v>
      </c>
    </row>
    <row r="433" spans="1:48">
      <c r="A433" s="21" t="s">
        <v>973</v>
      </c>
      <c r="B433" t="s">
        <v>974</v>
      </c>
      <c r="C433" t="s">
        <v>962</v>
      </c>
      <c r="D433" s="33">
        <v>0</v>
      </c>
      <c r="E433" s="33">
        <v>1</v>
      </c>
      <c r="F433" s="33">
        <v>0</v>
      </c>
      <c r="G433" s="33">
        <v>0</v>
      </c>
      <c r="H433" s="34">
        <v>16.99</v>
      </c>
      <c r="I433">
        <v>8</v>
      </c>
      <c r="J433" s="35">
        <v>0</v>
      </c>
      <c r="K433" s="35">
        <v>0</v>
      </c>
      <c r="L433" s="35">
        <v>1</v>
      </c>
      <c r="M433">
        <v>9</v>
      </c>
      <c r="N433">
        <v>0</v>
      </c>
      <c r="O433">
        <v>6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4</v>
      </c>
      <c r="AK433">
        <v>13</v>
      </c>
      <c r="AL433">
        <v>13</v>
      </c>
      <c r="AM433">
        <v>28</v>
      </c>
      <c r="AN433" s="23">
        <v>0</v>
      </c>
      <c r="AO433" s="23">
        <v>0.0769230769230769</v>
      </c>
      <c r="AP433" s="23">
        <v>0</v>
      </c>
      <c r="AQ433" s="23">
        <v>0</v>
      </c>
      <c r="AR433" s="37">
        <v>0</v>
      </c>
      <c r="AS433" s="37">
        <v>0</v>
      </c>
      <c r="AT433" s="37">
        <v>9</v>
      </c>
      <c r="AU433" s="33" t="str">
        <f t="shared" si="9"/>
        <v>库存为9</v>
      </c>
      <c r="AV433" s="38" t="str">
        <f>IFERROR(时间!$B$4+AU433,"上周无销量")</f>
        <v>上周无销量</v>
      </c>
    </row>
    <row r="434" spans="1:48">
      <c r="A434" s="21" t="s">
        <v>975</v>
      </c>
      <c r="B434" t="s">
        <v>976</v>
      </c>
      <c r="C434" t="s">
        <v>962</v>
      </c>
      <c r="D434" s="33">
        <v>0</v>
      </c>
      <c r="E434" s="33">
        <v>0</v>
      </c>
      <c r="F434" s="33">
        <v>0</v>
      </c>
      <c r="G434" s="33">
        <v>0</v>
      </c>
      <c r="H434" s="34">
        <v>0</v>
      </c>
      <c r="I434">
        <v>0</v>
      </c>
      <c r="J434" s="35">
        <v>0</v>
      </c>
      <c r="K434" s="35">
        <v>0</v>
      </c>
      <c r="L434" s="35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7">
        <v>0</v>
      </c>
      <c r="AS434" s="37">
        <v>0</v>
      </c>
      <c r="AT434" s="37">
        <v>0</v>
      </c>
      <c r="AU434" s="33" t="str">
        <f t="shared" si="9"/>
        <v>库存为0</v>
      </c>
      <c r="AV434" s="38" t="str">
        <f>IFERROR(时间!$B$4+AU434,"上周无销量")</f>
        <v>上周无销量</v>
      </c>
    </row>
    <row r="435" spans="1:48">
      <c r="A435" s="21" t="s">
        <v>977</v>
      </c>
      <c r="B435" t="s">
        <v>978</v>
      </c>
      <c r="C435" t="s">
        <v>962</v>
      </c>
      <c r="D435" s="33">
        <v>0</v>
      </c>
      <c r="E435" s="33">
        <v>0</v>
      </c>
      <c r="F435" s="33">
        <v>1</v>
      </c>
      <c r="G435" s="33">
        <v>0</v>
      </c>
      <c r="H435" s="34">
        <v>16.99</v>
      </c>
      <c r="I435">
        <v>2</v>
      </c>
      <c r="J435" s="35">
        <v>0</v>
      </c>
      <c r="K435" s="35">
        <v>0</v>
      </c>
      <c r="L435" s="35">
        <v>0</v>
      </c>
      <c r="M435">
        <v>2</v>
      </c>
      <c r="N435">
        <v>0</v>
      </c>
      <c r="O435">
        <v>2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22</v>
      </c>
      <c r="AK435">
        <v>27</v>
      </c>
      <c r="AL435">
        <v>27</v>
      </c>
      <c r="AM435">
        <v>19</v>
      </c>
      <c r="AN435" s="23">
        <v>0</v>
      </c>
      <c r="AO435" s="23">
        <v>0</v>
      </c>
      <c r="AP435" s="23">
        <v>0.037037037037037</v>
      </c>
      <c r="AQ435" s="23">
        <v>0</v>
      </c>
      <c r="AR435" s="37">
        <v>0</v>
      </c>
      <c r="AS435" s="37">
        <v>0</v>
      </c>
      <c r="AT435" s="37">
        <v>2</v>
      </c>
      <c r="AU435" s="33" t="str">
        <f t="shared" si="9"/>
        <v>库存为2</v>
      </c>
      <c r="AV435" s="38" t="str">
        <f>IFERROR(时间!$B$4+AU435,"上周无销量")</f>
        <v>上周无销量</v>
      </c>
    </row>
    <row r="436" spans="1:48">
      <c r="A436" s="21" t="s">
        <v>979</v>
      </c>
      <c r="B436" t="s">
        <v>980</v>
      </c>
      <c r="C436" t="s">
        <v>962</v>
      </c>
      <c r="D436" s="33">
        <v>0</v>
      </c>
      <c r="E436" s="33">
        <v>0</v>
      </c>
      <c r="F436" s="33">
        <v>0</v>
      </c>
      <c r="G436" s="33">
        <v>1</v>
      </c>
      <c r="H436" s="34">
        <v>16.99</v>
      </c>
      <c r="I436">
        <v>1</v>
      </c>
      <c r="J436" s="35">
        <v>0</v>
      </c>
      <c r="K436" s="35">
        <v>0</v>
      </c>
      <c r="L436" s="35">
        <v>0</v>
      </c>
      <c r="M436">
        <v>1</v>
      </c>
      <c r="N436">
        <v>1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1</v>
      </c>
      <c r="AK436">
        <v>0</v>
      </c>
      <c r="AL436">
        <v>0</v>
      </c>
      <c r="AM436">
        <v>4</v>
      </c>
      <c r="AN436" s="23">
        <v>0</v>
      </c>
      <c r="AO436" s="23" t="s">
        <v>54</v>
      </c>
      <c r="AP436" s="23" t="s">
        <v>54</v>
      </c>
      <c r="AQ436" s="23">
        <v>0.25</v>
      </c>
      <c r="AR436" s="37">
        <v>0</v>
      </c>
      <c r="AS436" s="37">
        <v>0</v>
      </c>
      <c r="AT436" s="37">
        <v>1</v>
      </c>
      <c r="AU436" s="33" t="str">
        <f t="shared" si="9"/>
        <v>库存为1</v>
      </c>
      <c r="AV436" s="38" t="str">
        <f>IFERROR(时间!$B$4+AU436,"上周无销量")</f>
        <v>上周无销量</v>
      </c>
    </row>
    <row r="437" spans="1:48">
      <c r="A437" s="21" t="s">
        <v>981</v>
      </c>
      <c r="B437" t="s">
        <v>982</v>
      </c>
      <c r="C437" t="s">
        <v>962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3</v>
      </c>
      <c r="J437" s="35">
        <v>0</v>
      </c>
      <c r="K437" s="35">
        <v>0</v>
      </c>
      <c r="L437" s="35">
        <v>0</v>
      </c>
      <c r="M437">
        <v>3</v>
      </c>
      <c r="N437">
        <v>0</v>
      </c>
      <c r="O437">
        <v>1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5</v>
      </c>
      <c r="AK437">
        <v>5</v>
      </c>
      <c r="AL437">
        <v>5</v>
      </c>
      <c r="AM437">
        <v>3</v>
      </c>
      <c r="AN437" s="23">
        <v>0</v>
      </c>
      <c r="AO437" s="23">
        <v>0</v>
      </c>
      <c r="AP437" s="23">
        <v>0</v>
      </c>
      <c r="AQ437" s="23">
        <v>0</v>
      </c>
      <c r="AR437" s="37">
        <v>0</v>
      </c>
      <c r="AS437" s="37">
        <v>0</v>
      </c>
      <c r="AT437" s="37">
        <v>3</v>
      </c>
      <c r="AU437" s="33" t="str">
        <f t="shared" si="9"/>
        <v>库存为3</v>
      </c>
      <c r="AV437" s="38" t="str">
        <f>IFERROR(时间!$B$4+AU437,"上周无销量")</f>
        <v>上周无销量</v>
      </c>
    </row>
    <row r="438" spans="1:48">
      <c r="A438" s="21" t="s">
        <v>983</v>
      </c>
      <c r="B438" t="s">
        <v>984</v>
      </c>
      <c r="C438" t="s">
        <v>962</v>
      </c>
      <c r="D438" s="33">
        <v>0</v>
      </c>
      <c r="E438" s="33">
        <v>0</v>
      </c>
      <c r="F438" s="33">
        <v>0</v>
      </c>
      <c r="G438" s="33">
        <v>1</v>
      </c>
      <c r="H438" s="34">
        <v>16.99</v>
      </c>
      <c r="I438">
        <v>0</v>
      </c>
      <c r="J438" s="35">
        <v>0</v>
      </c>
      <c r="K438" s="35">
        <v>0</v>
      </c>
      <c r="L438" s="35">
        <v>0</v>
      </c>
      <c r="M438">
        <v>0</v>
      </c>
      <c r="N438">
        <v>1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7">
        <v>0</v>
      </c>
      <c r="AS438" s="37">
        <v>0</v>
      </c>
      <c r="AT438" s="37">
        <v>0</v>
      </c>
      <c r="AU438" s="33" t="str">
        <f t="shared" si="9"/>
        <v>库存为0</v>
      </c>
      <c r="AV438" s="38" t="str">
        <f>IFERROR(时间!$B$4+AU438,"上周无销量")</f>
        <v>上周无销量</v>
      </c>
    </row>
    <row r="439" spans="1:48">
      <c r="A439" s="21" t="s">
        <v>985</v>
      </c>
      <c r="B439" t="s">
        <v>986</v>
      </c>
      <c r="C439" t="s">
        <v>962</v>
      </c>
      <c r="D439" s="33">
        <v>1</v>
      </c>
      <c r="E439" s="33">
        <v>2</v>
      </c>
      <c r="F439" s="33">
        <v>4</v>
      </c>
      <c r="G439" s="33">
        <v>2</v>
      </c>
      <c r="H439" s="34">
        <v>9.99</v>
      </c>
      <c r="I439">
        <v>2</v>
      </c>
      <c r="J439" s="35">
        <v>0</v>
      </c>
      <c r="K439" s="35">
        <v>0</v>
      </c>
      <c r="L439" s="35">
        <v>0</v>
      </c>
      <c r="M439">
        <v>2</v>
      </c>
      <c r="N439">
        <v>2</v>
      </c>
      <c r="O439">
        <v>0</v>
      </c>
      <c r="P439">
        <v>20</v>
      </c>
      <c r="Q439">
        <v>2</v>
      </c>
      <c r="R439">
        <v>3</v>
      </c>
      <c r="S439">
        <v>1</v>
      </c>
      <c r="T439">
        <v>0</v>
      </c>
      <c r="U439">
        <v>0</v>
      </c>
      <c r="V439">
        <v>0</v>
      </c>
      <c r="W439">
        <v>0</v>
      </c>
      <c r="X439" s="23">
        <v>0</v>
      </c>
      <c r="Y439" s="23">
        <v>0</v>
      </c>
      <c r="Z439" s="23">
        <v>0</v>
      </c>
      <c r="AA439" s="23">
        <v>0</v>
      </c>
      <c r="AB439">
        <v>0</v>
      </c>
      <c r="AC439">
        <v>0</v>
      </c>
      <c r="AD439">
        <v>0</v>
      </c>
      <c r="AE439">
        <v>0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4</v>
      </c>
      <c r="AK439">
        <v>16</v>
      </c>
      <c r="AL439">
        <v>16</v>
      </c>
      <c r="AM439">
        <v>11</v>
      </c>
      <c r="AN439" s="23">
        <v>0.25</v>
      </c>
      <c r="AO439" s="23">
        <v>0.125</v>
      </c>
      <c r="AP439" s="23">
        <v>0.25</v>
      </c>
      <c r="AQ439" s="23">
        <v>0.181818181818182</v>
      </c>
      <c r="AR439" s="37">
        <v>0.142857142857143</v>
      </c>
      <c r="AS439" s="37">
        <v>8.57142857142857</v>
      </c>
      <c r="AT439" s="37">
        <v>-6.57142857142857</v>
      </c>
      <c r="AU439" s="33">
        <f t="shared" si="9"/>
        <v>14</v>
      </c>
      <c r="AV439" s="38">
        <f>IFERROR(时间!$B$4+AU439,"上周无销量")</f>
        <v>43304</v>
      </c>
    </row>
    <row r="440" spans="1:48">
      <c r="A440" s="21" t="s">
        <v>987</v>
      </c>
      <c r="B440" t="s">
        <v>988</v>
      </c>
      <c r="C440" t="s">
        <v>962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7">
        <v>0</v>
      </c>
      <c r="AS440" s="37">
        <v>0</v>
      </c>
      <c r="AT440" s="37">
        <v>0</v>
      </c>
      <c r="AU440" s="33" t="str">
        <f t="shared" si="9"/>
        <v>库存为0</v>
      </c>
      <c r="AV440" s="38" t="str">
        <f>IFERROR(时间!$B$4+AU440,"上周无销量")</f>
        <v>上周无销量</v>
      </c>
    </row>
    <row r="441" spans="1:48">
      <c r="A441" s="21" t="s">
        <v>989</v>
      </c>
      <c r="B441" t="s">
        <v>990</v>
      </c>
      <c r="C441" t="s">
        <v>962</v>
      </c>
      <c r="D441" s="33">
        <v>0</v>
      </c>
      <c r="E441" s="33">
        <v>1</v>
      </c>
      <c r="F441" s="33">
        <v>1</v>
      </c>
      <c r="G441" s="33">
        <v>0</v>
      </c>
      <c r="H441" s="34">
        <v>16.08</v>
      </c>
      <c r="I441">
        <v>2</v>
      </c>
      <c r="J441" s="35">
        <v>0</v>
      </c>
      <c r="K441" s="35">
        <v>0</v>
      </c>
      <c r="L441" s="35">
        <v>0</v>
      </c>
      <c r="M441">
        <v>2</v>
      </c>
      <c r="N441">
        <v>1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25</v>
      </c>
      <c r="AK441">
        <v>28</v>
      </c>
      <c r="AL441">
        <v>28</v>
      </c>
      <c r="AM441">
        <v>19</v>
      </c>
      <c r="AN441" s="23">
        <v>0</v>
      </c>
      <c r="AO441" s="23">
        <v>0.0357142857142857</v>
      </c>
      <c r="AP441" s="23">
        <v>0.0357142857142857</v>
      </c>
      <c r="AQ441" s="23">
        <v>0</v>
      </c>
      <c r="AR441" s="37">
        <v>0</v>
      </c>
      <c r="AS441" s="37">
        <v>0</v>
      </c>
      <c r="AT441" s="37">
        <v>2</v>
      </c>
      <c r="AU441" s="33" t="str">
        <f t="shared" si="9"/>
        <v>库存为2</v>
      </c>
      <c r="AV441" s="38" t="str">
        <f>IFERROR(时间!$B$4+AU441,"上周无销量")</f>
        <v>上周无销量</v>
      </c>
    </row>
    <row r="442" spans="1:48">
      <c r="A442" s="21" t="s">
        <v>991</v>
      </c>
      <c r="B442" t="s">
        <v>992</v>
      </c>
      <c r="C442" t="s">
        <v>962</v>
      </c>
      <c r="D442" s="33">
        <v>0</v>
      </c>
      <c r="E442" s="33">
        <v>0</v>
      </c>
      <c r="F442" s="33">
        <v>0</v>
      </c>
      <c r="G442" s="33">
        <v>1</v>
      </c>
      <c r="H442" s="34">
        <v>16.99</v>
      </c>
      <c r="I442">
        <v>1</v>
      </c>
      <c r="J442" s="35">
        <v>0</v>
      </c>
      <c r="K442" s="35">
        <v>0</v>
      </c>
      <c r="L442" s="35">
        <v>0</v>
      </c>
      <c r="M442">
        <v>1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2</v>
      </c>
      <c r="AK442">
        <v>0</v>
      </c>
      <c r="AL442">
        <v>0</v>
      </c>
      <c r="AM442">
        <v>1</v>
      </c>
      <c r="AN442" s="23">
        <v>0</v>
      </c>
      <c r="AO442" s="23" t="s">
        <v>54</v>
      </c>
      <c r="AP442" s="23" t="s">
        <v>54</v>
      </c>
      <c r="AQ442" s="23">
        <v>1</v>
      </c>
      <c r="AR442" s="37">
        <v>0</v>
      </c>
      <c r="AS442" s="37">
        <v>0</v>
      </c>
      <c r="AT442" s="37">
        <v>1</v>
      </c>
      <c r="AU442" s="33" t="str">
        <f t="shared" si="9"/>
        <v>库存为1</v>
      </c>
      <c r="AV442" s="38" t="str">
        <f>IFERROR(时间!$B$4+AU442,"上周无销量")</f>
        <v>上周无销量</v>
      </c>
    </row>
    <row r="443" spans="1:48">
      <c r="A443" s="21" t="s">
        <v>993</v>
      </c>
      <c r="B443" t="s">
        <v>994</v>
      </c>
      <c r="C443" t="s">
        <v>962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0</v>
      </c>
      <c r="J443" s="35">
        <v>0</v>
      </c>
      <c r="K443" s="35">
        <v>0</v>
      </c>
      <c r="L443" s="35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7">
        <v>0</v>
      </c>
      <c r="AS443" s="37">
        <v>0</v>
      </c>
      <c r="AT443" s="37">
        <v>0</v>
      </c>
      <c r="AU443" s="33" t="str">
        <f t="shared" si="9"/>
        <v>库存为0</v>
      </c>
      <c r="AV443" s="38" t="str">
        <f>IFERROR(时间!$B$4+AU443,"上周无销量")</f>
        <v>上周无销量</v>
      </c>
    </row>
    <row r="444" spans="1:48">
      <c r="A444" s="21" t="s">
        <v>995</v>
      </c>
      <c r="B444" t="s">
        <v>996</v>
      </c>
      <c r="C444" t="s">
        <v>962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0</v>
      </c>
      <c r="J444" s="35">
        <v>0</v>
      </c>
      <c r="K444" s="35">
        <v>0</v>
      </c>
      <c r="L444" s="35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7">
        <v>0</v>
      </c>
      <c r="AS444" s="37">
        <v>0</v>
      </c>
      <c r="AT444" s="37">
        <v>0</v>
      </c>
      <c r="AU444" s="33" t="str">
        <f t="shared" si="9"/>
        <v>库存为0</v>
      </c>
      <c r="AV444" s="38" t="str">
        <f>IFERROR(时间!$B$4+AU444,"上周无销量")</f>
        <v>上周无销量</v>
      </c>
    </row>
    <row r="445" spans="1:48">
      <c r="A445" s="21" t="s">
        <v>997</v>
      </c>
      <c r="B445" t="s">
        <v>998</v>
      </c>
      <c r="C445" t="s">
        <v>962</v>
      </c>
      <c r="D445" s="33">
        <v>0</v>
      </c>
      <c r="E445" s="33">
        <v>0</v>
      </c>
      <c r="F445" s="33">
        <v>1</v>
      </c>
      <c r="G445" s="33">
        <v>1</v>
      </c>
      <c r="H445" s="34">
        <v>16.99</v>
      </c>
      <c r="I445">
        <v>10</v>
      </c>
      <c r="J445" s="35">
        <v>0</v>
      </c>
      <c r="K445" s="35">
        <v>0</v>
      </c>
      <c r="L445" s="35">
        <v>0</v>
      </c>
      <c r="M445">
        <v>10</v>
      </c>
      <c r="N445">
        <v>1</v>
      </c>
      <c r="O445">
        <v>10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1</v>
      </c>
      <c r="AK445">
        <v>16</v>
      </c>
      <c r="AL445">
        <v>16</v>
      </c>
      <c r="AM445">
        <v>12</v>
      </c>
      <c r="AN445" s="23">
        <v>0</v>
      </c>
      <c r="AO445" s="23">
        <v>0</v>
      </c>
      <c r="AP445" s="23">
        <v>0.0625</v>
      </c>
      <c r="AQ445" s="23">
        <v>0.0833333333333333</v>
      </c>
      <c r="AR445" s="37">
        <v>0</v>
      </c>
      <c r="AS445" s="37">
        <v>0</v>
      </c>
      <c r="AT445" s="37">
        <v>10</v>
      </c>
      <c r="AU445" s="33" t="str">
        <f t="shared" si="9"/>
        <v>库存为10</v>
      </c>
      <c r="AV445" s="38" t="str">
        <f>IFERROR(时间!$B$4+AU445,"上周无销量")</f>
        <v>上周无销量</v>
      </c>
    </row>
    <row r="446" spans="1:48">
      <c r="A446" s="21" t="s">
        <v>999</v>
      </c>
      <c r="B446" t="s">
        <v>1000</v>
      </c>
      <c r="C446" t="s">
        <v>962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3</v>
      </c>
      <c r="J446" s="35">
        <v>0</v>
      </c>
      <c r="K446" s="35">
        <v>0</v>
      </c>
      <c r="L446" s="35">
        <v>0</v>
      </c>
      <c r="M446">
        <v>3</v>
      </c>
      <c r="N446">
        <v>0</v>
      </c>
      <c r="O446">
        <v>2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15</v>
      </c>
      <c r="AK446">
        <v>10</v>
      </c>
      <c r="AL446">
        <v>10</v>
      </c>
      <c r="AM446">
        <v>10</v>
      </c>
      <c r="AN446" s="23">
        <v>0</v>
      </c>
      <c r="AO446" s="23">
        <v>0</v>
      </c>
      <c r="AP446" s="23">
        <v>0</v>
      </c>
      <c r="AQ446" s="23">
        <v>0</v>
      </c>
      <c r="AR446" s="37">
        <v>0</v>
      </c>
      <c r="AS446" s="37">
        <v>0</v>
      </c>
      <c r="AT446" s="37">
        <v>3</v>
      </c>
      <c r="AU446" s="33" t="str">
        <f t="shared" si="9"/>
        <v>库存为3</v>
      </c>
      <c r="AV446" s="38" t="str">
        <f>IFERROR(时间!$B$4+AU446,"上周无销量")</f>
        <v>上周无销量</v>
      </c>
    </row>
    <row r="447" spans="1:48">
      <c r="A447" s="21" t="s">
        <v>1001</v>
      </c>
      <c r="B447" t="s">
        <v>1002</v>
      </c>
      <c r="C447" t="s">
        <v>962</v>
      </c>
      <c r="D447" s="33">
        <v>0</v>
      </c>
      <c r="E447" s="33">
        <v>0</v>
      </c>
      <c r="F447" s="33">
        <v>2</v>
      </c>
      <c r="G447" s="33">
        <v>1</v>
      </c>
      <c r="H447" s="34">
        <v>15.99</v>
      </c>
      <c r="I447">
        <v>6</v>
      </c>
      <c r="J447" s="35">
        <v>0</v>
      </c>
      <c r="K447" s="35">
        <v>0</v>
      </c>
      <c r="L447" s="35">
        <v>0</v>
      </c>
      <c r="M447">
        <v>6</v>
      </c>
      <c r="N447">
        <v>0</v>
      </c>
      <c r="O447">
        <v>5</v>
      </c>
      <c r="P447">
        <v>2</v>
      </c>
      <c r="Q447">
        <v>2</v>
      </c>
      <c r="R447">
        <v>2</v>
      </c>
      <c r="S447">
        <v>0</v>
      </c>
      <c r="T447">
        <v>0</v>
      </c>
      <c r="U447">
        <v>0</v>
      </c>
      <c r="V447">
        <v>0</v>
      </c>
      <c r="W447">
        <v>0</v>
      </c>
      <c r="X447" s="23">
        <v>0</v>
      </c>
      <c r="Y447" s="23">
        <v>0</v>
      </c>
      <c r="Z447" s="23">
        <v>0</v>
      </c>
      <c r="AA447" s="23" t="s">
        <v>54</v>
      </c>
      <c r="AB447">
        <v>0</v>
      </c>
      <c r="AC447">
        <v>0</v>
      </c>
      <c r="AD447">
        <v>0</v>
      </c>
      <c r="AE447">
        <v>0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1</v>
      </c>
      <c r="AK447">
        <v>9</v>
      </c>
      <c r="AL447">
        <v>9</v>
      </c>
      <c r="AM447">
        <v>3</v>
      </c>
      <c r="AN447" s="23">
        <v>0</v>
      </c>
      <c r="AO447" s="23">
        <v>0</v>
      </c>
      <c r="AP447" s="23">
        <v>0.222222222222222</v>
      </c>
      <c r="AQ447" s="23">
        <v>0.333333333333333</v>
      </c>
      <c r="AR447" s="37">
        <v>0</v>
      </c>
      <c r="AS447" s="37">
        <v>0</v>
      </c>
      <c r="AT447" s="37">
        <v>6</v>
      </c>
      <c r="AU447" s="33" t="str">
        <f t="shared" si="9"/>
        <v>库存为6</v>
      </c>
      <c r="AV447" s="38" t="str">
        <f>IFERROR(时间!$B$4+AU447,"上周无销量")</f>
        <v>上周无销量</v>
      </c>
    </row>
    <row r="448" spans="1:48">
      <c r="A448" s="21" t="s">
        <v>1003</v>
      </c>
      <c r="B448" t="s">
        <v>1004</v>
      </c>
      <c r="C448" t="s">
        <v>962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0</v>
      </c>
      <c r="J448" s="35">
        <v>0</v>
      </c>
      <c r="K448" s="35">
        <v>0</v>
      </c>
      <c r="L448" s="35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7">
        <v>0</v>
      </c>
      <c r="AS448" s="37">
        <v>0</v>
      </c>
      <c r="AT448" s="37">
        <v>0</v>
      </c>
      <c r="AU448" s="33" t="str">
        <f t="shared" si="9"/>
        <v>库存为0</v>
      </c>
      <c r="AV448" s="38" t="str">
        <f>IFERROR(时间!$B$4+AU448,"上周无销量")</f>
        <v>上周无销量</v>
      </c>
    </row>
    <row r="449" spans="1:48">
      <c r="A449" s="21" t="s">
        <v>1005</v>
      </c>
      <c r="B449" t="s">
        <v>1006</v>
      </c>
      <c r="C449" t="s">
        <v>962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0</v>
      </c>
      <c r="J449" s="35">
        <v>0</v>
      </c>
      <c r="K449" s="35">
        <v>0</v>
      </c>
      <c r="L449" s="35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s">
        <v>54</v>
      </c>
      <c r="AO449" s="23" t="s">
        <v>54</v>
      </c>
      <c r="AP449" s="23" t="s">
        <v>54</v>
      </c>
      <c r="AQ449" s="23" t="s">
        <v>54</v>
      </c>
      <c r="AR449" s="37">
        <v>0</v>
      </c>
      <c r="AS449" s="37">
        <v>0</v>
      </c>
      <c r="AT449" s="37">
        <v>0</v>
      </c>
      <c r="AU449" s="33" t="str">
        <f t="shared" si="9"/>
        <v>库存为0</v>
      </c>
      <c r="AV449" s="38" t="str">
        <f>IFERROR(时间!$B$4+AU449,"上周无销量")</f>
        <v>上周无销量</v>
      </c>
    </row>
    <row r="450" spans="1:48">
      <c r="A450" s="21" t="s">
        <v>1007</v>
      </c>
      <c r="B450" t="s">
        <v>1008</v>
      </c>
      <c r="C450" t="s">
        <v>962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0</v>
      </c>
      <c r="J450" s="35">
        <v>0</v>
      </c>
      <c r="K450" s="35">
        <v>0</v>
      </c>
      <c r="L450" s="35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s">
        <v>54</v>
      </c>
      <c r="AO450" s="23" t="s">
        <v>54</v>
      </c>
      <c r="AP450" s="23" t="s">
        <v>54</v>
      </c>
      <c r="AQ450" s="23" t="s">
        <v>54</v>
      </c>
      <c r="AR450" s="37">
        <v>0</v>
      </c>
      <c r="AS450" s="37">
        <v>0</v>
      </c>
      <c r="AT450" s="37">
        <v>0</v>
      </c>
      <c r="AU450" s="33" t="str">
        <f t="shared" si="9"/>
        <v>库存为0</v>
      </c>
      <c r="AV450" s="38" t="str">
        <f>IFERROR(时间!$B$4+AU450,"上周无销量")</f>
        <v>上周无销量</v>
      </c>
    </row>
    <row r="451" spans="1:48">
      <c r="A451" s="21" t="s">
        <v>1009</v>
      </c>
      <c r="B451" t="s">
        <v>1010</v>
      </c>
      <c r="C451" t="s">
        <v>962</v>
      </c>
      <c r="D451" s="33">
        <v>1</v>
      </c>
      <c r="E451" s="33">
        <v>0</v>
      </c>
      <c r="F451" s="33">
        <v>0</v>
      </c>
      <c r="G451" s="33">
        <v>0</v>
      </c>
      <c r="H451" s="34">
        <v>16.99</v>
      </c>
      <c r="I451">
        <v>8</v>
      </c>
      <c r="J451" s="35">
        <v>0</v>
      </c>
      <c r="K451" s="35">
        <v>0</v>
      </c>
      <c r="L451" s="35">
        <v>0</v>
      </c>
      <c r="M451">
        <v>8</v>
      </c>
      <c r="N451">
        <v>0</v>
      </c>
      <c r="O451">
        <v>8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15</v>
      </c>
      <c r="AK451">
        <v>7</v>
      </c>
      <c r="AL451">
        <v>7</v>
      </c>
      <c r="AM451">
        <v>9</v>
      </c>
      <c r="AN451" s="23">
        <v>0.0666666666666667</v>
      </c>
      <c r="AO451" s="23">
        <v>0</v>
      </c>
      <c r="AP451" s="23">
        <v>0</v>
      </c>
      <c r="AQ451" s="23">
        <v>0</v>
      </c>
      <c r="AR451" s="37">
        <v>0.142857142857143</v>
      </c>
      <c r="AS451" s="37">
        <v>8.57142857142857</v>
      </c>
      <c r="AT451" s="37">
        <v>-0.571428571428571</v>
      </c>
      <c r="AU451" s="33">
        <f t="shared" si="9"/>
        <v>56</v>
      </c>
      <c r="AV451" s="38">
        <f>IFERROR(时间!$B$4+AU451,"上周无销量")</f>
        <v>43346</v>
      </c>
    </row>
    <row r="452" spans="1:48">
      <c r="A452" s="21" t="s">
        <v>1011</v>
      </c>
      <c r="B452" t="s">
        <v>1012</v>
      </c>
      <c r="C452" t="s">
        <v>962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4</v>
      </c>
      <c r="J452" s="35">
        <v>0</v>
      </c>
      <c r="K452" s="35">
        <v>0</v>
      </c>
      <c r="L452" s="35">
        <v>0</v>
      </c>
      <c r="M452">
        <v>4</v>
      </c>
      <c r="N452">
        <v>0</v>
      </c>
      <c r="O452">
        <v>2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13</v>
      </c>
      <c r="AK452">
        <v>7</v>
      </c>
      <c r="AL452">
        <v>7</v>
      </c>
      <c r="AM452">
        <v>6</v>
      </c>
      <c r="AN452" s="23">
        <v>0</v>
      </c>
      <c r="AO452" s="23">
        <v>0</v>
      </c>
      <c r="AP452" s="23">
        <v>0</v>
      </c>
      <c r="AQ452" s="23">
        <v>0</v>
      </c>
      <c r="AR452" s="37">
        <v>0</v>
      </c>
      <c r="AS452" s="37">
        <v>0</v>
      </c>
      <c r="AT452" s="37">
        <v>4</v>
      </c>
      <c r="AU452" s="33" t="str">
        <f t="shared" si="9"/>
        <v>库存为4</v>
      </c>
      <c r="AV452" s="38" t="str">
        <f>IFERROR(时间!$B$4+AU452,"上周无销量")</f>
        <v>上周无销量</v>
      </c>
    </row>
    <row r="453" spans="1:48">
      <c r="A453" s="21" t="s">
        <v>1013</v>
      </c>
      <c r="B453" t="s">
        <v>1014</v>
      </c>
      <c r="C453" t="s">
        <v>962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2</v>
      </c>
      <c r="J453" s="35">
        <v>0</v>
      </c>
      <c r="K453" s="35">
        <v>0</v>
      </c>
      <c r="L453" s="35">
        <v>0</v>
      </c>
      <c r="M453">
        <v>2</v>
      </c>
      <c r="N453">
        <v>0</v>
      </c>
      <c r="O453">
        <v>1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16</v>
      </c>
      <c r="AK453">
        <v>14</v>
      </c>
      <c r="AL453">
        <v>14</v>
      </c>
      <c r="AM453">
        <v>23</v>
      </c>
      <c r="AN453" s="23">
        <v>0</v>
      </c>
      <c r="AO453" s="23">
        <v>0</v>
      </c>
      <c r="AP453" s="23">
        <v>0</v>
      </c>
      <c r="AQ453" s="23">
        <v>0</v>
      </c>
      <c r="AR453" s="37">
        <v>0</v>
      </c>
      <c r="AS453" s="37">
        <v>0</v>
      </c>
      <c r="AT453" s="37">
        <v>2</v>
      </c>
      <c r="AU453" s="33" t="str">
        <f t="shared" ref="AU453:AU516" si="10">IF(AR453="","库存为"&amp;M453,IF(AS453=0,"库存为"&amp;M453,INT(M453/AR453)))</f>
        <v>库存为2</v>
      </c>
      <c r="AV453" s="38" t="str">
        <f>IFERROR(时间!$B$4+AU453,"上周无销量")</f>
        <v>上周无销量</v>
      </c>
    </row>
    <row r="454" spans="1:48">
      <c r="A454" s="21" t="s">
        <v>1015</v>
      </c>
      <c r="B454" t="s">
        <v>1016</v>
      </c>
      <c r="C454" t="s">
        <v>962</v>
      </c>
      <c r="D454" s="33">
        <v>1</v>
      </c>
      <c r="E454" s="33">
        <v>0</v>
      </c>
      <c r="F454" s="33">
        <v>1</v>
      </c>
      <c r="G454" s="33">
        <v>0</v>
      </c>
      <c r="H454" s="34">
        <v>16.99</v>
      </c>
      <c r="I454">
        <v>1</v>
      </c>
      <c r="J454" s="35">
        <v>0</v>
      </c>
      <c r="K454" s="35">
        <v>0</v>
      </c>
      <c r="L454" s="35">
        <v>0</v>
      </c>
      <c r="M454">
        <v>1</v>
      </c>
      <c r="N454">
        <v>1</v>
      </c>
      <c r="O454">
        <v>1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3</v>
      </c>
      <c r="AK454">
        <v>9</v>
      </c>
      <c r="AL454">
        <v>9</v>
      </c>
      <c r="AM454">
        <v>8</v>
      </c>
      <c r="AN454" s="23">
        <v>0.333333333333333</v>
      </c>
      <c r="AO454" s="23">
        <v>0</v>
      </c>
      <c r="AP454" s="23">
        <v>0.111111111111111</v>
      </c>
      <c r="AQ454" s="23">
        <v>0</v>
      </c>
      <c r="AR454" s="37">
        <v>0.142857142857143</v>
      </c>
      <c r="AS454" s="37">
        <v>8.57142857142857</v>
      </c>
      <c r="AT454" s="37">
        <v>-7.57142857142857</v>
      </c>
      <c r="AU454" s="33">
        <f t="shared" si="10"/>
        <v>7</v>
      </c>
      <c r="AV454" s="38">
        <f>IFERROR(时间!$B$4+AU454,"上周无销量")</f>
        <v>43297</v>
      </c>
    </row>
    <row r="455" spans="1:48">
      <c r="A455" s="21" t="s">
        <v>1017</v>
      </c>
      <c r="B455" t="s">
        <v>1018</v>
      </c>
      <c r="C455" t="s">
        <v>962</v>
      </c>
      <c r="D455" s="33">
        <v>0</v>
      </c>
      <c r="E455" s="33">
        <v>0</v>
      </c>
      <c r="F455" s="33">
        <v>0</v>
      </c>
      <c r="G455" s="33">
        <v>0</v>
      </c>
      <c r="H455" s="34">
        <v>0</v>
      </c>
      <c r="I455">
        <v>0</v>
      </c>
      <c r="J455" s="35">
        <v>0</v>
      </c>
      <c r="K455" s="35">
        <v>0</v>
      </c>
      <c r="L455" s="35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7">
        <v>0</v>
      </c>
      <c r="AS455" s="37">
        <v>0</v>
      </c>
      <c r="AT455" s="37">
        <v>0</v>
      </c>
      <c r="AU455" s="33" t="str">
        <f t="shared" si="10"/>
        <v>库存为0</v>
      </c>
      <c r="AV455" s="38" t="str">
        <f>IFERROR(时间!$B$4+AU455,"上周无销量")</f>
        <v>上周无销量</v>
      </c>
    </row>
    <row r="456" spans="1:48">
      <c r="A456" s="21" t="s">
        <v>1019</v>
      </c>
      <c r="B456" t="s">
        <v>1020</v>
      </c>
      <c r="C456" t="s">
        <v>962</v>
      </c>
      <c r="D456" s="33">
        <v>0</v>
      </c>
      <c r="E456" s="33">
        <v>0</v>
      </c>
      <c r="F456" s="33">
        <v>0</v>
      </c>
      <c r="G456" s="33">
        <v>0</v>
      </c>
      <c r="H456" s="34">
        <v>0</v>
      </c>
      <c r="I456">
        <v>0</v>
      </c>
      <c r="J456" s="35">
        <v>0</v>
      </c>
      <c r="K456" s="35">
        <v>0</v>
      </c>
      <c r="L456" s="35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7">
        <v>0</v>
      </c>
      <c r="AS456" s="37">
        <v>0</v>
      </c>
      <c r="AT456" s="37">
        <v>0</v>
      </c>
      <c r="AU456" s="33" t="str">
        <f t="shared" si="10"/>
        <v>库存为0</v>
      </c>
      <c r="AV456" s="38" t="str">
        <f>IFERROR(时间!$B$4+AU456,"上周无销量")</f>
        <v>上周无销量</v>
      </c>
    </row>
    <row r="457" spans="1:48">
      <c r="A457" s="21" t="s">
        <v>1021</v>
      </c>
      <c r="B457" t="s">
        <v>1022</v>
      </c>
      <c r="C457" t="s">
        <v>962</v>
      </c>
      <c r="D457" s="33">
        <v>0</v>
      </c>
      <c r="E457" s="33">
        <v>0</v>
      </c>
      <c r="F457" s="33">
        <v>1</v>
      </c>
      <c r="G457" s="33">
        <v>0</v>
      </c>
      <c r="H457" s="34">
        <v>16.99</v>
      </c>
      <c r="I457">
        <v>0</v>
      </c>
      <c r="J457" s="35">
        <v>0</v>
      </c>
      <c r="K457" s="35">
        <v>0</v>
      </c>
      <c r="L457" s="35">
        <v>0</v>
      </c>
      <c r="M457">
        <v>0</v>
      </c>
      <c r="N457">
        <v>1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4</v>
      </c>
      <c r="AL457">
        <v>4</v>
      </c>
      <c r="AM457">
        <v>2</v>
      </c>
      <c r="AN457" s="23" t="s">
        <v>54</v>
      </c>
      <c r="AO457" s="23">
        <v>0</v>
      </c>
      <c r="AP457" s="23">
        <v>0.25</v>
      </c>
      <c r="AQ457" s="23">
        <v>0</v>
      </c>
      <c r="AR457" s="37">
        <v>0</v>
      </c>
      <c r="AS457" s="37">
        <v>0</v>
      </c>
      <c r="AT457" s="37">
        <v>0</v>
      </c>
      <c r="AU457" s="33" t="str">
        <f t="shared" si="10"/>
        <v>库存为0</v>
      </c>
      <c r="AV457" s="38" t="str">
        <f>IFERROR(时间!$B$4+AU457,"上周无销量")</f>
        <v>上周无销量</v>
      </c>
    </row>
    <row r="458" spans="1:48">
      <c r="A458" s="21" t="s">
        <v>1023</v>
      </c>
      <c r="B458" t="s">
        <v>1024</v>
      </c>
      <c r="C458" t="s">
        <v>962</v>
      </c>
      <c r="D458" s="33">
        <v>0</v>
      </c>
      <c r="E458" s="33">
        <v>1</v>
      </c>
      <c r="F458" s="33">
        <v>0</v>
      </c>
      <c r="G458" s="33">
        <v>0</v>
      </c>
      <c r="H458" s="34">
        <v>16.99</v>
      </c>
      <c r="I458">
        <v>0</v>
      </c>
      <c r="J458" s="35">
        <v>0</v>
      </c>
      <c r="K458" s="35">
        <v>0</v>
      </c>
      <c r="L458" s="35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7">
        <v>0</v>
      </c>
      <c r="AS458" s="37">
        <v>0</v>
      </c>
      <c r="AT458" s="37">
        <v>0</v>
      </c>
      <c r="AU458" s="33" t="str">
        <f t="shared" si="10"/>
        <v>库存为0</v>
      </c>
      <c r="AV458" s="38" t="str">
        <f>IFERROR(时间!$B$4+AU458,"上周无销量")</f>
        <v>上周无销量</v>
      </c>
    </row>
    <row r="459" spans="1:48">
      <c r="A459" s="21" t="s">
        <v>1025</v>
      </c>
      <c r="B459" t="s">
        <v>1026</v>
      </c>
      <c r="C459" t="s">
        <v>962</v>
      </c>
      <c r="D459" s="33">
        <v>0</v>
      </c>
      <c r="E459" s="33">
        <v>0</v>
      </c>
      <c r="F459" s="33">
        <v>0</v>
      </c>
      <c r="G459" s="33">
        <v>1</v>
      </c>
      <c r="H459" s="34">
        <v>16.99</v>
      </c>
      <c r="I459">
        <v>3</v>
      </c>
      <c r="J459" s="35">
        <v>0</v>
      </c>
      <c r="K459" s="35">
        <v>0</v>
      </c>
      <c r="L459" s="35">
        <v>0</v>
      </c>
      <c r="M459">
        <v>3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7</v>
      </c>
      <c r="AK459">
        <v>10</v>
      </c>
      <c r="AL459">
        <v>10</v>
      </c>
      <c r="AM459">
        <v>11</v>
      </c>
      <c r="AN459" s="23">
        <v>0</v>
      </c>
      <c r="AO459" s="23">
        <v>0</v>
      </c>
      <c r="AP459" s="23">
        <v>0</v>
      </c>
      <c r="AQ459" s="23">
        <v>0.0909090909090909</v>
      </c>
      <c r="AR459" s="37">
        <v>0</v>
      </c>
      <c r="AS459" s="37">
        <v>0</v>
      </c>
      <c r="AT459" s="37">
        <v>3</v>
      </c>
      <c r="AU459" s="33" t="str">
        <f t="shared" si="10"/>
        <v>库存为3</v>
      </c>
      <c r="AV459" s="38" t="str">
        <f>IFERROR(时间!$B$4+AU459,"上周无销量")</f>
        <v>上周无销量</v>
      </c>
    </row>
    <row r="460" spans="1:48">
      <c r="A460" s="21" t="s">
        <v>1027</v>
      </c>
      <c r="B460" t="s">
        <v>1028</v>
      </c>
      <c r="C460" t="s">
        <v>962</v>
      </c>
      <c r="D460" s="33">
        <v>0</v>
      </c>
      <c r="E460" s="33">
        <v>0</v>
      </c>
      <c r="F460" s="33">
        <v>0</v>
      </c>
      <c r="G460" s="33">
        <v>2</v>
      </c>
      <c r="H460" s="34">
        <v>16.99</v>
      </c>
      <c r="I460">
        <v>6</v>
      </c>
      <c r="J460" s="35">
        <v>0</v>
      </c>
      <c r="K460" s="35">
        <v>0</v>
      </c>
      <c r="L460" s="35">
        <v>1</v>
      </c>
      <c r="M460">
        <v>7</v>
      </c>
      <c r="N460">
        <v>0</v>
      </c>
      <c r="O460">
        <v>4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7</v>
      </c>
      <c r="AK460">
        <v>2</v>
      </c>
      <c r="AL460">
        <v>2</v>
      </c>
      <c r="AM460">
        <v>8</v>
      </c>
      <c r="AN460" s="23">
        <v>0</v>
      </c>
      <c r="AO460" s="23">
        <v>0</v>
      </c>
      <c r="AP460" s="23">
        <v>0</v>
      </c>
      <c r="AQ460" s="23">
        <v>0.25</v>
      </c>
      <c r="AR460" s="37">
        <v>0</v>
      </c>
      <c r="AS460" s="37">
        <v>0</v>
      </c>
      <c r="AT460" s="37">
        <v>7</v>
      </c>
      <c r="AU460" s="33" t="str">
        <f t="shared" si="10"/>
        <v>库存为7</v>
      </c>
      <c r="AV460" s="38" t="str">
        <f>IFERROR(时间!$B$4+AU460,"上周无销量")</f>
        <v>上周无销量</v>
      </c>
    </row>
    <row r="461" spans="1:48">
      <c r="A461" s="21" t="s">
        <v>1029</v>
      </c>
      <c r="B461" t="s">
        <v>1030</v>
      </c>
      <c r="C461" t="s">
        <v>1031</v>
      </c>
      <c r="D461" s="33">
        <v>0</v>
      </c>
      <c r="E461" s="33">
        <v>0</v>
      </c>
      <c r="F461" s="33">
        <v>0</v>
      </c>
      <c r="G461" s="33">
        <v>0</v>
      </c>
      <c r="H461" s="34">
        <v>0</v>
      </c>
      <c r="I461">
        <v>0</v>
      </c>
      <c r="J461" s="35">
        <v>0</v>
      </c>
      <c r="K461" s="35">
        <v>0</v>
      </c>
      <c r="L461" s="35">
        <v>0</v>
      </c>
      <c r="M461">
        <v>0</v>
      </c>
      <c r="N461">
        <v>0</v>
      </c>
      <c r="O461">
        <v>1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7">
        <v>0</v>
      </c>
      <c r="AS461" s="37">
        <v>0</v>
      </c>
      <c r="AT461" s="37">
        <v>0</v>
      </c>
      <c r="AU461" s="33" t="str">
        <f t="shared" si="10"/>
        <v>库存为0</v>
      </c>
      <c r="AV461" s="38" t="str">
        <f>IFERROR(时间!$B$4+AU461,"上周无销量")</f>
        <v>上周无销量</v>
      </c>
    </row>
    <row r="462" spans="1:48">
      <c r="A462" s="21" t="s">
        <v>1032</v>
      </c>
      <c r="B462" t="s">
        <v>1033</v>
      </c>
      <c r="C462" t="s">
        <v>1034</v>
      </c>
      <c r="D462" s="33">
        <v>0</v>
      </c>
      <c r="E462" s="33">
        <v>0</v>
      </c>
      <c r="F462" s="33">
        <v>0</v>
      </c>
      <c r="G462" s="33">
        <v>0</v>
      </c>
      <c r="H462" s="34">
        <v>0</v>
      </c>
      <c r="I462">
        <v>1</v>
      </c>
      <c r="J462" s="35">
        <v>0</v>
      </c>
      <c r="K462" s="35">
        <v>0</v>
      </c>
      <c r="L462" s="35">
        <v>0</v>
      </c>
      <c r="M462">
        <v>1</v>
      </c>
      <c r="N462">
        <v>0</v>
      </c>
      <c r="O462">
        <v>1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3</v>
      </c>
      <c r="AK462">
        <v>2</v>
      </c>
      <c r="AL462">
        <v>2</v>
      </c>
      <c r="AM462">
        <v>2</v>
      </c>
      <c r="AN462" s="23">
        <v>0</v>
      </c>
      <c r="AO462" s="23">
        <v>0</v>
      </c>
      <c r="AP462" s="23">
        <v>0</v>
      </c>
      <c r="AQ462" s="23">
        <v>0</v>
      </c>
      <c r="AR462" s="37">
        <v>0</v>
      </c>
      <c r="AS462" s="37">
        <v>0</v>
      </c>
      <c r="AT462" s="37">
        <v>1</v>
      </c>
      <c r="AU462" s="33" t="str">
        <f t="shared" si="10"/>
        <v>库存为1</v>
      </c>
      <c r="AV462" s="38" t="str">
        <f>IFERROR(时间!$B$4+AU462,"上周无销量")</f>
        <v>上周无销量</v>
      </c>
    </row>
    <row r="463" spans="1:48">
      <c r="A463" s="21" t="s">
        <v>1035</v>
      </c>
      <c r="B463" t="s">
        <v>1036</v>
      </c>
      <c r="C463" t="s">
        <v>1034</v>
      </c>
      <c r="D463" s="33">
        <v>0</v>
      </c>
      <c r="E463" s="33">
        <v>0</v>
      </c>
      <c r="F463" s="33">
        <v>0</v>
      </c>
      <c r="G463" s="33">
        <v>0</v>
      </c>
      <c r="H463" s="34">
        <v>0</v>
      </c>
      <c r="I463">
        <v>4</v>
      </c>
      <c r="J463" s="35">
        <v>0</v>
      </c>
      <c r="K463" s="35">
        <v>0</v>
      </c>
      <c r="L463" s="35">
        <v>0</v>
      </c>
      <c r="M463">
        <v>4</v>
      </c>
      <c r="N463">
        <v>0</v>
      </c>
      <c r="O463">
        <v>4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5</v>
      </c>
      <c r="AK463">
        <v>0</v>
      </c>
      <c r="AL463">
        <v>0</v>
      </c>
      <c r="AM463">
        <v>2</v>
      </c>
      <c r="AN463" s="23">
        <v>0</v>
      </c>
      <c r="AO463" s="23" t="s">
        <v>54</v>
      </c>
      <c r="AP463" s="23" t="s">
        <v>54</v>
      </c>
      <c r="AQ463" s="23">
        <v>0</v>
      </c>
      <c r="AR463" s="37">
        <v>0</v>
      </c>
      <c r="AS463" s="37">
        <v>0</v>
      </c>
      <c r="AT463" s="37">
        <v>4</v>
      </c>
      <c r="AU463" s="33" t="str">
        <f t="shared" si="10"/>
        <v>库存为4</v>
      </c>
      <c r="AV463" s="38" t="str">
        <f>IFERROR(时间!$B$4+AU463,"上周无销量")</f>
        <v>上周无销量</v>
      </c>
    </row>
    <row r="464" spans="1:48">
      <c r="A464" s="21" t="s">
        <v>1037</v>
      </c>
      <c r="B464" t="s">
        <v>1038</v>
      </c>
      <c r="C464" t="s">
        <v>1034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0</v>
      </c>
      <c r="J464" s="35">
        <v>0</v>
      </c>
      <c r="K464" s="35">
        <v>0</v>
      </c>
      <c r="L464" s="35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s">
        <v>54</v>
      </c>
      <c r="AO464" s="23" t="s">
        <v>54</v>
      </c>
      <c r="AP464" s="23" t="s">
        <v>54</v>
      </c>
      <c r="AQ464" s="23" t="s">
        <v>54</v>
      </c>
      <c r="AR464" s="37">
        <v>0</v>
      </c>
      <c r="AS464" s="37">
        <v>0</v>
      </c>
      <c r="AT464" s="37">
        <v>0</v>
      </c>
      <c r="AU464" s="33" t="str">
        <f t="shared" si="10"/>
        <v>库存为0</v>
      </c>
      <c r="AV464" s="38" t="str">
        <f>IFERROR(时间!$B$4+AU464,"上周无销量")</f>
        <v>上周无销量</v>
      </c>
    </row>
    <row r="465" spans="1:48">
      <c r="A465" s="21" t="s">
        <v>1039</v>
      </c>
      <c r="B465" t="s">
        <v>1040</v>
      </c>
      <c r="C465" t="s">
        <v>1041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1</v>
      </c>
      <c r="J465" s="35">
        <v>0</v>
      </c>
      <c r="K465" s="35">
        <v>0</v>
      </c>
      <c r="L465" s="35">
        <v>0</v>
      </c>
      <c r="M465">
        <v>1</v>
      </c>
      <c r="N465">
        <v>0</v>
      </c>
      <c r="O465">
        <v>1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2</v>
      </c>
      <c r="AK465">
        <v>0</v>
      </c>
      <c r="AL465">
        <v>0</v>
      </c>
      <c r="AM465">
        <v>0</v>
      </c>
      <c r="AN465" s="23">
        <v>0</v>
      </c>
      <c r="AO465" s="23" t="s">
        <v>54</v>
      </c>
      <c r="AP465" s="23" t="s">
        <v>54</v>
      </c>
      <c r="AQ465" s="23" t="s">
        <v>54</v>
      </c>
      <c r="AR465" s="37">
        <v>0</v>
      </c>
      <c r="AS465" s="37">
        <v>0</v>
      </c>
      <c r="AT465" s="37">
        <v>1</v>
      </c>
      <c r="AU465" s="33" t="str">
        <f t="shared" si="10"/>
        <v>库存为1</v>
      </c>
      <c r="AV465" s="38" t="str">
        <f>IFERROR(时间!$B$4+AU465,"上周无销量")</f>
        <v>上周无销量</v>
      </c>
    </row>
    <row r="466" spans="1:48">
      <c r="A466" s="21" t="s">
        <v>1042</v>
      </c>
      <c r="B466" t="s">
        <v>1043</v>
      </c>
      <c r="C466" t="s">
        <v>1041</v>
      </c>
      <c r="D466" s="33">
        <v>0</v>
      </c>
      <c r="E466" s="33">
        <v>0</v>
      </c>
      <c r="F466" s="33">
        <v>0</v>
      </c>
      <c r="G466" s="33">
        <v>0</v>
      </c>
      <c r="H466" s="34">
        <v>0</v>
      </c>
      <c r="I466">
        <v>1</v>
      </c>
      <c r="J466" s="35">
        <v>0</v>
      </c>
      <c r="K466" s="35">
        <v>0</v>
      </c>
      <c r="L466" s="35">
        <v>0</v>
      </c>
      <c r="M466">
        <v>1</v>
      </c>
      <c r="N466">
        <v>0</v>
      </c>
      <c r="O466">
        <v>1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3</v>
      </c>
      <c r="AK466">
        <v>0</v>
      </c>
      <c r="AL466">
        <v>0</v>
      </c>
      <c r="AM466">
        <v>0</v>
      </c>
      <c r="AN466" s="23">
        <v>0</v>
      </c>
      <c r="AO466" s="23" t="s">
        <v>54</v>
      </c>
      <c r="AP466" s="23" t="s">
        <v>54</v>
      </c>
      <c r="AQ466" s="23" t="s">
        <v>54</v>
      </c>
      <c r="AR466" s="37">
        <v>0</v>
      </c>
      <c r="AS466" s="37">
        <v>0</v>
      </c>
      <c r="AT466" s="37">
        <v>1</v>
      </c>
      <c r="AU466" s="33" t="str">
        <f t="shared" si="10"/>
        <v>库存为1</v>
      </c>
      <c r="AV466" s="38" t="str">
        <f>IFERROR(时间!$B$4+AU466,"上周无销量")</f>
        <v>上周无销量</v>
      </c>
    </row>
    <row r="467" spans="1:48">
      <c r="A467" s="21" t="s">
        <v>1044</v>
      </c>
      <c r="B467" t="s">
        <v>1045</v>
      </c>
      <c r="C467" t="s">
        <v>1041</v>
      </c>
      <c r="D467" s="33">
        <v>0</v>
      </c>
      <c r="E467" s="33">
        <v>0</v>
      </c>
      <c r="F467" s="33">
        <v>0</v>
      </c>
      <c r="G467" s="33">
        <v>0</v>
      </c>
      <c r="H467" s="34">
        <v>0</v>
      </c>
      <c r="I467">
        <v>2</v>
      </c>
      <c r="J467" s="35">
        <v>0</v>
      </c>
      <c r="K467" s="35">
        <v>0</v>
      </c>
      <c r="L467" s="35">
        <v>0</v>
      </c>
      <c r="M467">
        <v>2</v>
      </c>
      <c r="N467">
        <v>0</v>
      </c>
      <c r="O467">
        <v>2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3</v>
      </c>
      <c r="AK467">
        <v>0</v>
      </c>
      <c r="AL467">
        <v>0</v>
      </c>
      <c r="AM467">
        <v>1</v>
      </c>
      <c r="AN467" s="23">
        <v>0</v>
      </c>
      <c r="AO467" s="23" t="s">
        <v>54</v>
      </c>
      <c r="AP467" s="23" t="s">
        <v>54</v>
      </c>
      <c r="AQ467" s="23">
        <v>0</v>
      </c>
      <c r="AR467" s="37">
        <v>0</v>
      </c>
      <c r="AS467" s="37">
        <v>0</v>
      </c>
      <c r="AT467" s="37">
        <v>2</v>
      </c>
      <c r="AU467" s="33" t="str">
        <f t="shared" si="10"/>
        <v>库存为2</v>
      </c>
      <c r="AV467" s="38" t="str">
        <f>IFERROR(时间!$B$4+AU467,"上周无销量")</f>
        <v>上周无销量</v>
      </c>
    </row>
    <row r="468" spans="1:48">
      <c r="A468" s="21" t="s">
        <v>1046</v>
      </c>
      <c r="B468" t="s">
        <v>1047</v>
      </c>
      <c r="C468" t="s">
        <v>1041</v>
      </c>
      <c r="D468" s="33">
        <v>0</v>
      </c>
      <c r="E468" s="33">
        <v>0</v>
      </c>
      <c r="F468" s="33">
        <v>0</v>
      </c>
      <c r="G468" s="33">
        <v>0</v>
      </c>
      <c r="H468" s="34">
        <v>0</v>
      </c>
      <c r="I468">
        <v>1</v>
      </c>
      <c r="J468" s="35">
        <v>0</v>
      </c>
      <c r="K468" s="35">
        <v>0</v>
      </c>
      <c r="L468" s="35">
        <v>0</v>
      </c>
      <c r="M468">
        <v>1</v>
      </c>
      <c r="N468">
        <v>0</v>
      </c>
      <c r="O468">
        <v>1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4</v>
      </c>
      <c r="AK468">
        <v>1</v>
      </c>
      <c r="AL468">
        <v>1</v>
      </c>
      <c r="AM468">
        <v>1</v>
      </c>
      <c r="AN468" s="23">
        <v>0</v>
      </c>
      <c r="AO468" s="23">
        <v>0</v>
      </c>
      <c r="AP468" s="23">
        <v>0</v>
      </c>
      <c r="AQ468" s="23">
        <v>0</v>
      </c>
      <c r="AR468" s="37">
        <v>0</v>
      </c>
      <c r="AS468" s="37">
        <v>0</v>
      </c>
      <c r="AT468" s="37">
        <v>1</v>
      </c>
      <c r="AU468" s="33" t="str">
        <f t="shared" si="10"/>
        <v>库存为1</v>
      </c>
      <c r="AV468" s="38" t="str">
        <f>IFERROR(时间!$B$4+AU468,"上周无销量")</f>
        <v>上周无销量</v>
      </c>
    </row>
    <row r="469" spans="1:48">
      <c r="A469" s="21" t="s">
        <v>1048</v>
      </c>
      <c r="B469" t="s">
        <v>1049</v>
      </c>
      <c r="C469" t="s">
        <v>1050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1</v>
      </c>
      <c r="J469" s="35">
        <v>0</v>
      </c>
      <c r="K469" s="35">
        <v>0</v>
      </c>
      <c r="L469" s="35">
        <v>0</v>
      </c>
      <c r="M469">
        <v>1</v>
      </c>
      <c r="N469">
        <v>0</v>
      </c>
      <c r="O469">
        <v>1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2</v>
      </c>
      <c r="AK469">
        <v>1</v>
      </c>
      <c r="AL469">
        <v>1</v>
      </c>
      <c r="AM469">
        <v>1</v>
      </c>
      <c r="AN469" s="23">
        <v>0</v>
      </c>
      <c r="AO469" s="23">
        <v>0</v>
      </c>
      <c r="AP469" s="23">
        <v>0</v>
      </c>
      <c r="AQ469" s="23">
        <v>0</v>
      </c>
      <c r="AR469" s="37">
        <v>0</v>
      </c>
      <c r="AS469" s="37">
        <v>0</v>
      </c>
      <c r="AT469" s="37">
        <v>1</v>
      </c>
      <c r="AU469" s="33" t="str">
        <f t="shared" si="10"/>
        <v>库存为1</v>
      </c>
      <c r="AV469" s="38" t="str">
        <f>IFERROR(时间!$B$4+AU469,"上周无销量")</f>
        <v>上周无销量</v>
      </c>
    </row>
    <row r="470" spans="1:48">
      <c r="A470" s="21" t="s">
        <v>1051</v>
      </c>
      <c r="B470" t="s">
        <v>1052</v>
      </c>
      <c r="C470" t="s">
        <v>1050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2</v>
      </c>
      <c r="J470" s="35">
        <v>0</v>
      </c>
      <c r="K470" s="35">
        <v>0</v>
      </c>
      <c r="L470" s="35">
        <v>0</v>
      </c>
      <c r="M470">
        <v>2</v>
      </c>
      <c r="N470">
        <v>0</v>
      </c>
      <c r="O470">
        <v>2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3</v>
      </c>
      <c r="AK470">
        <v>0</v>
      </c>
      <c r="AL470">
        <v>0</v>
      </c>
      <c r="AM470">
        <v>2</v>
      </c>
      <c r="AN470" s="23">
        <v>0</v>
      </c>
      <c r="AO470" s="23" t="s">
        <v>54</v>
      </c>
      <c r="AP470" s="23" t="s">
        <v>54</v>
      </c>
      <c r="AQ470" s="23">
        <v>0</v>
      </c>
      <c r="AR470" s="37">
        <v>0</v>
      </c>
      <c r="AS470" s="37">
        <v>0</v>
      </c>
      <c r="AT470" s="37">
        <v>2</v>
      </c>
      <c r="AU470" s="33" t="str">
        <f t="shared" si="10"/>
        <v>库存为2</v>
      </c>
      <c r="AV470" s="38" t="str">
        <f>IFERROR(时间!$B$4+AU470,"上周无销量")</f>
        <v>上周无销量</v>
      </c>
    </row>
    <row r="471" spans="1:48">
      <c r="A471" s="21" t="s">
        <v>1053</v>
      </c>
      <c r="B471" t="s">
        <v>1054</v>
      </c>
      <c r="C471" t="s">
        <v>1050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1</v>
      </c>
      <c r="J471" s="35">
        <v>0</v>
      </c>
      <c r="K471" s="35">
        <v>0</v>
      </c>
      <c r="L471" s="35">
        <v>0</v>
      </c>
      <c r="M471">
        <v>1</v>
      </c>
      <c r="N471">
        <v>0</v>
      </c>
      <c r="O471">
        <v>1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2</v>
      </c>
      <c r="AK471">
        <v>1</v>
      </c>
      <c r="AL471">
        <v>1</v>
      </c>
      <c r="AM471">
        <v>0</v>
      </c>
      <c r="AN471" s="23">
        <v>0</v>
      </c>
      <c r="AO471" s="23">
        <v>0</v>
      </c>
      <c r="AP471" s="23">
        <v>0</v>
      </c>
      <c r="AQ471" s="23" t="s">
        <v>54</v>
      </c>
      <c r="AR471" s="37">
        <v>0</v>
      </c>
      <c r="AS471" s="37">
        <v>0</v>
      </c>
      <c r="AT471" s="37">
        <v>1</v>
      </c>
      <c r="AU471" s="33" t="str">
        <f t="shared" si="10"/>
        <v>库存为1</v>
      </c>
      <c r="AV471" s="38" t="str">
        <f>IFERROR(时间!$B$4+AU471,"上周无销量")</f>
        <v>上周无销量</v>
      </c>
    </row>
    <row r="472" spans="1:48">
      <c r="A472" s="21" t="s">
        <v>1055</v>
      </c>
      <c r="B472" t="s">
        <v>1056</v>
      </c>
      <c r="C472" t="s">
        <v>1050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2</v>
      </c>
      <c r="J472" s="35">
        <v>0</v>
      </c>
      <c r="K472" s="35">
        <v>0</v>
      </c>
      <c r="L472" s="35">
        <v>0</v>
      </c>
      <c r="M472">
        <v>2</v>
      </c>
      <c r="N472">
        <v>0</v>
      </c>
      <c r="O472">
        <v>2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2</v>
      </c>
      <c r="AK472">
        <v>0</v>
      </c>
      <c r="AL472">
        <v>0</v>
      </c>
      <c r="AM472">
        <v>1</v>
      </c>
      <c r="AN472" s="23">
        <v>0</v>
      </c>
      <c r="AO472" s="23" t="s">
        <v>54</v>
      </c>
      <c r="AP472" s="23" t="s">
        <v>54</v>
      </c>
      <c r="AQ472" s="23">
        <v>0</v>
      </c>
      <c r="AR472" s="37">
        <v>0</v>
      </c>
      <c r="AS472" s="37">
        <v>0</v>
      </c>
      <c r="AT472" s="37">
        <v>2</v>
      </c>
      <c r="AU472" s="33" t="str">
        <f t="shared" si="10"/>
        <v>库存为2</v>
      </c>
      <c r="AV472" s="38" t="str">
        <f>IFERROR(时间!$B$4+AU472,"上周无销量")</f>
        <v>上周无销量</v>
      </c>
    </row>
    <row r="473" spans="1:48">
      <c r="A473" s="21" t="s">
        <v>1057</v>
      </c>
      <c r="B473" t="s">
        <v>1058</v>
      </c>
      <c r="C473" t="s">
        <v>1050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2</v>
      </c>
      <c r="J473" s="35">
        <v>0</v>
      </c>
      <c r="K473" s="35">
        <v>0</v>
      </c>
      <c r="L473" s="35">
        <v>0</v>
      </c>
      <c r="M473">
        <v>2</v>
      </c>
      <c r="N473">
        <v>0</v>
      </c>
      <c r="O473">
        <v>2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2</v>
      </c>
      <c r="AK473">
        <v>1</v>
      </c>
      <c r="AL473">
        <v>1</v>
      </c>
      <c r="AM473">
        <v>0</v>
      </c>
      <c r="AN473" s="23">
        <v>0</v>
      </c>
      <c r="AO473" s="23">
        <v>0</v>
      </c>
      <c r="AP473" s="23">
        <v>0</v>
      </c>
      <c r="AQ473" s="23" t="s">
        <v>54</v>
      </c>
      <c r="AR473" s="37">
        <v>0</v>
      </c>
      <c r="AS473" s="37">
        <v>0</v>
      </c>
      <c r="AT473" s="37">
        <v>2</v>
      </c>
      <c r="AU473" s="33" t="str">
        <f t="shared" si="10"/>
        <v>库存为2</v>
      </c>
      <c r="AV473" s="38" t="str">
        <f>IFERROR(时间!$B$4+AU473,"上周无销量")</f>
        <v>上周无销量</v>
      </c>
    </row>
    <row r="474" spans="1:48">
      <c r="A474" s="21" t="s">
        <v>1059</v>
      </c>
      <c r="B474" t="s">
        <v>1060</v>
      </c>
      <c r="C474" t="s">
        <v>1061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3</v>
      </c>
      <c r="J474" s="35">
        <v>0</v>
      </c>
      <c r="K474" s="35">
        <v>0</v>
      </c>
      <c r="L474" s="35">
        <v>0</v>
      </c>
      <c r="M474">
        <v>3</v>
      </c>
      <c r="N474">
        <v>0</v>
      </c>
      <c r="O474">
        <v>3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3</v>
      </c>
      <c r="AK474">
        <v>2</v>
      </c>
      <c r="AL474">
        <v>2</v>
      </c>
      <c r="AM474">
        <v>1</v>
      </c>
      <c r="AN474" s="23">
        <v>0</v>
      </c>
      <c r="AO474" s="23">
        <v>0</v>
      </c>
      <c r="AP474" s="23">
        <v>0</v>
      </c>
      <c r="AQ474" s="23">
        <v>0</v>
      </c>
      <c r="AR474" s="37">
        <v>0</v>
      </c>
      <c r="AS474" s="37">
        <v>0</v>
      </c>
      <c r="AT474" s="37">
        <v>3</v>
      </c>
      <c r="AU474" s="33" t="str">
        <f t="shared" si="10"/>
        <v>库存为3</v>
      </c>
      <c r="AV474" s="38" t="str">
        <f>IFERROR(时间!$B$4+AU474,"上周无销量")</f>
        <v>上周无销量</v>
      </c>
    </row>
    <row r="475" spans="1:48">
      <c r="A475" s="21" t="s">
        <v>1062</v>
      </c>
      <c r="B475" t="s">
        <v>1063</v>
      </c>
      <c r="C475" t="s">
        <v>1061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2</v>
      </c>
      <c r="J475" s="35">
        <v>0</v>
      </c>
      <c r="K475" s="35">
        <v>0</v>
      </c>
      <c r="L475" s="35">
        <v>0</v>
      </c>
      <c r="M475">
        <v>2</v>
      </c>
      <c r="N475">
        <v>0</v>
      </c>
      <c r="O475">
        <v>2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4</v>
      </c>
      <c r="AK475">
        <v>1</v>
      </c>
      <c r="AL475">
        <v>1</v>
      </c>
      <c r="AM475">
        <v>1</v>
      </c>
      <c r="AN475" s="23">
        <v>0</v>
      </c>
      <c r="AO475" s="23">
        <v>0</v>
      </c>
      <c r="AP475" s="23">
        <v>0</v>
      </c>
      <c r="AQ475" s="23">
        <v>0</v>
      </c>
      <c r="AR475" s="37">
        <v>0</v>
      </c>
      <c r="AS475" s="37">
        <v>0</v>
      </c>
      <c r="AT475" s="37">
        <v>2</v>
      </c>
      <c r="AU475" s="33" t="str">
        <f t="shared" si="10"/>
        <v>库存为2</v>
      </c>
      <c r="AV475" s="38" t="str">
        <f>IFERROR(时间!$B$4+AU475,"上周无销量")</f>
        <v>上周无销量</v>
      </c>
    </row>
    <row r="476" spans="1:48">
      <c r="A476" s="21" t="s">
        <v>1064</v>
      </c>
      <c r="B476" t="s">
        <v>1065</v>
      </c>
      <c r="C476" t="s">
        <v>1066</v>
      </c>
      <c r="D476" s="33">
        <v>1</v>
      </c>
      <c r="E476" s="33">
        <v>0</v>
      </c>
      <c r="F476" s="33">
        <v>0</v>
      </c>
      <c r="G476" s="33">
        <v>0</v>
      </c>
      <c r="H476" s="34">
        <v>16.99</v>
      </c>
      <c r="I476">
        <v>1</v>
      </c>
      <c r="J476" s="35">
        <v>0</v>
      </c>
      <c r="K476" s="35">
        <v>0</v>
      </c>
      <c r="L476" s="35">
        <v>0</v>
      </c>
      <c r="M476">
        <v>1</v>
      </c>
      <c r="N476">
        <v>0</v>
      </c>
      <c r="O476">
        <v>1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4</v>
      </c>
      <c r="AK476">
        <v>1</v>
      </c>
      <c r="AL476">
        <v>1</v>
      </c>
      <c r="AM476">
        <v>1</v>
      </c>
      <c r="AN476" s="23">
        <v>0.25</v>
      </c>
      <c r="AO476" s="23">
        <v>0</v>
      </c>
      <c r="AP476" s="23">
        <v>0</v>
      </c>
      <c r="AQ476" s="23">
        <v>0</v>
      </c>
      <c r="AR476" s="37">
        <v>0.142857142857143</v>
      </c>
      <c r="AS476" s="37">
        <v>8.57142857142857</v>
      </c>
      <c r="AT476" s="37">
        <v>-7.57142857142857</v>
      </c>
      <c r="AU476" s="33">
        <f t="shared" si="10"/>
        <v>7</v>
      </c>
      <c r="AV476" s="38">
        <f>IFERROR(时间!$B$4+AU476,"上周无销量")</f>
        <v>43297</v>
      </c>
    </row>
    <row r="477" spans="1:48">
      <c r="A477" s="21" t="s">
        <v>1067</v>
      </c>
      <c r="B477" t="s">
        <v>1068</v>
      </c>
      <c r="C477" t="s">
        <v>1066</v>
      </c>
      <c r="D477" s="33">
        <v>1</v>
      </c>
      <c r="E477" s="33">
        <v>0</v>
      </c>
      <c r="F477" s="33">
        <v>0</v>
      </c>
      <c r="G477" s="33">
        <v>0</v>
      </c>
      <c r="H477" s="34">
        <v>16.99</v>
      </c>
      <c r="I477">
        <v>1</v>
      </c>
      <c r="J477" s="35">
        <v>0</v>
      </c>
      <c r="K477" s="35">
        <v>0</v>
      </c>
      <c r="L477" s="35">
        <v>0</v>
      </c>
      <c r="M477">
        <v>1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1</v>
      </c>
      <c r="AK477">
        <v>3</v>
      </c>
      <c r="AL477">
        <v>3</v>
      </c>
      <c r="AM477">
        <v>0</v>
      </c>
      <c r="AN477" s="23">
        <v>1</v>
      </c>
      <c r="AO477" s="23">
        <v>0</v>
      </c>
      <c r="AP477" s="23">
        <v>0</v>
      </c>
      <c r="AQ477" s="23" t="s">
        <v>54</v>
      </c>
      <c r="AR477" s="37">
        <v>0.142857142857143</v>
      </c>
      <c r="AS477" s="37">
        <v>8.57142857142857</v>
      </c>
      <c r="AT477" s="37">
        <v>-7.57142857142857</v>
      </c>
      <c r="AU477" s="33">
        <f t="shared" si="10"/>
        <v>7</v>
      </c>
      <c r="AV477" s="38">
        <f>IFERROR(时间!$B$4+AU477,"上周无销量")</f>
        <v>43297</v>
      </c>
    </row>
    <row r="478" spans="1:48">
      <c r="A478" s="21" t="s">
        <v>1069</v>
      </c>
      <c r="B478" t="s">
        <v>1070</v>
      </c>
      <c r="C478" t="s">
        <v>1066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3</v>
      </c>
      <c r="J478" s="35">
        <v>0</v>
      </c>
      <c r="K478" s="35">
        <v>0</v>
      </c>
      <c r="L478" s="35">
        <v>0</v>
      </c>
      <c r="M478">
        <v>3</v>
      </c>
      <c r="N478">
        <v>0</v>
      </c>
      <c r="O478">
        <v>3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4</v>
      </c>
      <c r="AK478">
        <v>5</v>
      </c>
      <c r="AL478">
        <v>5</v>
      </c>
      <c r="AM478">
        <v>4</v>
      </c>
      <c r="AN478" s="23">
        <v>0</v>
      </c>
      <c r="AO478" s="23">
        <v>0</v>
      </c>
      <c r="AP478" s="23">
        <v>0</v>
      </c>
      <c r="AQ478" s="23">
        <v>0</v>
      </c>
      <c r="AR478" s="37">
        <v>0</v>
      </c>
      <c r="AS478" s="37">
        <v>0</v>
      </c>
      <c r="AT478" s="37">
        <v>3</v>
      </c>
      <c r="AU478" s="33" t="str">
        <f t="shared" si="10"/>
        <v>库存为3</v>
      </c>
      <c r="AV478" s="38" t="str">
        <f>IFERROR(时间!$B$4+AU478,"上周无销量")</f>
        <v>上周无销量</v>
      </c>
    </row>
    <row r="479" spans="1:48">
      <c r="A479" s="21" t="s">
        <v>1071</v>
      </c>
      <c r="B479" t="s">
        <v>1072</v>
      </c>
      <c r="C479" t="s">
        <v>1066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1</v>
      </c>
      <c r="J479" s="35">
        <v>0</v>
      </c>
      <c r="K479" s="35">
        <v>0</v>
      </c>
      <c r="L479" s="35">
        <v>0</v>
      </c>
      <c r="M479">
        <v>1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s">
        <v>54</v>
      </c>
      <c r="AO479" s="23" t="s">
        <v>54</v>
      </c>
      <c r="AP479" s="23" t="s">
        <v>54</v>
      </c>
      <c r="AQ479" s="23" t="s">
        <v>54</v>
      </c>
      <c r="AR479" s="37">
        <v>0</v>
      </c>
      <c r="AS479" s="37">
        <v>0</v>
      </c>
      <c r="AT479" s="37">
        <v>1</v>
      </c>
      <c r="AU479" s="33" t="str">
        <f t="shared" si="10"/>
        <v>库存为1</v>
      </c>
      <c r="AV479" s="38" t="str">
        <f>IFERROR(时间!$B$4+AU479,"上周无销量")</f>
        <v>上周无销量</v>
      </c>
    </row>
    <row r="480" spans="1:48">
      <c r="A480" s="21" t="s">
        <v>1073</v>
      </c>
      <c r="B480" t="s">
        <v>1074</v>
      </c>
      <c r="C480" t="s">
        <v>1066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0</v>
      </c>
      <c r="J480" s="35">
        <v>0</v>
      </c>
      <c r="K480" s="35">
        <v>0</v>
      </c>
      <c r="L480" s="35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s">
        <v>54</v>
      </c>
      <c r="AO480" s="23" t="s">
        <v>54</v>
      </c>
      <c r="AP480" s="23" t="s">
        <v>54</v>
      </c>
      <c r="AQ480" s="23" t="s">
        <v>54</v>
      </c>
      <c r="AR480" s="37">
        <v>0</v>
      </c>
      <c r="AS480" s="37">
        <v>0</v>
      </c>
      <c r="AT480" s="37">
        <v>0</v>
      </c>
      <c r="AU480" s="33" t="str">
        <f t="shared" si="10"/>
        <v>库存为0</v>
      </c>
      <c r="AV480" s="38" t="str">
        <f>IFERROR(时间!$B$4+AU480,"上周无销量")</f>
        <v>上周无销量</v>
      </c>
    </row>
    <row r="481" spans="1:48">
      <c r="A481" s="21" t="s">
        <v>1075</v>
      </c>
      <c r="B481" t="s">
        <v>1076</v>
      </c>
      <c r="C481" t="s">
        <v>1066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0</v>
      </c>
      <c r="J481" s="35">
        <v>0</v>
      </c>
      <c r="K481" s="35">
        <v>0</v>
      </c>
      <c r="L481" s="35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7">
        <v>0</v>
      </c>
      <c r="AS481" s="37">
        <v>0</v>
      </c>
      <c r="AT481" s="37">
        <v>0</v>
      </c>
      <c r="AU481" s="33" t="str">
        <f t="shared" si="10"/>
        <v>库存为0</v>
      </c>
      <c r="AV481" s="38" t="str">
        <f>IFERROR(时间!$B$4+AU481,"上周无销量")</f>
        <v>上周无销量</v>
      </c>
    </row>
    <row r="482" spans="1:48">
      <c r="A482" s="21" t="s">
        <v>1077</v>
      </c>
      <c r="B482" t="s">
        <v>1078</v>
      </c>
      <c r="C482" t="s">
        <v>1066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0</v>
      </c>
      <c r="J482" s="35">
        <v>0</v>
      </c>
      <c r="K482" s="35">
        <v>0</v>
      </c>
      <c r="L482" s="35">
        <v>0</v>
      </c>
      <c r="M482">
        <v>0</v>
      </c>
      <c r="N482">
        <v>1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s">
        <v>54</v>
      </c>
      <c r="AO482" s="23" t="s">
        <v>54</v>
      </c>
      <c r="AP482" s="23" t="s">
        <v>54</v>
      </c>
      <c r="AQ482" s="23" t="s">
        <v>54</v>
      </c>
      <c r="AR482" s="37">
        <v>0</v>
      </c>
      <c r="AS482" s="37">
        <v>0</v>
      </c>
      <c r="AT482" s="37">
        <v>0</v>
      </c>
      <c r="AU482" s="33" t="str">
        <f t="shared" si="10"/>
        <v>库存为0</v>
      </c>
      <c r="AV482" s="38" t="str">
        <f>IFERROR(时间!$B$4+AU482,"上周无销量")</f>
        <v>上周无销量</v>
      </c>
    </row>
    <row r="483" spans="1:48">
      <c r="A483" s="21" t="s">
        <v>1079</v>
      </c>
      <c r="B483" t="s">
        <v>1080</v>
      </c>
      <c r="C483" t="s">
        <v>1081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1</v>
      </c>
      <c r="J483" s="35">
        <v>0</v>
      </c>
      <c r="K483" s="35">
        <v>0</v>
      </c>
      <c r="L483" s="35">
        <v>0</v>
      </c>
      <c r="M483">
        <v>1</v>
      </c>
      <c r="N483">
        <v>0</v>
      </c>
      <c r="O483">
        <v>1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3</v>
      </c>
      <c r="AK483">
        <v>0</v>
      </c>
      <c r="AL483">
        <v>0</v>
      </c>
      <c r="AM483">
        <v>0</v>
      </c>
      <c r="AN483" s="23">
        <v>0</v>
      </c>
      <c r="AO483" s="23" t="s">
        <v>54</v>
      </c>
      <c r="AP483" s="23" t="s">
        <v>54</v>
      </c>
      <c r="AQ483" s="23" t="s">
        <v>54</v>
      </c>
      <c r="AR483" s="37">
        <v>0</v>
      </c>
      <c r="AS483" s="37">
        <v>0</v>
      </c>
      <c r="AT483" s="37">
        <v>1</v>
      </c>
      <c r="AU483" s="33" t="str">
        <f t="shared" si="10"/>
        <v>库存为1</v>
      </c>
      <c r="AV483" s="38" t="str">
        <f>IFERROR(时间!$B$4+AU483,"上周无销量")</f>
        <v>上周无销量</v>
      </c>
    </row>
    <row r="484" spans="1:48">
      <c r="A484" s="21" t="s">
        <v>1082</v>
      </c>
      <c r="B484" t="s">
        <v>1083</v>
      </c>
      <c r="C484" t="s">
        <v>1081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0</v>
      </c>
      <c r="J484" s="35">
        <v>0</v>
      </c>
      <c r="K484" s="35">
        <v>0</v>
      </c>
      <c r="L484" s="35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7">
        <v>0</v>
      </c>
      <c r="AS484" s="37">
        <v>0</v>
      </c>
      <c r="AT484" s="37">
        <v>0</v>
      </c>
      <c r="AU484" s="33" t="str">
        <f t="shared" si="10"/>
        <v>库存为0</v>
      </c>
      <c r="AV484" s="38" t="str">
        <f>IFERROR(时间!$B$4+AU484,"上周无销量")</f>
        <v>上周无销量</v>
      </c>
    </row>
    <row r="485" spans="1:48">
      <c r="A485" s="21" t="s">
        <v>1084</v>
      </c>
      <c r="B485" t="s">
        <v>1085</v>
      </c>
      <c r="C485" t="s">
        <v>1081</v>
      </c>
      <c r="D485" s="33">
        <v>1</v>
      </c>
      <c r="E485" s="33">
        <v>0</v>
      </c>
      <c r="F485" s="33">
        <v>0</v>
      </c>
      <c r="G485" s="33">
        <v>0</v>
      </c>
      <c r="H485" s="34">
        <v>14.9</v>
      </c>
      <c r="I485">
        <v>0</v>
      </c>
      <c r="J485" s="35">
        <v>0</v>
      </c>
      <c r="K485" s="35">
        <v>0</v>
      </c>
      <c r="L485" s="35">
        <v>0</v>
      </c>
      <c r="M485">
        <v>0</v>
      </c>
      <c r="N485">
        <v>0</v>
      </c>
      <c r="O485">
        <v>1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1</v>
      </c>
      <c r="AK485">
        <v>1</v>
      </c>
      <c r="AL485">
        <v>1</v>
      </c>
      <c r="AM485">
        <v>0</v>
      </c>
      <c r="AN485" s="23">
        <v>1</v>
      </c>
      <c r="AO485" s="23">
        <v>0</v>
      </c>
      <c r="AP485" s="23">
        <v>0</v>
      </c>
      <c r="AQ485" s="23" t="s">
        <v>54</v>
      </c>
      <c r="AR485" s="37">
        <v>0.142857142857143</v>
      </c>
      <c r="AS485" s="37">
        <v>8.57142857142857</v>
      </c>
      <c r="AT485" s="37">
        <v>-8.57142857142857</v>
      </c>
      <c r="AU485" s="33">
        <f t="shared" si="10"/>
        <v>0</v>
      </c>
      <c r="AV485" s="38">
        <f>IFERROR(时间!$B$4+AU485,"上周无销量")</f>
        <v>43290</v>
      </c>
    </row>
    <row r="486" spans="1:48">
      <c r="A486" s="21" t="s">
        <v>1086</v>
      </c>
      <c r="B486" t="s">
        <v>1087</v>
      </c>
      <c r="C486" t="s">
        <v>1088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3</v>
      </c>
      <c r="J486" s="35">
        <v>0</v>
      </c>
      <c r="K486" s="35">
        <v>0</v>
      </c>
      <c r="L486" s="35">
        <v>0</v>
      </c>
      <c r="M486">
        <v>3</v>
      </c>
      <c r="N486">
        <v>0</v>
      </c>
      <c r="O486">
        <v>3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4</v>
      </c>
      <c r="AK486">
        <v>1</v>
      </c>
      <c r="AL486">
        <v>1</v>
      </c>
      <c r="AM486">
        <v>0</v>
      </c>
      <c r="AN486" s="23">
        <v>0</v>
      </c>
      <c r="AO486" s="23">
        <v>0</v>
      </c>
      <c r="AP486" s="23">
        <v>0</v>
      </c>
      <c r="AQ486" s="23" t="s">
        <v>54</v>
      </c>
      <c r="AR486" s="37">
        <v>0</v>
      </c>
      <c r="AS486" s="37">
        <v>0</v>
      </c>
      <c r="AT486" s="37">
        <v>3</v>
      </c>
      <c r="AU486" s="33" t="str">
        <f t="shared" si="10"/>
        <v>库存为3</v>
      </c>
      <c r="AV486" s="38" t="str">
        <f>IFERROR(时间!$B$4+AU486,"上周无销量")</f>
        <v>上周无销量</v>
      </c>
    </row>
    <row r="487" spans="1:48">
      <c r="A487" s="21" t="s">
        <v>1089</v>
      </c>
      <c r="B487" t="s">
        <v>1090</v>
      </c>
      <c r="C487" t="s">
        <v>1088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3</v>
      </c>
      <c r="J487" s="35">
        <v>0</v>
      </c>
      <c r="K487" s="35">
        <v>0</v>
      </c>
      <c r="L487" s="35">
        <v>0</v>
      </c>
      <c r="M487">
        <v>3</v>
      </c>
      <c r="N487">
        <v>0</v>
      </c>
      <c r="O487">
        <v>3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4</v>
      </c>
      <c r="AK487">
        <v>1</v>
      </c>
      <c r="AL487">
        <v>1</v>
      </c>
      <c r="AM487">
        <v>0</v>
      </c>
      <c r="AN487" s="23">
        <v>0</v>
      </c>
      <c r="AO487" s="23">
        <v>0</v>
      </c>
      <c r="AP487" s="23">
        <v>0</v>
      </c>
      <c r="AQ487" s="23" t="s">
        <v>54</v>
      </c>
      <c r="AR487" s="37">
        <v>0</v>
      </c>
      <c r="AS487" s="37">
        <v>0</v>
      </c>
      <c r="AT487" s="37">
        <v>3</v>
      </c>
      <c r="AU487" s="33" t="str">
        <f t="shared" si="10"/>
        <v>库存为3</v>
      </c>
      <c r="AV487" s="38" t="str">
        <f>IFERROR(时间!$B$4+AU487,"上周无销量")</f>
        <v>上周无销量</v>
      </c>
    </row>
    <row r="488" spans="1:48">
      <c r="A488" s="21" t="s">
        <v>1091</v>
      </c>
      <c r="B488" t="s">
        <v>1092</v>
      </c>
      <c r="C488" t="s">
        <v>1088</v>
      </c>
      <c r="D488" s="33">
        <v>0</v>
      </c>
      <c r="E488" s="33">
        <v>0</v>
      </c>
      <c r="F488" s="33">
        <v>0</v>
      </c>
      <c r="G488" s="33">
        <v>0</v>
      </c>
      <c r="H488" s="34">
        <v>0</v>
      </c>
      <c r="I488">
        <v>4</v>
      </c>
      <c r="J488" s="35">
        <v>0</v>
      </c>
      <c r="K488" s="35">
        <v>0</v>
      </c>
      <c r="L488" s="35">
        <v>0</v>
      </c>
      <c r="M488">
        <v>4</v>
      </c>
      <c r="N488">
        <v>0</v>
      </c>
      <c r="O488">
        <v>4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3</v>
      </c>
      <c r="AK488">
        <v>1</v>
      </c>
      <c r="AL488">
        <v>1</v>
      </c>
      <c r="AM488">
        <v>2</v>
      </c>
      <c r="AN488" s="23">
        <v>0</v>
      </c>
      <c r="AO488" s="23">
        <v>0</v>
      </c>
      <c r="AP488" s="23">
        <v>0</v>
      </c>
      <c r="AQ488" s="23">
        <v>0</v>
      </c>
      <c r="AR488" s="37">
        <v>0</v>
      </c>
      <c r="AS488" s="37">
        <v>0</v>
      </c>
      <c r="AT488" s="37">
        <v>4</v>
      </c>
      <c r="AU488" s="33" t="str">
        <f t="shared" si="10"/>
        <v>库存为4</v>
      </c>
      <c r="AV488" s="38" t="str">
        <f>IFERROR(时间!$B$4+AU488,"上周无销量")</f>
        <v>上周无销量</v>
      </c>
    </row>
    <row r="489" spans="1:48">
      <c r="A489" s="21" t="s">
        <v>1093</v>
      </c>
      <c r="B489" t="s">
        <v>1094</v>
      </c>
      <c r="C489" t="s">
        <v>1088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1</v>
      </c>
      <c r="J489" s="35">
        <v>0</v>
      </c>
      <c r="K489" s="35">
        <v>0</v>
      </c>
      <c r="L489" s="35">
        <v>0</v>
      </c>
      <c r="M489">
        <v>1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5</v>
      </c>
      <c r="AK489">
        <v>0</v>
      </c>
      <c r="AL489">
        <v>0</v>
      </c>
      <c r="AM489">
        <v>1</v>
      </c>
      <c r="AN489" s="23">
        <v>0</v>
      </c>
      <c r="AO489" s="23" t="s">
        <v>54</v>
      </c>
      <c r="AP489" s="23" t="s">
        <v>54</v>
      </c>
      <c r="AQ489" s="23">
        <v>0</v>
      </c>
      <c r="AR489" s="37">
        <v>0</v>
      </c>
      <c r="AS489" s="37">
        <v>0</v>
      </c>
      <c r="AT489" s="37">
        <v>1</v>
      </c>
      <c r="AU489" s="33" t="str">
        <f t="shared" si="10"/>
        <v>库存为1</v>
      </c>
      <c r="AV489" s="38" t="str">
        <f>IFERROR(时间!$B$4+AU489,"上周无销量")</f>
        <v>上周无销量</v>
      </c>
    </row>
    <row r="490" spans="1:48">
      <c r="A490" s="21" t="s">
        <v>1095</v>
      </c>
      <c r="B490" t="s">
        <v>1096</v>
      </c>
      <c r="C490" t="s">
        <v>1088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1</v>
      </c>
      <c r="J490" s="35">
        <v>0</v>
      </c>
      <c r="K490" s="35">
        <v>0</v>
      </c>
      <c r="L490" s="35">
        <v>0</v>
      </c>
      <c r="M490">
        <v>1</v>
      </c>
      <c r="N490">
        <v>0</v>
      </c>
      <c r="O490">
        <v>1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3</v>
      </c>
      <c r="AK490">
        <v>1</v>
      </c>
      <c r="AL490">
        <v>1</v>
      </c>
      <c r="AM490">
        <v>0</v>
      </c>
      <c r="AN490" s="23">
        <v>0</v>
      </c>
      <c r="AO490" s="23">
        <v>0</v>
      </c>
      <c r="AP490" s="23">
        <v>0</v>
      </c>
      <c r="AQ490" s="23" t="s">
        <v>54</v>
      </c>
      <c r="AR490" s="37">
        <v>0</v>
      </c>
      <c r="AS490" s="37">
        <v>0</v>
      </c>
      <c r="AT490" s="37">
        <v>1</v>
      </c>
      <c r="AU490" s="33" t="str">
        <f t="shared" si="10"/>
        <v>库存为1</v>
      </c>
      <c r="AV490" s="38" t="str">
        <f>IFERROR(时间!$B$4+AU490,"上周无销量")</f>
        <v>上周无销量</v>
      </c>
    </row>
    <row r="491" spans="1:48">
      <c r="A491" s="21" t="s">
        <v>1097</v>
      </c>
      <c r="B491" t="s">
        <v>1098</v>
      </c>
      <c r="C491" t="s">
        <v>1088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6</v>
      </c>
      <c r="J491" s="35">
        <v>0</v>
      </c>
      <c r="K491" s="35">
        <v>0</v>
      </c>
      <c r="L491" s="35">
        <v>0</v>
      </c>
      <c r="M491">
        <v>6</v>
      </c>
      <c r="N491">
        <v>0</v>
      </c>
      <c r="O491">
        <v>6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4</v>
      </c>
      <c r="AK491">
        <v>1</v>
      </c>
      <c r="AL491">
        <v>1</v>
      </c>
      <c r="AM491">
        <v>0</v>
      </c>
      <c r="AN491" s="23">
        <v>0</v>
      </c>
      <c r="AO491" s="23">
        <v>0</v>
      </c>
      <c r="AP491" s="23">
        <v>0</v>
      </c>
      <c r="AQ491" s="23" t="s">
        <v>54</v>
      </c>
      <c r="AR491" s="37">
        <v>0</v>
      </c>
      <c r="AS491" s="37">
        <v>0</v>
      </c>
      <c r="AT491" s="37">
        <v>6</v>
      </c>
      <c r="AU491" s="33" t="str">
        <f t="shared" si="10"/>
        <v>库存为6</v>
      </c>
      <c r="AV491" s="38" t="str">
        <f>IFERROR(时间!$B$4+AU491,"上周无销量")</f>
        <v>上周无销量</v>
      </c>
    </row>
    <row r="492" spans="1:48">
      <c r="A492" s="21" t="s">
        <v>1099</v>
      </c>
      <c r="B492" t="s">
        <v>1100</v>
      </c>
      <c r="C492" t="s">
        <v>1088</v>
      </c>
      <c r="D492" s="33">
        <v>0</v>
      </c>
      <c r="E492" s="33">
        <v>0</v>
      </c>
      <c r="F492" s="33">
        <v>0</v>
      </c>
      <c r="G492" s="33">
        <v>0</v>
      </c>
      <c r="H492" s="34">
        <v>0</v>
      </c>
      <c r="I492">
        <v>4</v>
      </c>
      <c r="J492" s="35">
        <v>0</v>
      </c>
      <c r="K492" s="35">
        <v>0</v>
      </c>
      <c r="L492" s="35">
        <v>0</v>
      </c>
      <c r="M492">
        <v>4</v>
      </c>
      <c r="N492">
        <v>0</v>
      </c>
      <c r="O492">
        <v>4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3</v>
      </c>
      <c r="AK492">
        <v>0</v>
      </c>
      <c r="AL492">
        <v>0</v>
      </c>
      <c r="AM492">
        <v>0</v>
      </c>
      <c r="AN492" s="23">
        <v>0</v>
      </c>
      <c r="AO492" s="23" t="s">
        <v>54</v>
      </c>
      <c r="AP492" s="23" t="s">
        <v>54</v>
      </c>
      <c r="AQ492" s="23" t="s">
        <v>54</v>
      </c>
      <c r="AR492" s="37">
        <v>0</v>
      </c>
      <c r="AS492" s="37">
        <v>0</v>
      </c>
      <c r="AT492" s="37">
        <v>4</v>
      </c>
      <c r="AU492" s="33" t="str">
        <f t="shared" si="10"/>
        <v>库存为4</v>
      </c>
      <c r="AV492" s="38" t="str">
        <f>IFERROR(时间!$B$4+AU492,"上周无销量")</f>
        <v>上周无销量</v>
      </c>
    </row>
    <row r="493" spans="1:48">
      <c r="A493" s="21" t="s">
        <v>1101</v>
      </c>
      <c r="B493" t="s">
        <v>1102</v>
      </c>
      <c r="C493" t="s">
        <v>1088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5</v>
      </c>
      <c r="J493" s="35">
        <v>0</v>
      </c>
      <c r="K493" s="35">
        <v>0</v>
      </c>
      <c r="L493" s="35">
        <v>0</v>
      </c>
      <c r="M493">
        <v>5</v>
      </c>
      <c r="N493">
        <v>0</v>
      </c>
      <c r="O493">
        <v>4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3</v>
      </c>
      <c r="AK493">
        <v>2</v>
      </c>
      <c r="AL493">
        <v>2</v>
      </c>
      <c r="AM493">
        <v>2</v>
      </c>
      <c r="AN493" s="23">
        <v>0</v>
      </c>
      <c r="AO493" s="23">
        <v>0</v>
      </c>
      <c r="AP493" s="23">
        <v>0</v>
      </c>
      <c r="AQ493" s="23">
        <v>0</v>
      </c>
      <c r="AR493" s="37">
        <v>0</v>
      </c>
      <c r="AS493" s="37">
        <v>0</v>
      </c>
      <c r="AT493" s="37">
        <v>5</v>
      </c>
      <c r="AU493" s="33" t="str">
        <f t="shared" si="10"/>
        <v>库存为5</v>
      </c>
      <c r="AV493" s="38" t="str">
        <f>IFERROR(时间!$B$4+AU493,"上周无销量")</f>
        <v>上周无销量</v>
      </c>
    </row>
    <row r="494" spans="1:48">
      <c r="A494" s="21" t="s">
        <v>1103</v>
      </c>
      <c r="B494" t="s">
        <v>1104</v>
      </c>
      <c r="C494" t="s">
        <v>1105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3</v>
      </c>
      <c r="J494" s="35">
        <v>0</v>
      </c>
      <c r="K494" s="35">
        <v>0</v>
      </c>
      <c r="L494" s="35">
        <v>0</v>
      </c>
      <c r="M494">
        <v>3</v>
      </c>
      <c r="N494">
        <v>0</v>
      </c>
      <c r="O494">
        <v>3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1</v>
      </c>
      <c r="AK494">
        <v>1</v>
      </c>
      <c r="AL494">
        <v>1</v>
      </c>
      <c r="AM494">
        <v>0</v>
      </c>
      <c r="AN494" s="23">
        <v>0</v>
      </c>
      <c r="AO494" s="23">
        <v>0</v>
      </c>
      <c r="AP494" s="23">
        <v>0</v>
      </c>
      <c r="AQ494" s="23" t="s">
        <v>54</v>
      </c>
      <c r="AR494" s="37">
        <v>0</v>
      </c>
      <c r="AS494" s="37">
        <v>0</v>
      </c>
      <c r="AT494" s="37">
        <v>3</v>
      </c>
      <c r="AU494" s="33" t="str">
        <f t="shared" si="10"/>
        <v>库存为3</v>
      </c>
      <c r="AV494" s="38" t="str">
        <f>IFERROR(时间!$B$4+AU494,"上周无销量")</f>
        <v>上周无销量</v>
      </c>
    </row>
    <row r="495" spans="1:48">
      <c r="A495" s="21" t="s">
        <v>1106</v>
      </c>
      <c r="B495" t="s">
        <v>1107</v>
      </c>
      <c r="C495" t="s">
        <v>1105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2</v>
      </c>
      <c r="J495" s="35">
        <v>0</v>
      </c>
      <c r="K495" s="35">
        <v>0</v>
      </c>
      <c r="L495" s="35">
        <v>0</v>
      </c>
      <c r="M495">
        <v>2</v>
      </c>
      <c r="N495">
        <v>0</v>
      </c>
      <c r="O495">
        <v>2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4</v>
      </c>
      <c r="AK495">
        <v>2</v>
      </c>
      <c r="AL495">
        <v>2</v>
      </c>
      <c r="AM495">
        <v>7</v>
      </c>
      <c r="AN495" s="23">
        <v>0</v>
      </c>
      <c r="AO495" s="23">
        <v>0</v>
      </c>
      <c r="AP495" s="23">
        <v>0</v>
      </c>
      <c r="AQ495" s="23">
        <v>0</v>
      </c>
      <c r="AR495" s="37">
        <v>0</v>
      </c>
      <c r="AS495" s="37">
        <v>0</v>
      </c>
      <c r="AT495" s="37">
        <v>2</v>
      </c>
      <c r="AU495" s="33" t="str">
        <f t="shared" si="10"/>
        <v>库存为2</v>
      </c>
      <c r="AV495" s="38" t="str">
        <f>IFERROR(时间!$B$4+AU495,"上周无销量")</f>
        <v>上周无销量</v>
      </c>
    </row>
    <row r="496" spans="1:48">
      <c r="A496" s="21" t="s">
        <v>1108</v>
      </c>
      <c r="B496" t="s">
        <v>1109</v>
      </c>
      <c r="C496" t="s">
        <v>1110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2</v>
      </c>
      <c r="J496" s="35">
        <v>0</v>
      </c>
      <c r="K496" s="35">
        <v>0</v>
      </c>
      <c r="L496" s="35">
        <v>0</v>
      </c>
      <c r="M496">
        <v>2</v>
      </c>
      <c r="N496">
        <v>0</v>
      </c>
      <c r="O496">
        <v>2</v>
      </c>
      <c r="P496">
        <v>14</v>
      </c>
      <c r="Q496">
        <v>36</v>
      </c>
      <c r="R496">
        <v>1518</v>
      </c>
      <c r="S496">
        <v>3413</v>
      </c>
      <c r="T496">
        <v>0</v>
      </c>
      <c r="U496">
        <v>0</v>
      </c>
      <c r="V496">
        <v>17</v>
      </c>
      <c r="W496">
        <v>18</v>
      </c>
      <c r="X496" s="23">
        <v>0</v>
      </c>
      <c r="Y496" s="23">
        <v>0</v>
      </c>
      <c r="Z496" s="23">
        <v>0.0111989459815547</v>
      </c>
      <c r="AA496" s="23">
        <v>0.00527395253442719</v>
      </c>
      <c r="AB496">
        <v>0</v>
      </c>
      <c r="AC496">
        <v>0</v>
      </c>
      <c r="AD496">
        <v>4.34</v>
      </c>
      <c r="AE496">
        <v>3.94</v>
      </c>
      <c r="AF496" s="23" t="s">
        <v>54</v>
      </c>
      <c r="AG496" s="23" t="s">
        <v>54</v>
      </c>
      <c r="AH496" s="23">
        <v>0</v>
      </c>
      <c r="AI496" s="23">
        <v>0</v>
      </c>
      <c r="AJ496">
        <v>1</v>
      </c>
      <c r="AK496">
        <v>4</v>
      </c>
      <c r="AL496">
        <v>4</v>
      </c>
      <c r="AM496">
        <v>6</v>
      </c>
      <c r="AN496" s="23">
        <v>0</v>
      </c>
      <c r="AO496" s="23">
        <v>0</v>
      </c>
      <c r="AP496" s="23">
        <v>0</v>
      </c>
      <c r="AQ496" s="23">
        <v>0</v>
      </c>
      <c r="AR496" s="37">
        <v>0</v>
      </c>
      <c r="AS496" s="37">
        <v>0</v>
      </c>
      <c r="AT496" s="37">
        <v>2</v>
      </c>
      <c r="AU496" s="33" t="str">
        <f t="shared" si="10"/>
        <v>库存为2</v>
      </c>
      <c r="AV496" s="38" t="str">
        <f>IFERROR(时间!$B$4+AU496,"上周无销量")</f>
        <v>上周无销量</v>
      </c>
    </row>
    <row r="497" spans="1:48">
      <c r="A497" s="21" t="s">
        <v>1111</v>
      </c>
      <c r="B497" t="s">
        <v>1112</v>
      </c>
      <c r="C497" t="s">
        <v>1110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14</v>
      </c>
      <c r="J497" s="35">
        <v>0</v>
      </c>
      <c r="K497" s="35">
        <v>0</v>
      </c>
      <c r="L497" s="35">
        <v>0</v>
      </c>
      <c r="M497">
        <v>14</v>
      </c>
      <c r="N497">
        <v>1</v>
      </c>
      <c r="O497">
        <v>14</v>
      </c>
      <c r="P497">
        <v>54</v>
      </c>
      <c r="Q497">
        <v>120</v>
      </c>
      <c r="R497">
        <v>106</v>
      </c>
      <c r="S497">
        <v>90</v>
      </c>
      <c r="T497">
        <v>0</v>
      </c>
      <c r="U497">
        <v>2</v>
      </c>
      <c r="V497">
        <v>0</v>
      </c>
      <c r="W497">
        <v>0</v>
      </c>
      <c r="X497" s="23">
        <v>0</v>
      </c>
      <c r="Y497" s="23">
        <v>0.0166666666666667</v>
      </c>
      <c r="Z497" s="23">
        <v>0</v>
      </c>
      <c r="AA497" s="23">
        <v>0</v>
      </c>
      <c r="AB497">
        <v>0</v>
      </c>
      <c r="AC497">
        <v>0.15</v>
      </c>
      <c r="AD497">
        <v>0</v>
      </c>
      <c r="AE497">
        <v>0</v>
      </c>
      <c r="AF497" s="23" t="s">
        <v>54</v>
      </c>
      <c r="AG497" s="23">
        <v>0</v>
      </c>
      <c r="AH497" s="23" t="s">
        <v>54</v>
      </c>
      <c r="AI497" s="23" t="s">
        <v>54</v>
      </c>
      <c r="AJ497">
        <v>3</v>
      </c>
      <c r="AK497">
        <v>2</v>
      </c>
      <c r="AL497">
        <v>2</v>
      </c>
      <c r="AM497">
        <v>7</v>
      </c>
      <c r="AN497" s="23">
        <v>0</v>
      </c>
      <c r="AO497" s="23">
        <v>0</v>
      </c>
      <c r="AP497" s="23">
        <v>0</v>
      </c>
      <c r="AQ497" s="23">
        <v>0</v>
      </c>
      <c r="AR497" s="37">
        <v>0</v>
      </c>
      <c r="AS497" s="37">
        <v>0</v>
      </c>
      <c r="AT497" s="37">
        <v>14</v>
      </c>
      <c r="AU497" s="33" t="str">
        <f t="shared" si="10"/>
        <v>库存为14</v>
      </c>
      <c r="AV497" s="38" t="str">
        <f>IFERROR(时间!$B$4+AU497,"上周无销量")</f>
        <v>上周无销量</v>
      </c>
    </row>
    <row r="498" spans="1:48">
      <c r="A498" s="21" t="s">
        <v>1113</v>
      </c>
      <c r="B498" t="s">
        <v>1114</v>
      </c>
      <c r="C498" t="s">
        <v>1115</v>
      </c>
      <c r="D498" s="33">
        <v>0</v>
      </c>
      <c r="E498" s="33">
        <v>1</v>
      </c>
      <c r="F498" s="33">
        <v>0</v>
      </c>
      <c r="G498" s="33">
        <v>0</v>
      </c>
      <c r="H498" s="34">
        <v>16.99</v>
      </c>
      <c r="I498">
        <v>0</v>
      </c>
      <c r="J498" s="35">
        <v>0</v>
      </c>
      <c r="K498" s="35">
        <v>0</v>
      </c>
      <c r="L498" s="35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3</v>
      </c>
      <c r="AL498">
        <v>3</v>
      </c>
      <c r="AM498">
        <v>0</v>
      </c>
      <c r="AN498" s="23" t="s">
        <v>54</v>
      </c>
      <c r="AO498" s="23">
        <v>0.333333333333333</v>
      </c>
      <c r="AP498" s="23">
        <v>0</v>
      </c>
      <c r="AQ498" s="23" t="s">
        <v>54</v>
      </c>
      <c r="AR498" s="37">
        <v>0</v>
      </c>
      <c r="AS498" s="37">
        <v>0</v>
      </c>
      <c r="AT498" s="37">
        <v>0</v>
      </c>
      <c r="AU498" s="33" t="str">
        <f t="shared" si="10"/>
        <v>库存为0</v>
      </c>
      <c r="AV498" s="38" t="str">
        <f>IFERROR(时间!$B$4+AU498,"上周无销量")</f>
        <v>上周无销量</v>
      </c>
    </row>
    <row r="499" spans="1:48">
      <c r="A499" s="21" t="s">
        <v>1116</v>
      </c>
      <c r="B499" t="s">
        <v>1117</v>
      </c>
      <c r="C499" t="s">
        <v>1115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0</v>
      </c>
      <c r="J499" s="35">
        <v>0</v>
      </c>
      <c r="K499" s="35">
        <v>0</v>
      </c>
      <c r="L499" s="35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7">
        <v>0</v>
      </c>
      <c r="AS499" s="37">
        <v>0</v>
      </c>
      <c r="AT499" s="37">
        <v>0</v>
      </c>
      <c r="AU499" s="33" t="str">
        <f t="shared" si="10"/>
        <v>库存为0</v>
      </c>
      <c r="AV499" s="38" t="str">
        <f>IFERROR(时间!$B$4+AU499,"上周无销量")</f>
        <v>上周无销量</v>
      </c>
    </row>
    <row r="500" spans="1:48">
      <c r="A500" s="21" t="s">
        <v>1118</v>
      </c>
      <c r="B500" t="s">
        <v>1119</v>
      </c>
      <c r="C500" t="s">
        <v>1115</v>
      </c>
      <c r="D500" s="33">
        <v>1</v>
      </c>
      <c r="E500" s="33">
        <v>0</v>
      </c>
      <c r="F500" s="33">
        <v>1</v>
      </c>
      <c r="G500" s="33">
        <v>0</v>
      </c>
      <c r="H500" s="34">
        <v>16.99</v>
      </c>
      <c r="I500">
        <v>6</v>
      </c>
      <c r="J500" s="35">
        <v>0</v>
      </c>
      <c r="K500" s="35">
        <v>0</v>
      </c>
      <c r="L500" s="35">
        <v>0</v>
      </c>
      <c r="M500">
        <v>6</v>
      </c>
      <c r="N500">
        <v>1</v>
      </c>
      <c r="O500">
        <v>6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9</v>
      </c>
      <c r="AK500">
        <v>5</v>
      </c>
      <c r="AL500">
        <v>5</v>
      </c>
      <c r="AM500">
        <v>4</v>
      </c>
      <c r="AN500" s="23">
        <v>0.111111111111111</v>
      </c>
      <c r="AO500" s="23">
        <v>0</v>
      </c>
      <c r="AP500" s="23">
        <v>0.2</v>
      </c>
      <c r="AQ500" s="23">
        <v>0</v>
      </c>
      <c r="AR500" s="37">
        <v>0.142857142857143</v>
      </c>
      <c r="AS500" s="37">
        <v>8.57142857142857</v>
      </c>
      <c r="AT500" s="37">
        <v>-2.57142857142857</v>
      </c>
      <c r="AU500" s="33">
        <f t="shared" si="10"/>
        <v>42</v>
      </c>
      <c r="AV500" s="38">
        <f>IFERROR(时间!$B$4+AU500,"上周无销量")</f>
        <v>43332</v>
      </c>
    </row>
    <row r="501" spans="1:48">
      <c r="A501" s="21" t="s">
        <v>1120</v>
      </c>
      <c r="B501" t="s">
        <v>1121</v>
      </c>
      <c r="C501" t="s">
        <v>1115</v>
      </c>
      <c r="D501" s="33">
        <v>0</v>
      </c>
      <c r="E501" s="33">
        <v>0</v>
      </c>
      <c r="F501" s="33">
        <v>1</v>
      </c>
      <c r="G501" s="33">
        <v>0</v>
      </c>
      <c r="H501" s="34">
        <v>16.99</v>
      </c>
      <c r="I501">
        <v>43</v>
      </c>
      <c r="J501" s="35">
        <v>0</v>
      </c>
      <c r="K501" s="35">
        <v>0</v>
      </c>
      <c r="L501" s="35">
        <v>0</v>
      </c>
      <c r="M501">
        <v>43</v>
      </c>
      <c r="N501">
        <v>3</v>
      </c>
      <c r="O501">
        <v>36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5</v>
      </c>
      <c r="AK501">
        <v>4</v>
      </c>
      <c r="AL501">
        <v>4</v>
      </c>
      <c r="AM501">
        <v>3</v>
      </c>
      <c r="AN501" s="23">
        <v>0</v>
      </c>
      <c r="AO501" s="23">
        <v>0</v>
      </c>
      <c r="AP501" s="23">
        <v>0.25</v>
      </c>
      <c r="AQ501" s="23">
        <v>0</v>
      </c>
      <c r="AR501" s="37">
        <v>0</v>
      </c>
      <c r="AS501" s="37">
        <v>0</v>
      </c>
      <c r="AT501" s="37">
        <v>43</v>
      </c>
      <c r="AU501" s="33" t="str">
        <f t="shared" si="10"/>
        <v>库存为43</v>
      </c>
      <c r="AV501" s="38" t="str">
        <f>IFERROR(时间!$B$4+AU501,"上周无销量")</f>
        <v>上周无销量</v>
      </c>
    </row>
    <row r="502" spans="1:48">
      <c r="A502" s="21" t="s">
        <v>1122</v>
      </c>
      <c r="B502" t="s">
        <v>1123</v>
      </c>
      <c r="C502" t="s">
        <v>1115</v>
      </c>
      <c r="D502" s="33">
        <v>1</v>
      </c>
      <c r="E502" s="33">
        <v>2</v>
      </c>
      <c r="F502" s="33">
        <v>0</v>
      </c>
      <c r="G502" s="33">
        <v>0</v>
      </c>
      <c r="H502" s="34">
        <v>16.99</v>
      </c>
      <c r="I502">
        <v>21</v>
      </c>
      <c r="J502" s="35">
        <v>0</v>
      </c>
      <c r="K502" s="35">
        <v>0</v>
      </c>
      <c r="L502" s="35">
        <v>0</v>
      </c>
      <c r="M502">
        <v>21</v>
      </c>
      <c r="N502">
        <v>1</v>
      </c>
      <c r="O502">
        <v>17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9</v>
      </c>
      <c r="AK502">
        <v>8</v>
      </c>
      <c r="AL502">
        <v>8</v>
      </c>
      <c r="AM502">
        <v>8</v>
      </c>
      <c r="AN502" s="23">
        <v>0.111111111111111</v>
      </c>
      <c r="AO502" s="23">
        <v>0.25</v>
      </c>
      <c r="AP502" s="23">
        <v>0</v>
      </c>
      <c r="AQ502" s="23">
        <v>0</v>
      </c>
      <c r="AR502" s="37">
        <v>0.142857142857143</v>
      </c>
      <c r="AS502" s="37">
        <v>8.57142857142857</v>
      </c>
      <c r="AT502" s="37">
        <v>12.4285714285714</v>
      </c>
      <c r="AU502" s="33">
        <f t="shared" si="10"/>
        <v>147</v>
      </c>
      <c r="AV502" s="38">
        <f>IFERROR(时间!$B$4+AU502,"上周无销量")</f>
        <v>43437</v>
      </c>
    </row>
    <row r="503" spans="1:48">
      <c r="A503" s="21" t="s">
        <v>1124</v>
      </c>
      <c r="B503" t="s">
        <v>1125</v>
      </c>
      <c r="C503" t="s">
        <v>1115</v>
      </c>
      <c r="D503" s="33">
        <v>0</v>
      </c>
      <c r="E503" s="33">
        <v>0</v>
      </c>
      <c r="F503" s="33">
        <v>0</v>
      </c>
      <c r="G503" s="33">
        <v>1</v>
      </c>
      <c r="H503" s="34">
        <v>16.99</v>
      </c>
      <c r="I503">
        <v>0</v>
      </c>
      <c r="J503" s="35">
        <v>0</v>
      </c>
      <c r="K503" s="35">
        <v>0</v>
      </c>
      <c r="L503" s="35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s">
        <v>54</v>
      </c>
      <c r="AO503" s="23" t="s">
        <v>54</v>
      </c>
      <c r="AP503" s="23" t="s">
        <v>54</v>
      </c>
      <c r="AQ503" s="23" t="s">
        <v>54</v>
      </c>
      <c r="AR503" s="37">
        <v>0</v>
      </c>
      <c r="AS503" s="37">
        <v>0</v>
      </c>
      <c r="AT503" s="37">
        <v>0</v>
      </c>
      <c r="AU503" s="33" t="str">
        <f t="shared" si="10"/>
        <v>库存为0</v>
      </c>
      <c r="AV503" s="38" t="str">
        <f>IFERROR(时间!$B$4+AU503,"上周无销量")</f>
        <v>上周无销量</v>
      </c>
    </row>
    <row r="504" spans="1:48">
      <c r="A504" s="21" t="s">
        <v>1126</v>
      </c>
      <c r="B504" t="s">
        <v>1127</v>
      </c>
      <c r="C504" t="s">
        <v>1115</v>
      </c>
      <c r="D504" s="33">
        <v>1</v>
      </c>
      <c r="E504" s="33">
        <v>3</v>
      </c>
      <c r="F504" s="33">
        <v>0</v>
      </c>
      <c r="G504" s="33">
        <v>0</v>
      </c>
      <c r="H504" s="34">
        <v>16.99</v>
      </c>
      <c r="I504">
        <v>30</v>
      </c>
      <c r="J504" s="35">
        <v>0</v>
      </c>
      <c r="K504" s="35">
        <v>0</v>
      </c>
      <c r="L504" s="35">
        <v>0</v>
      </c>
      <c r="M504">
        <v>30</v>
      </c>
      <c r="N504">
        <v>1</v>
      </c>
      <c r="O504">
        <v>29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9</v>
      </c>
      <c r="AK504">
        <v>5</v>
      </c>
      <c r="AL504">
        <v>5</v>
      </c>
      <c r="AM504">
        <v>2</v>
      </c>
      <c r="AN504" s="23">
        <v>0.111111111111111</v>
      </c>
      <c r="AO504" s="23">
        <v>0.6</v>
      </c>
      <c r="AP504" s="23">
        <v>0</v>
      </c>
      <c r="AQ504" s="23">
        <v>0</v>
      </c>
      <c r="AR504" s="37">
        <v>0.142857142857143</v>
      </c>
      <c r="AS504" s="37">
        <v>8.57142857142857</v>
      </c>
      <c r="AT504" s="37">
        <v>21.4285714285714</v>
      </c>
      <c r="AU504" s="33">
        <f t="shared" si="10"/>
        <v>210</v>
      </c>
      <c r="AV504" s="38">
        <f>IFERROR(时间!$B$4+AU504,"上周无销量")</f>
        <v>43500</v>
      </c>
    </row>
    <row r="505" spans="1:48">
      <c r="A505" s="21" t="s">
        <v>1128</v>
      </c>
      <c r="B505" t="s">
        <v>1129</v>
      </c>
      <c r="C505" t="s">
        <v>1130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2</v>
      </c>
      <c r="J505" s="35">
        <v>0</v>
      </c>
      <c r="K505" s="35">
        <v>0</v>
      </c>
      <c r="L505" s="35">
        <v>0</v>
      </c>
      <c r="M505">
        <v>2</v>
      </c>
      <c r="N505">
        <v>0</v>
      </c>
      <c r="O505">
        <v>2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3</v>
      </c>
      <c r="AK505">
        <v>0</v>
      </c>
      <c r="AL505">
        <v>0</v>
      </c>
      <c r="AM505">
        <v>1</v>
      </c>
      <c r="AN505" s="23">
        <v>0</v>
      </c>
      <c r="AO505" s="23" t="s">
        <v>54</v>
      </c>
      <c r="AP505" s="23" t="s">
        <v>54</v>
      </c>
      <c r="AQ505" s="23">
        <v>0</v>
      </c>
      <c r="AR505" s="37">
        <v>0</v>
      </c>
      <c r="AS505" s="37">
        <v>0</v>
      </c>
      <c r="AT505" s="37">
        <v>2</v>
      </c>
      <c r="AU505" s="33" t="str">
        <f t="shared" si="10"/>
        <v>库存为2</v>
      </c>
      <c r="AV505" s="38" t="str">
        <f>IFERROR(时间!$B$4+AU505,"上周无销量")</f>
        <v>上周无销量</v>
      </c>
    </row>
    <row r="506" spans="1:48">
      <c r="A506" s="21" t="s">
        <v>1131</v>
      </c>
      <c r="B506" t="s">
        <v>1132</v>
      </c>
      <c r="C506" t="s">
        <v>1130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2</v>
      </c>
      <c r="J506" s="35">
        <v>0</v>
      </c>
      <c r="K506" s="35">
        <v>0</v>
      </c>
      <c r="L506" s="35">
        <v>0</v>
      </c>
      <c r="M506">
        <v>2</v>
      </c>
      <c r="N506">
        <v>0</v>
      </c>
      <c r="O506">
        <v>2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1</v>
      </c>
      <c r="AN506" s="23" t="s">
        <v>54</v>
      </c>
      <c r="AO506" s="23" t="s">
        <v>54</v>
      </c>
      <c r="AP506" s="23" t="s">
        <v>54</v>
      </c>
      <c r="AQ506" s="23">
        <v>0</v>
      </c>
      <c r="AR506" s="37">
        <v>0</v>
      </c>
      <c r="AS506" s="37">
        <v>0</v>
      </c>
      <c r="AT506" s="37">
        <v>2</v>
      </c>
      <c r="AU506" s="33" t="str">
        <f t="shared" si="10"/>
        <v>库存为2</v>
      </c>
      <c r="AV506" s="38" t="str">
        <f>IFERROR(时间!$B$4+AU506,"上周无销量")</f>
        <v>上周无销量</v>
      </c>
    </row>
    <row r="507" spans="1:48">
      <c r="A507" s="21" t="s">
        <v>1133</v>
      </c>
      <c r="B507" t="s">
        <v>1134</v>
      </c>
      <c r="C507" t="s">
        <v>1135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2</v>
      </c>
      <c r="J507" s="35">
        <v>0</v>
      </c>
      <c r="K507" s="35">
        <v>0</v>
      </c>
      <c r="L507" s="35">
        <v>0</v>
      </c>
      <c r="M507">
        <v>2</v>
      </c>
      <c r="N507">
        <v>0</v>
      </c>
      <c r="O507">
        <v>2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4</v>
      </c>
      <c r="AK507">
        <v>0</v>
      </c>
      <c r="AL507">
        <v>0</v>
      </c>
      <c r="AM507">
        <v>1</v>
      </c>
      <c r="AN507" s="23">
        <v>0</v>
      </c>
      <c r="AO507" s="23" t="s">
        <v>54</v>
      </c>
      <c r="AP507" s="23" t="s">
        <v>54</v>
      </c>
      <c r="AQ507" s="23">
        <v>0</v>
      </c>
      <c r="AR507" s="37">
        <v>0</v>
      </c>
      <c r="AS507" s="37">
        <v>0</v>
      </c>
      <c r="AT507" s="37">
        <v>2</v>
      </c>
      <c r="AU507" s="33" t="str">
        <f t="shared" si="10"/>
        <v>库存为2</v>
      </c>
      <c r="AV507" s="38" t="str">
        <f>IFERROR(时间!$B$4+AU507,"上周无销量")</f>
        <v>上周无销量</v>
      </c>
    </row>
    <row r="508" spans="1:48">
      <c r="A508" s="21" t="s">
        <v>1136</v>
      </c>
      <c r="B508" t="s">
        <v>1137</v>
      </c>
      <c r="C508" t="s">
        <v>1135</v>
      </c>
      <c r="D508" s="33">
        <v>0</v>
      </c>
      <c r="E508" s="33">
        <v>0</v>
      </c>
      <c r="F508" s="33">
        <v>0</v>
      </c>
      <c r="G508" s="33">
        <v>0</v>
      </c>
      <c r="H508" s="34">
        <v>0</v>
      </c>
      <c r="I508">
        <v>1</v>
      </c>
      <c r="J508" s="35">
        <v>0</v>
      </c>
      <c r="K508" s="35">
        <v>0</v>
      </c>
      <c r="L508" s="35">
        <v>0</v>
      </c>
      <c r="M508">
        <v>1</v>
      </c>
      <c r="N508">
        <v>0</v>
      </c>
      <c r="O508">
        <v>1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1</v>
      </c>
      <c r="AK508">
        <v>1</v>
      </c>
      <c r="AL508">
        <v>1</v>
      </c>
      <c r="AM508">
        <v>0</v>
      </c>
      <c r="AN508" s="23">
        <v>0</v>
      </c>
      <c r="AO508" s="23">
        <v>0</v>
      </c>
      <c r="AP508" s="23">
        <v>0</v>
      </c>
      <c r="AQ508" s="23" t="s">
        <v>54</v>
      </c>
      <c r="AR508" s="37">
        <v>0</v>
      </c>
      <c r="AS508" s="37">
        <v>0</v>
      </c>
      <c r="AT508" s="37">
        <v>1</v>
      </c>
      <c r="AU508" s="33" t="str">
        <f t="shared" si="10"/>
        <v>库存为1</v>
      </c>
      <c r="AV508" s="38" t="str">
        <f>IFERROR(时间!$B$4+AU508,"上周无销量")</f>
        <v>上周无销量</v>
      </c>
    </row>
    <row r="509" spans="1:48">
      <c r="A509" s="21" t="s">
        <v>1138</v>
      </c>
      <c r="B509" t="s">
        <v>1139</v>
      </c>
      <c r="C509" t="s">
        <v>1135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3</v>
      </c>
      <c r="J509" s="35">
        <v>0</v>
      </c>
      <c r="K509" s="35">
        <v>0</v>
      </c>
      <c r="L509" s="35">
        <v>0</v>
      </c>
      <c r="M509">
        <v>3</v>
      </c>
      <c r="N509">
        <v>0</v>
      </c>
      <c r="O509">
        <v>3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4</v>
      </c>
      <c r="AK509">
        <v>1</v>
      </c>
      <c r="AL509">
        <v>1</v>
      </c>
      <c r="AM509">
        <v>0</v>
      </c>
      <c r="AN509" s="23">
        <v>0</v>
      </c>
      <c r="AO509" s="23">
        <v>0</v>
      </c>
      <c r="AP509" s="23">
        <v>0</v>
      </c>
      <c r="AQ509" s="23" t="s">
        <v>54</v>
      </c>
      <c r="AR509" s="37">
        <v>0</v>
      </c>
      <c r="AS509" s="37">
        <v>0</v>
      </c>
      <c r="AT509" s="37">
        <v>3</v>
      </c>
      <c r="AU509" s="33" t="str">
        <f t="shared" si="10"/>
        <v>库存为3</v>
      </c>
      <c r="AV509" s="38" t="str">
        <f>IFERROR(时间!$B$4+AU509,"上周无销量")</f>
        <v>上周无销量</v>
      </c>
    </row>
    <row r="510" spans="1:48">
      <c r="A510" s="21" t="s">
        <v>1140</v>
      </c>
      <c r="B510" t="s">
        <v>1141</v>
      </c>
      <c r="C510" t="s">
        <v>1135</v>
      </c>
      <c r="D510" s="33">
        <v>0</v>
      </c>
      <c r="E510" s="33">
        <v>0</v>
      </c>
      <c r="F510" s="33">
        <v>0</v>
      </c>
      <c r="G510" s="33">
        <v>0</v>
      </c>
      <c r="H510" s="34">
        <v>0</v>
      </c>
      <c r="I510">
        <v>4</v>
      </c>
      <c r="J510" s="35">
        <v>0</v>
      </c>
      <c r="K510" s="35">
        <v>0</v>
      </c>
      <c r="L510" s="35">
        <v>0</v>
      </c>
      <c r="M510">
        <v>4</v>
      </c>
      <c r="N510">
        <v>0</v>
      </c>
      <c r="O510">
        <v>4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1</v>
      </c>
      <c r="AK510">
        <v>3</v>
      </c>
      <c r="AL510">
        <v>3</v>
      </c>
      <c r="AM510">
        <v>3</v>
      </c>
      <c r="AN510" s="23">
        <v>0</v>
      </c>
      <c r="AO510" s="23">
        <v>0</v>
      </c>
      <c r="AP510" s="23">
        <v>0</v>
      </c>
      <c r="AQ510" s="23">
        <v>0</v>
      </c>
      <c r="AR510" s="37">
        <v>0</v>
      </c>
      <c r="AS510" s="37">
        <v>0</v>
      </c>
      <c r="AT510" s="37">
        <v>4</v>
      </c>
      <c r="AU510" s="33" t="str">
        <f t="shared" si="10"/>
        <v>库存为4</v>
      </c>
      <c r="AV510" s="38" t="str">
        <f>IFERROR(时间!$B$4+AU510,"上周无销量")</f>
        <v>上周无销量</v>
      </c>
    </row>
    <row r="511" spans="1:48">
      <c r="A511" s="21" t="s">
        <v>1142</v>
      </c>
      <c r="B511" t="s">
        <v>1143</v>
      </c>
      <c r="C511" t="s">
        <v>1135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3</v>
      </c>
      <c r="J511" s="35">
        <v>0</v>
      </c>
      <c r="K511" s="35">
        <v>0</v>
      </c>
      <c r="L511" s="35">
        <v>0</v>
      </c>
      <c r="M511">
        <v>3</v>
      </c>
      <c r="N511">
        <v>0</v>
      </c>
      <c r="O511">
        <v>3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3</v>
      </c>
      <c r="AK511">
        <v>1</v>
      </c>
      <c r="AL511">
        <v>1</v>
      </c>
      <c r="AM511">
        <v>2</v>
      </c>
      <c r="AN511" s="23">
        <v>0</v>
      </c>
      <c r="AO511" s="23">
        <v>0</v>
      </c>
      <c r="AP511" s="23">
        <v>0</v>
      </c>
      <c r="AQ511" s="23">
        <v>0</v>
      </c>
      <c r="AR511" s="37">
        <v>0</v>
      </c>
      <c r="AS511" s="37">
        <v>0</v>
      </c>
      <c r="AT511" s="37">
        <v>3</v>
      </c>
      <c r="AU511" s="33" t="str">
        <f t="shared" si="10"/>
        <v>库存为3</v>
      </c>
      <c r="AV511" s="38" t="str">
        <f>IFERROR(时间!$B$4+AU511,"上周无销量")</f>
        <v>上周无销量</v>
      </c>
    </row>
    <row r="512" spans="1:48">
      <c r="A512" s="21" t="s">
        <v>1144</v>
      </c>
      <c r="B512" t="s">
        <v>1145</v>
      </c>
      <c r="C512" t="s">
        <v>1135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1</v>
      </c>
      <c r="J512" s="35">
        <v>0</v>
      </c>
      <c r="K512" s="35">
        <v>0</v>
      </c>
      <c r="L512" s="35">
        <v>0</v>
      </c>
      <c r="M512">
        <v>1</v>
      </c>
      <c r="N512">
        <v>0</v>
      </c>
      <c r="O512">
        <v>1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3</v>
      </c>
      <c r="AK512">
        <v>1</v>
      </c>
      <c r="AL512">
        <v>1</v>
      </c>
      <c r="AM512">
        <v>0</v>
      </c>
      <c r="AN512" s="23">
        <v>0</v>
      </c>
      <c r="AO512" s="23">
        <v>0</v>
      </c>
      <c r="AP512" s="23">
        <v>0</v>
      </c>
      <c r="AQ512" s="23" t="s">
        <v>54</v>
      </c>
      <c r="AR512" s="37">
        <v>0</v>
      </c>
      <c r="AS512" s="37">
        <v>0</v>
      </c>
      <c r="AT512" s="37">
        <v>1</v>
      </c>
      <c r="AU512" s="33" t="str">
        <f t="shared" si="10"/>
        <v>库存为1</v>
      </c>
      <c r="AV512" s="38" t="str">
        <f>IFERROR(时间!$B$4+AU512,"上周无销量")</f>
        <v>上周无销量</v>
      </c>
    </row>
    <row r="513" spans="1:48">
      <c r="A513" s="21" t="s">
        <v>1146</v>
      </c>
      <c r="B513" t="s">
        <v>1147</v>
      </c>
      <c r="C513" t="s">
        <v>1135</v>
      </c>
      <c r="D513" s="33">
        <v>0</v>
      </c>
      <c r="E513" s="33">
        <v>0</v>
      </c>
      <c r="F513" s="33">
        <v>0</v>
      </c>
      <c r="G513" s="33">
        <v>0</v>
      </c>
      <c r="H513" s="34">
        <v>0</v>
      </c>
      <c r="I513">
        <v>2</v>
      </c>
      <c r="J513" s="35">
        <v>0</v>
      </c>
      <c r="K513" s="35">
        <v>0</v>
      </c>
      <c r="L513" s="35">
        <v>0</v>
      </c>
      <c r="M513">
        <v>2</v>
      </c>
      <c r="N513">
        <v>0</v>
      </c>
      <c r="O513">
        <v>2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3</v>
      </c>
      <c r="AK513">
        <v>0</v>
      </c>
      <c r="AL513">
        <v>0</v>
      </c>
      <c r="AM513">
        <v>1</v>
      </c>
      <c r="AN513" s="23">
        <v>0</v>
      </c>
      <c r="AO513" s="23" t="s">
        <v>54</v>
      </c>
      <c r="AP513" s="23" t="s">
        <v>54</v>
      </c>
      <c r="AQ513" s="23">
        <v>0</v>
      </c>
      <c r="AR513" s="37">
        <v>0</v>
      </c>
      <c r="AS513" s="37">
        <v>0</v>
      </c>
      <c r="AT513" s="37">
        <v>2</v>
      </c>
      <c r="AU513" s="33" t="str">
        <f t="shared" si="10"/>
        <v>库存为2</v>
      </c>
      <c r="AV513" s="38" t="str">
        <f>IFERROR(时间!$B$4+AU513,"上周无销量")</f>
        <v>上周无销量</v>
      </c>
    </row>
    <row r="514" spans="1:48">
      <c r="A514" s="21" t="s">
        <v>1148</v>
      </c>
      <c r="B514" t="s">
        <v>1149</v>
      </c>
      <c r="C514" t="s">
        <v>1135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1</v>
      </c>
      <c r="J514" s="35">
        <v>0</v>
      </c>
      <c r="K514" s="35">
        <v>0</v>
      </c>
      <c r="L514" s="35">
        <v>0</v>
      </c>
      <c r="M514">
        <v>1</v>
      </c>
      <c r="N514">
        <v>0</v>
      </c>
      <c r="O514">
        <v>1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4</v>
      </c>
      <c r="AK514">
        <v>0</v>
      </c>
      <c r="AL514">
        <v>0</v>
      </c>
      <c r="AM514">
        <v>1</v>
      </c>
      <c r="AN514" s="23">
        <v>0</v>
      </c>
      <c r="AO514" s="23" t="s">
        <v>54</v>
      </c>
      <c r="AP514" s="23" t="s">
        <v>54</v>
      </c>
      <c r="AQ514" s="23">
        <v>0</v>
      </c>
      <c r="AR514" s="37">
        <v>0</v>
      </c>
      <c r="AS514" s="37">
        <v>0</v>
      </c>
      <c r="AT514" s="37">
        <v>1</v>
      </c>
      <c r="AU514" s="33" t="str">
        <f t="shared" si="10"/>
        <v>库存为1</v>
      </c>
      <c r="AV514" s="38" t="str">
        <f>IFERROR(时间!$B$4+AU514,"上周无销量")</f>
        <v>上周无销量</v>
      </c>
    </row>
    <row r="515" spans="1:48">
      <c r="A515" s="21" t="s">
        <v>1150</v>
      </c>
      <c r="B515" t="s">
        <v>1151</v>
      </c>
      <c r="C515" t="s">
        <v>1135</v>
      </c>
      <c r="D515" s="33">
        <v>0</v>
      </c>
      <c r="E515" s="33">
        <v>0</v>
      </c>
      <c r="F515" s="33">
        <v>0</v>
      </c>
      <c r="G515" s="33">
        <v>0</v>
      </c>
      <c r="H515" s="34">
        <v>0</v>
      </c>
      <c r="I515">
        <v>3</v>
      </c>
      <c r="J515" s="35">
        <v>0</v>
      </c>
      <c r="K515" s="35">
        <v>0</v>
      </c>
      <c r="L515" s="35">
        <v>0</v>
      </c>
      <c r="M515">
        <v>3</v>
      </c>
      <c r="N515">
        <v>0</v>
      </c>
      <c r="O515">
        <v>3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4</v>
      </c>
      <c r="AK515">
        <v>0</v>
      </c>
      <c r="AL515">
        <v>0</v>
      </c>
      <c r="AM515">
        <v>0</v>
      </c>
      <c r="AN515" s="23">
        <v>0</v>
      </c>
      <c r="AO515" s="23" t="s">
        <v>54</v>
      </c>
      <c r="AP515" s="23" t="s">
        <v>54</v>
      </c>
      <c r="AQ515" s="23" t="s">
        <v>54</v>
      </c>
      <c r="AR515" s="37">
        <v>0</v>
      </c>
      <c r="AS515" s="37">
        <v>0</v>
      </c>
      <c r="AT515" s="37">
        <v>3</v>
      </c>
      <c r="AU515" s="33" t="str">
        <f t="shared" si="10"/>
        <v>库存为3</v>
      </c>
      <c r="AV515" s="38" t="str">
        <f>IFERROR(时间!$B$4+AU515,"上周无销量")</f>
        <v>上周无销量</v>
      </c>
    </row>
    <row r="516" spans="1:48">
      <c r="A516" s="21" t="s">
        <v>1152</v>
      </c>
      <c r="B516" t="s">
        <v>1153</v>
      </c>
      <c r="C516" t="s">
        <v>1135</v>
      </c>
      <c r="D516" s="33">
        <v>0</v>
      </c>
      <c r="E516" s="33">
        <v>0</v>
      </c>
      <c r="F516" s="33">
        <v>0</v>
      </c>
      <c r="G516" s="33">
        <v>0</v>
      </c>
      <c r="H516" s="34">
        <v>0</v>
      </c>
      <c r="I516">
        <v>3</v>
      </c>
      <c r="J516" s="35">
        <v>0</v>
      </c>
      <c r="K516" s="35">
        <v>0</v>
      </c>
      <c r="L516" s="35">
        <v>0</v>
      </c>
      <c r="M516">
        <v>3</v>
      </c>
      <c r="N516">
        <v>0</v>
      </c>
      <c r="O516">
        <v>3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3</v>
      </c>
      <c r="AK516">
        <v>0</v>
      </c>
      <c r="AL516">
        <v>0</v>
      </c>
      <c r="AM516">
        <v>0</v>
      </c>
      <c r="AN516" s="23">
        <v>0</v>
      </c>
      <c r="AO516" s="23" t="s">
        <v>54</v>
      </c>
      <c r="AP516" s="23" t="s">
        <v>54</v>
      </c>
      <c r="AQ516" s="23" t="s">
        <v>54</v>
      </c>
      <c r="AR516" s="37">
        <v>0</v>
      </c>
      <c r="AS516" s="37">
        <v>0</v>
      </c>
      <c r="AT516" s="37">
        <v>3</v>
      </c>
      <c r="AU516" s="33" t="str">
        <f t="shared" si="10"/>
        <v>库存为3</v>
      </c>
      <c r="AV516" s="38" t="str">
        <f>IFERROR(时间!$B$4+AU516,"上周无销量")</f>
        <v>上周无销量</v>
      </c>
    </row>
    <row r="517" spans="1:48">
      <c r="A517" s="21" t="s">
        <v>1154</v>
      </c>
      <c r="B517" t="s">
        <v>1155</v>
      </c>
      <c r="C517" t="s">
        <v>1135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1</v>
      </c>
      <c r="J517" s="35">
        <v>0</v>
      </c>
      <c r="K517" s="35">
        <v>0</v>
      </c>
      <c r="L517" s="35">
        <v>0</v>
      </c>
      <c r="M517">
        <v>1</v>
      </c>
      <c r="N517">
        <v>0</v>
      </c>
      <c r="O517">
        <v>1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3</v>
      </c>
      <c r="AK517">
        <v>1</v>
      </c>
      <c r="AL517">
        <v>1</v>
      </c>
      <c r="AM517">
        <v>0</v>
      </c>
      <c r="AN517" s="23">
        <v>0</v>
      </c>
      <c r="AO517" s="23">
        <v>0</v>
      </c>
      <c r="AP517" s="23">
        <v>0</v>
      </c>
      <c r="AQ517" s="23" t="s">
        <v>54</v>
      </c>
      <c r="AR517" s="37">
        <v>0</v>
      </c>
      <c r="AS517" s="37">
        <v>0</v>
      </c>
      <c r="AT517" s="37">
        <v>1</v>
      </c>
      <c r="AU517" s="33" t="str">
        <f t="shared" ref="AU517:AU580" si="11">IF(AR517="","库存为"&amp;M517,IF(AS517=0,"库存为"&amp;M517,INT(M517/AR517)))</f>
        <v>库存为1</v>
      </c>
      <c r="AV517" s="38" t="str">
        <f>IFERROR(时间!$B$4+AU517,"上周无销量")</f>
        <v>上周无销量</v>
      </c>
    </row>
    <row r="518" spans="1:48">
      <c r="A518" s="21" t="s">
        <v>1156</v>
      </c>
      <c r="B518" t="s">
        <v>1157</v>
      </c>
      <c r="C518" t="s">
        <v>1135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2</v>
      </c>
      <c r="J518" s="35">
        <v>0</v>
      </c>
      <c r="K518" s="35">
        <v>0</v>
      </c>
      <c r="L518" s="35">
        <v>0</v>
      </c>
      <c r="M518">
        <v>2</v>
      </c>
      <c r="N518">
        <v>0</v>
      </c>
      <c r="O518">
        <v>2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2</v>
      </c>
      <c r="AK518">
        <v>1</v>
      </c>
      <c r="AL518">
        <v>1</v>
      </c>
      <c r="AM518">
        <v>0</v>
      </c>
      <c r="AN518" s="23">
        <v>0</v>
      </c>
      <c r="AO518" s="23">
        <v>0</v>
      </c>
      <c r="AP518" s="23">
        <v>0</v>
      </c>
      <c r="AQ518" s="23" t="s">
        <v>54</v>
      </c>
      <c r="AR518" s="37">
        <v>0</v>
      </c>
      <c r="AS518" s="37">
        <v>0</v>
      </c>
      <c r="AT518" s="37">
        <v>2</v>
      </c>
      <c r="AU518" s="33" t="str">
        <f t="shared" si="11"/>
        <v>库存为2</v>
      </c>
      <c r="AV518" s="38" t="str">
        <f>IFERROR(时间!$B$4+AU518,"上周无销量")</f>
        <v>上周无销量</v>
      </c>
    </row>
    <row r="519" spans="1:48">
      <c r="A519" s="21" t="s">
        <v>1158</v>
      </c>
      <c r="B519" t="s">
        <v>1159</v>
      </c>
      <c r="C519" t="s">
        <v>1135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3</v>
      </c>
      <c r="J519" s="35">
        <v>0</v>
      </c>
      <c r="K519" s="35">
        <v>0</v>
      </c>
      <c r="L519" s="35">
        <v>0</v>
      </c>
      <c r="M519">
        <v>3</v>
      </c>
      <c r="N519">
        <v>0</v>
      </c>
      <c r="O519">
        <v>3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3</v>
      </c>
      <c r="AK519">
        <v>2</v>
      </c>
      <c r="AL519">
        <v>2</v>
      </c>
      <c r="AM519">
        <v>0</v>
      </c>
      <c r="AN519" s="23">
        <v>0</v>
      </c>
      <c r="AO519" s="23">
        <v>0</v>
      </c>
      <c r="AP519" s="23">
        <v>0</v>
      </c>
      <c r="AQ519" s="23" t="s">
        <v>54</v>
      </c>
      <c r="AR519" s="37">
        <v>0</v>
      </c>
      <c r="AS519" s="37">
        <v>0</v>
      </c>
      <c r="AT519" s="37">
        <v>3</v>
      </c>
      <c r="AU519" s="33" t="str">
        <f t="shared" si="11"/>
        <v>库存为3</v>
      </c>
      <c r="AV519" s="38" t="str">
        <f>IFERROR(时间!$B$4+AU519,"上周无销量")</f>
        <v>上周无销量</v>
      </c>
    </row>
    <row r="520" spans="1:48">
      <c r="A520" s="21" t="s">
        <v>1160</v>
      </c>
      <c r="B520" t="s">
        <v>1161</v>
      </c>
      <c r="C520" t="s">
        <v>1135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2</v>
      </c>
      <c r="J520" s="35">
        <v>0</v>
      </c>
      <c r="K520" s="35">
        <v>0</v>
      </c>
      <c r="L520" s="35">
        <v>0</v>
      </c>
      <c r="M520">
        <v>2</v>
      </c>
      <c r="N520">
        <v>0</v>
      </c>
      <c r="O520">
        <v>2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2</v>
      </c>
      <c r="AK520">
        <v>1</v>
      </c>
      <c r="AL520">
        <v>1</v>
      </c>
      <c r="AM520">
        <v>0</v>
      </c>
      <c r="AN520" s="23">
        <v>0</v>
      </c>
      <c r="AO520" s="23">
        <v>0</v>
      </c>
      <c r="AP520" s="23">
        <v>0</v>
      </c>
      <c r="AQ520" s="23" t="s">
        <v>54</v>
      </c>
      <c r="AR520" s="37">
        <v>0</v>
      </c>
      <c r="AS520" s="37">
        <v>0</v>
      </c>
      <c r="AT520" s="37">
        <v>2</v>
      </c>
      <c r="AU520" s="33" t="str">
        <f t="shared" si="11"/>
        <v>库存为2</v>
      </c>
      <c r="AV520" s="38" t="str">
        <f>IFERROR(时间!$B$4+AU520,"上周无销量")</f>
        <v>上周无销量</v>
      </c>
    </row>
    <row r="521" spans="1:48">
      <c r="A521" s="21" t="s">
        <v>1162</v>
      </c>
      <c r="B521" t="s">
        <v>1163</v>
      </c>
      <c r="C521" t="s">
        <v>1135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3</v>
      </c>
      <c r="J521" s="35">
        <v>0</v>
      </c>
      <c r="K521" s="35">
        <v>0</v>
      </c>
      <c r="L521" s="35">
        <v>0</v>
      </c>
      <c r="M521">
        <v>3</v>
      </c>
      <c r="N521">
        <v>0</v>
      </c>
      <c r="O521">
        <v>3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3</v>
      </c>
      <c r="AK521">
        <v>0</v>
      </c>
      <c r="AL521">
        <v>0</v>
      </c>
      <c r="AM521">
        <v>0</v>
      </c>
      <c r="AN521" s="23">
        <v>0</v>
      </c>
      <c r="AO521" s="23" t="s">
        <v>54</v>
      </c>
      <c r="AP521" s="23" t="s">
        <v>54</v>
      </c>
      <c r="AQ521" s="23" t="s">
        <v>54</v>
      </c>
      <c r="AR521" s="37">
        <v>0</v>
      </c>
      <c r="AS521" s="37">
        <v>0</v>
      </c>
      <c r="AT521" s="37">
        <v>3</v>
      </c>
      <c r="AU521" s="33" t="str">
        <f t="shared" si="11"/>
        <v>库存为3</v>
      </c>
      <c r="AV521" s="38" t="str">
        <f>IFERROR(时间!$B$4+AU521,"上周无销量")</f>
        <v>上周无销量</v>
      </c>
    </row>
    <row r="522" spans="1:48">
      <c r="A522" s="21" t="s">
        <v>1164</v>
      </c>
      <c r="B522" t="s">
        <v>1165</v>
      </c>
      <c r="C522" t="s">
        <v>1135</v>
      </c>
      <c r="D522" s="33">
        <v>0</v>
      </c>
      <c r="E522" s="33">
        <v>0</v>
      </c>
      <c r="F522" s="33">
        <v>0</v>
      </c>
      <c r="G522" s="33">
        <v>0</v>
      </c>
      <c r="H522" s="34">
        <v>0</v>
      </c>
      <c r="I522">
        <v>4</v>
      </c>
      <c r="J522" s="35">
        <v>0</v>
      </c>
      <c r="K522" s="35">
        <v>0</v>
      </c>
      <c r="L522" s="35">
        <v>0</v>
      </c>
      <c r="M522">
        <v>4</v>
      </c>
      <c r="N522">
        <v>0</v>
      </c>
      <c r="O522">
        <v>4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3</v>
      </c>
      <c r="AK522">
        <v>0</v>
      </c>
      <c r="AL522">
        <v>0</v>
      </c>
      <c r="AM522">
        <v>3</v>
      </c>
      <c r="AN522" s="23">
        <v>0</v>
      </c>
      <c r="AO522" s="23" t="s">
        <v>54</v>
      </c>
      <c r="AP522" s="23" t="s">
        <v>54</v>
      </c>
      <c r="AQ522" s="23">
        <v>0</v>
      </c>
      <c r="AR522" s="37">
        <v>0</v>
      </c>
      <c r="AS522" s="37">
        <v>0</v>
      </c>
      <c r="AT522" s="37">
        <v>4</v>
      </c>
      <c r="AU522" s="33" t="str">
        <f t="shared" si="11"/>
        <v>库存为4</v>
      </c>
      <c r="AV522" s="38" t="str">
        <f>IFERROR(时间!$B$4+AU522,"上周无销量")</f>
        <v>上周无销量</v>
      </c>
    </row>
    <row r="523" spans="1:48">
      <c r="A523" s="21" t="s">
        <v>1166</v>
      </c>
      <c r="B523" t="s">
        <v>1167</v>
      </c>
      <c r="C523" t="s">
        <v>1135</v>
      </c>
      <c r="D523" s="33">
        <v>0</v>
      </c>
      <c r="E523" s="33">
        <v>0</v>
      </c>
      <c r="F523" s="33">
        <v>0</v>
      </c>
      <c r="G523" s="33">
        <v>0</v>
      </c>
      <c r="H523" s="34">
        <v>0</v>
      </c>
      <c r="I523">
        <v>4</v>
      </c>
      <c r="J523" s="35">
        <v>0</v>
      </c>
      <c r="K523" s="35">
        <v>0</v>
      </c>
      <c r="L523" s="35">
        <v>0</v>
      </c>
      <c r="M523">
        <v>4</v>
      </c>
      <c r="N523">
        <v>0</v>
      </c>
      <c r="O523">
        <v>4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3</v>
      </c>
      <c r="AK523">
        <v>0</v>
      </c>
      <c r="AL523">
        <v>0</v>
      </c>
      <c r="AM523">
        <v>2</v>
      </c>
      <c r="AN523" s="23">
        <v>0</v>
      </c>
      <c r="AO523" s="23" t="s">
        <v>54</v>
      </c>
      <c r="AP523" s="23" t="s">
        <v>54</v>
      </c>
      <c r="AQ523" s="23">
        <v>0</v>
      </c>
      <c r="AR523" s="37">
        <v>0</v>
      </c>
      <c r="AS523" s="37">
        <v>0</v>
      </c>
      <c r="AT523" s="37">
        <v>4</v>
      </c>
      <c r="AU523" s="33" t="str">
        <f t="shared" si="11"/>
        <v>库存为4</v>
      </c>
      <c r="AV523" s="38" t="str">
        <f>IFERROR(时间!$B$4+AU523,"上周无销量")</f>
        <v>上周无销量</v>
      </c>
    </row>
    <row r="524" spans="1:48">
      <c r="A524" s="21" t="s">
        <v>1168</v>
      </c>
      <c r="B524" t="s">
        <v>1169</v>
      </c>
      <c r="C524" t="s">
        <v>1135</v>
      </c>
      <c r="D524" s="33">
        <v>0</v>
      </c>
      <c r="E524" s="33">
        <v>0</v>
      </c>
      <c r="F524" s="33">
        <v>0</v>
      </c>
      <c r="G524" s="33">
        <v>0</v>
      </c>
      <c r="H524" s="34">
        <v>0</v>
      </c>
      <c r="I524">
        <v>3</v>
      </c>
      <c r="J524" s="35">
        <v>0</v>
      </c>
      <c r="K524" s="35">
        <v>0</v>
      </c>
      <c r="L524" s="35">
        <v>0</v>
      </c>
      <c r="M524">
        <v>3</v>
      </c>
      <c r="N524">
        <v>0</v>
      </c>
      <c r="O524">
        <v>3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3</v>
      </c>
      <c r="AK524">
        <v>0</v>
      </c>
      <c r="AL524">
        <v>0</v>
      </c>
      <c r="AM524">
        <v>3</v>
      </c>
      <c r="AN524" s="23">
        <v>0</v>
      </c>
      <c r="AO524" s="23" t="s">
        <v>54</v>
      </c>
      <c r="AP524" s="23" t="s">
        <v>54</v>
      </c>
      <c r="AQ524" s="23">
        <v>0</v>
      </c>
      <c r="AR524" s="37">
        <v>0</v>
      </c>
      <c r="AS524" s="37">
        <v>0</v>
      </c>
      <c r="AT524" s="37">
        <v>3</v>
      </c>
      <c r="AU524" s="33" t="str">
        <f t="shared" si="11"/>
        <v>库存为3</v>
      </c>
      <c r="AV524" s="38" t="str">
        <f>IFERROR(时间!$B$4+AU524,"上周无销量")</f>
        <v>上周无销量</v>
      </c>
    </row>
    <row r="525" spans="1:48">
      <c r="A525" s="21" t="s">
        <v>1170</v>
      </c>
      <c r="B525" t="s">
        <v>1171</v>
      </c>
      <c r="C525" t="s">
        <v>1172</v>
      </c>
      <c r="D525" s="33">
        <v>0</v>
      </c>
      <c r="E525" s="33">
        <v>0</v>
      </c>
      <c r="F525" s="33">
        <v>0</v>
      </c>
      <c r="G525" s="33">
        <v>0</v>
      </c>
      <c r="H525" s="34">
        <v>0</v>
      </c>
      <c r="I525">
        <v>4</v>
      </c>
      <c r="J525" s="35">
        <v>0</v>
      </c>
      <c r="K525" s="35">
        <v>0</v>
      </c>
      <c r="L525" s="35">
        <v>0</v>
      </c>
      <c r="M525">
        <v>4</v>
      </c>
      <c r="N525">
        <v>0</v>
      </c>
      <c r="O525">
        <v>4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4</v>
      </c>
      <c r="AK525">
        <v>0</v>
      </c>
      <c r="AL525">
        <v>0</v>
      </c>
      <c r="AM525">
        <v>1</v>
      </c>
      <c r="AN525" s="23">
        <v>0</v>
      </c>
      <c r="AO525" s="23" t="s">
        <v>54</v>
      </c>
      <c r="AP525" s="23" t="s">
        <v>54</v>
      </c>
      <c r="AQ525" s="23">
        <v>0</v>
      </c>
      <c r="AR525" s="37">
        <v>0</v>
      </c>
      <c r="AS525" s="37">
        <v>0</v>
      </c>
      <c r="AT525" s="37">
        <v>4</v>
      </c>
      <c r="AU525" s="33" t="str">
        <f t="shared" si="11"/>
        <v>库存为4</v>
      </c>
      <c r="AV525" s="38" t="str">
        <f>IFERROR(时间!$B$4+AU525,"上周无销量")</f>
        <v>上周无销量</v>
      </c>
    </row>
    <row r="526" spans="1:48">
      <c r="A526" s="21" t="s">
        <v>1173</v>
      </c>
      <c r="B526" t="s">
        <v>1174</v>
      </c>
      <c r="C526" t="s">
        <v>1172</v>
      </c>
      <c r="D526" s="33">
        <v>0</v>
      </c>
      <c r="E526" s="33">
        <v>0</v>
      </c>
      <c r="F526" s="33">
        <v>0</v>
      </c>
      <c r="G526" s="33">
        <v>0</v>
      </c>
      <c r="H526" s="34">
        <v>0</v>
      </c>
      <c r="I526">
        <v>1</v>
      </c>
      <c r="J526" s="35">
        <v>0</v>
      </c>
      <c r="K526" s="35">
        <v>0</v>
      </c>
      <c r="L526" s="35">
        <v>0</v>
      </c>
      <c r="M526">
        <v>1</v>
      </c>
      <c r="N526">
        <v>0</v>
      </c>
      <c r="O526">
        <v>1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7">
        <v>0</v>
      </c>
      <c r="AS526" s="37">
        <v>0</v>
      </c>
      <c r="AT526" s="37">
        <v>1</v>
      </c>
      <c r="AU526" s="33" t="str">
        <f t="shared" si="11"/>
        <v>库存为1</v>
      </c>
      <c r="AV526" s="38" t="str">
        <f>IFERROR(时间!$B$4+AU526,"上周无销量")</f>
        <v>上周无销量</v>
      </c>
    </row>
    <row r="527" spans="1:48">
      <c r="A527" s="21" t="s">
        <v>1175</v>
      </c>
      <c r="B527" t="s">
        <v>1176</v>
      </c>
      <c r="C527" t="s">
        <v>1172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2</v>
      </c>
      <c r="J527" s="35">
        <v>0</v>
      </c>
      <c r="K527" s="35">
        <v>0</v>
      </c>
      <c r="L527" s="35">
        <v>0</v>
      </c>
      <c r="M527">
        <v>2</v>
      </c>
      <c r="N527">
        <v>0</v>
      </c>
      <c r="O527">
        <v>2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2</v>
      </c>
      <c r="AK527">
        <v>1</v>
      </c>
      <c r="AL527">
        <v>1</v>
      </c>
      <c r="AM527">
        <v>0</v>
      </c>
      <c r="AN527" s="23">
        <v>0</v>
      </c>
      <c r="AO527" s="23">
        <v>0</v>
      </c>
      <c r="AP527" s="23">
        <v>0</v>
      </c>
      <c r="AQ527" s="23" t="s">
        <v>54</v>
      </c>
      <c r="AR527" s="37">
        <v>0</v>
      </c>
      <c r="AS527" s="37">
        <v>0</v>
      </c>
      <c r="AT527" s="37">
        <v>2</v>
      </c>
      <c r="AU527" s="33" t="str">
        <f t="shared" si="11"/>
        <v>库存为2</v>
      </c>
      <c r="AV527" s="38" t="str">
        <f>IFERROR(时间!$B$4+AU527,"上周无销量")</f>
        <v>上周无销量</v>
      </c>
    </row>
    <row r="528" spans="1:48">
      <c r="A528" s="21" t="s">
        <v>1177</v>
      </c>
      <c r="B528" t="s">
        <v>1178</v>
      </c>
      <c r="C528" t="s">
        <v>1179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0</v>
      </c>
      <c r="J528" s="35">
        <v>0</v>
      </c>
      <c r="K528" s="35">
        <v>0</v>
      </c>
      <c r="L528" s="35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7">
        <v>0</v>
      </c>
      <c r="AS528" s="37">
        <v>0</v>
      </c>
      <c r="AT528" s="37">
        <v>0</v>
      </c>
      <c r="AU528" s="33" t="str">
        <f t="shared" si="11"/>
        <v>库存为0</v>
      </c>
      <c r="AV528" s="38" t="str">
        <f>IFERROR(时间!$B$4+AU528,"上周无销量")</f>
        <v>上周无销量</v>
      </c>
    </row>
    <row r="529" spans="1:48">
      <c r="A529" s="21" t="s">
        <v>1180</v>
      </c>
      <c r="B529" t="s">
        <v>1181</v>
      </c>
      <c r="C529" t="s">
        <v>1182</v>
      </c>
      <c r="D529" s="33">
        <v>0</v>
      </c>
      <c r="E529" s="33">
        <v>0</v>
      </c>
      <c r="F529" s="33">
        <v>0</v>
      </c>
      <c r="G529" s="33">
        <v>0</v>
      </c>
      <c r="H529" s="34">
        <v>0</v>
      </c>
      <c r="I529">
        <v>2</v>
      </c>
      <c r="J529" s="35">
        <v>0</v>
      </c>
      <c r="K529" s="35">
        <v>0</v>
      </c>
      <c r="L529" s="35">
        <v>0</v>
      </c>
      <c r="M529">
        <v>2</v>
      </c>
      <c r="N529">
        <v>0</v>
      </c>
      <c r="O529">
        <v>2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2</v>
      </c>
      <c r="AK529">
        <v>1</v>
      </c>
      <c r="AL529">
        <v>1</v>
      </c>
      <c r="AM529">
        <v>1</v>
      </c>
      <c r="AN529" s="23">
        <v>0</v>
      </c>
      <c r="AO529" s="23">
        <v>0</v>
      </c>
      <c r="AP529" s="23">
        <v>0</v>
      </c>
      <c r="AQ529" s="23">
        <v>0</v>
      </c>
      <c r="AR529" s="37">
        <v>0</v>
      </c>
      <c r="AS529" s="37">
        <v>0</v>
      </c>
      <c r="AT529" s="37">
        <v>2</v>
      </c>
      <c r="AU529" s="33" t="str">
        <f t="shared" si="11"/>
        <v>库存为2</v>
      </c>
      <c r="AV529" s="38" t="str">
        <f>IFERROR(时间!$B$4+AU529,"上周无销量")</f>
        <v>上周无销量</v>
      </c>
    </row>
    <row r="530" spans="1:48">
      <c r="A530" s="21" t="s">
        <v>1183</v>
      </c>
      <c r="B530" t="s">
        <v>1184</v>
      </c>
      <c r="C530" t="s">
        <v>1182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1</v>
      </c>
      <c r="J530" s="35">
        <v>0</v>
      </c>
      <c r="K530" s="35">
        <v>0</v>
      </c>
      <c r="L530" s="35">
        <v>0</v>
      </c>
      <c r="M530">
        <v>1</v>
      </c>
      <c r="N530">
        <v>0</v>
      </c>
      <c r="O530">
        <v>1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2</v>
      </c>
      <c r="AK530">
        <v>1</v>
      </c>
      <c r="AL530">
        <v>1</v>
      </c>
      <c r="AM530">
        <v>1</v>
      </c>
      <c r="AN530" s="23">
        <v>0</v>
      </c>
      <c r="AO530" s="23">
        <v>0</v>
      </c>
      <c r="AP530" s="23">
        <v>0</v>
      </c>
      <c r="AQ530" s="23">
        <v>0</v>
      </c>
      <c r="AR530" s="37">
        <v>0</v>
      </c>
      <c r="AS530" s="37">
        <v>0</v>
      </c>
      <c r="AT530" s="37">
        <v>1</v>
      </c>
      <c r="AU530" s="33" t="str">
        <f t="shared" si="11"/>
        <v>库存为1</v>
      </c>
      <c r="AV530" s="38" t="str">
        <f>IFERROR(时间!$B$4+AU530,"上周无销量")</f>
        <v>上周无销量</v>
      </c>
    </row>
    <row r="531" spans="1:48">
      <c r="A531" s="21" t="s">
        <v>1185</v>
      </c>
      <c r="B531" t="s">
        <v>1186</v>
      </c>
      <c r="C531" t="s">
        <v>1187</v>
      </c>
      <c r="D531" s="33">
        <v>0</v>
      </c>
      <c r="E531" s="33">
        <v>0</v>
      </c>
      <c r="F531" s="33">
        <v>0</v>
      </c>
      <c r="G531" s="33">
        <v>0</v>
      </c>
      <c r="H531" s="34">
        <v>0</v>
      </c>
      <c r="I531">
        <v>2</v>
      </c>
      <c r="J531" s="35">
        <v>0</v>
      </c>
      <c r="K531" s="35">
        <v>0</v>
      </c>
      <c r="L531" s="35">
        <v>0</v>
      </c>
      <c r="M531">
        <v>2</v>
      </c>
      <c r="N531">
        <v>0</v>
      </c>
      <c r="O531">
        <v>2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1</v>
      </c>
      <c r="AK531">
        <v>0</v>
      </c>
      <c r="AL531">
        <v>0</v>
      </c>
      <c r="AM531">
        <v>1</v>
      </c>
      <c r="AN531" s="23">
        <v>0</v>
      </c>
      <c r="AO531" s="23" t="s">
        <v>54</v>
      </c>
      <c r="AP531" s="23" t="s">
        <v>54</v>
      </c>
      <c r="AQ531" s="23">
        <v>0</v>
      </c>
      <c r="AR531" s="37">
        <v>0</v>
      </c>
      <c r="AS531" s="37">
        <v>0</v>
      </c>
      <c r="AT531" s="37">
        <v>2</v>
      </c>
      <c r="AU531" s="33" t="str">
        <f t="shared" si="11"/>
        <v>库存为2</v>
      </c>
      <c r="AV531" s="38" t="str">
        <f>IFERROR(时间!$B$4+AU531,"上周无销量")</f>
        <v>上周无销量</v>
      </c>
    </row>
    <row r="532" spans="1:48">
      <c r="A532" s="21" t="s">
        <v>1188</v>
      </c>
      <c r="B532" t="s">
        <v>1189</v>
      </c>
      <c r="C532" t="s">
        <v>1190</v>
      </c>
      <c r="D532" s="33">
        <v>1</v>
      </c>
      <c r="E532" s="33">
        <v>1</v>
      </c>
      <c r="F532" s="33">
        <v>0</v>
      </c>
      <c r="G532" s="33">
        <v>8</v>
      </c>
      <c r="H532" s="34">
        <v>18.98</v>
      </c>
      <c r="I532">
        <v>15</v>
      </c>
      <c r="J532" s="35">
        <v>0</v>
      </c>
      <c r="K532" s="35">
        <v>0</v>
      </c>
      <c r="L532" s="35">
        <v>0</v>
      </c>
      <c r="M532">
        <v>15</v>
      </c>
      <c r="N532">
        <v>0</v>
      </c>
      <c r="O532">
        <v>13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8</v>
      </c>
      <c r="AK532">
        <v>5</v>
      </c>
      <c r="AL532">
        <v>5</v>
      </c>
      <c r="AM532">
        <v>9</v>
      </c>
      <c r="AN532" s="23">
        <v>0.125</v>
      </c>
      <c r="AO532" s="23">
        <v>0.2</v>
      </c>
      <c r="AP532" s="23">
        <v>0</v>
      </c>
      <c r="AQ532" s="23">
        <v>0.888888888888889</v>
      </c>
      <c r="AR532" s="37">
        <v>0.142857142857143</v>
      </c>
      <c r="AS532" s="37">
        <v>8.57142857142857</v>
      </c>
      <c r="AT532" s="37">
        <v>6.42857142857143</v>
      </c>
      <c r="AU532" s="33">
        <f t="shared" si="11"/>
        <v>105</v>
      </c>
      <c r="AV532" s="38">
        <f>IFERROR(时间!$B$4+AU532,"上周无销量")</f>
        <v>43395</v>
      </c>
    </row>
    <row r="533" spans="1:48">
      <c r="A533" s="21" t="s">
        <v>1191</v>
      </c>
      <c r="B533" t="s">
        <v>1192</v>
      </c>
      <c r="C533" t="s">
        <v>1190</v>
      </c>
      <c r="D533" s="33">
        <v>0</v>
      </c>
      <c r="E533" s="33">
        <v>0</v>
      </c>
      <c r="F533" s="33">
        <v>0</v>
      </c>
      <c r="G533" s="33">
        <v>3</v>
      </c>
      <c r="H533" s="34">
        <v>18.98</v>
      </c>
      <c r="I533">
        <v>18</v>
      </c>
      <c r="J533" s="35">
        <v>0</v>
      </c>
      <c r="K533" s="35">
        <v>0</v>
      </c>
      <c r="L533" s="35">
        <v>0</v>
      </c>
      <c r="M533">
        <v>18</v>
      </c>
      <c r="N533">
        <v>1</v>
      </c>
      <c r="O533">
        <v>18</v>
      </c>
      <c r="P533">
        <v>0</v>
      </c>
      <c r="Q533">
        <v>3741</v>
      </c>
      <c r="R533">
        <v>22753</v>
      </c>
      <c r="S533">
        <v>21420</v>
      </c>
      <c r="T533">
        <v>0</v>
      </c>
      <c r="U533">
        <v>31</v>
      </c>
      <c r="V533">
        <v>193</v>
      </c>
      <c r="W533">
        <v>207</v>
      </c>
      <c r="X533" s="23" t="s">
        <v>54</v>
      </c>
      <c r="Y533" s="23">
        <v>0.00828655439721999</v>
      </c>
      <c r="Z533" s="23">
        <v>0.00848239792554828</v>
      </c>
      <c r="AA533" s="23">
        <v>0.00966386554621849</v>
      </c>
      <c r="AB533">
        <v>0</v>
      </c>
      <c r="AC533">
        <v>10.32</v>
      </c>
      <c r="AD533">
        <v>61.19</v>
      </c>
      <c r="AE533">
        <v>71.58</v>
      </c>
      <c r="AF533" s="23" t="s">
        <v>54</v>
      </c>
      <c r="AG533" s="23">
        <v>0</v>
      </c>
      <c r="AH533" s="23">
        <v>0</v>
      </c>
      <c r="AI533" s="23">
        <v>1.25711275026344</v>
      </c>
      <c r="AJ533">
        <v>21</v>
      </c>
      <c r="AK533">
        <v>10</v>
      </c>
      <c r="AL533">
        <v>10</v>
      </c>
      <c r="AM533">
        <v>51</v>
      </c>
      <c r="AN533" s="23">
        <v>0</v>
      </c>
      <c r="AO533" s="23">
        <v>0</v>
      </c>
      <c r="AP533" s="23">
        <v>0</v>
      </c>
      <c r="AQ533" s="23">
        <v>0.0588235294117647</v>
      </c>
      <c r="AR533" s="37">
        <v>0</v>
      </c>
      <c r="AS533" s="37">
        <v>0</v>
      </c>
      <c r="AT533" s="37">
        <v>18</v>
      </c>
      <c r="AU533" s="33" t="str">
        <f t="shared" si="11"/>
        <v>库存为18</v>
      </c>
      <c r="AV533" s="38" t="str">
        <f>IFERROR(时间!$B$4+AU533,"上周无销量")</f>
        <v>上周无销量</v>
      </c>
    </row>
    <row r="534" spans="1:48">
      <c r="A534" s="21" t="s">
        <v>1193</v>
      </c>
      <c r="B534" t="s">
        <v>1194</v>
      </c>
      <c r="C534" t="s">
        <v>1190</v>
      </c>
      <c r="D534" s="33">
        <v>0</v>
      </c>
      <c r="E534" s="33">
        <v>1</v>
      </c>
      <c r="F534" s="33">
        <v>1</v>
      </c>
      <c r="G534" s="33">
        <v>1</v>
      </c>
      <c r="H534" s="34">
        <v>18.98</v>
      </c>
      <c r="I534">
        <v>4</v>
      </c>
      <c r="J534" s="35">
        <v>0</v>
      </c>
      <c r="K534" s="35">
        <v>0</v>
      </c>
      <c r="L534" s="35">
        <v>0</v>
      </c>
      <c r="M534">
        <v>4</v>
      </c>
      <c r="N534">
        <v>0</v>
      </c>
      <c r="O534">
        <v>4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2</v>
      </c>
      <c r="AK534">
        <v>4</v>
      </c>
      <c r="AL534">
        <v>4</v>
      </c>
      <c r="AM534">
        <v>11</v>
      </c>
      <c r="AN534" s="23">
        <v>0</v>
      </c>
      <c r="AO534" s="23">
        <v>0.25</v>
      </c>
      <c r="AP534" s="23">
        <v>0.25</v>
      </c>
      <c r="AQ534" s="23">
        <v>0.0909090909090909</v>
      </c>
      <c r="AR534" s="37">
        <v>0</v>
      </c>
      <c r="AS534" s="37">
        <v>0</v>
      </c>
      <c r="AT534" s="37">
        <v>4</v>
      </c>
      <c r="AU534" s="33" t="str">
        <f t="shared" si="11"/>
        <v>库存为4</v>
      </c>
      <c r="AV534" s="38" t="str">
        <f>IFERROR(时间!$B$4+AU534,"上周无销量")</f>
        <v>上周无销量</v>
      </c>
    </row>
    <row r="535" spans="1:48">
      <c r="A535" s="21" t="s">
        <v>1195</v>
      </c>
      <c r="B535" t="s">
        <v>1196</v>
      </c>
      <c r="C535" t="s">
        <v>1190</v>
      </c>
      <c r="D535" s="33">
        <v>0</v>
      </c>
      <c r="E535" s="33">
        <v>0</v>
      </c>
      <c r="F535" s="33">
        <v>1</v>
      </c>
      <c r="G535" s="33">
        <v>1</v>
      </c>
      <c r="H535" s="34">
        <v>15.98</v>
      </c>
      <c r="I535">
        <v>0</v>
      </c>
      <c r="J535" s="35">
        <v>0</v>
      </c>
      <c r="K535" s="35">
        <v>0</v>
      </c>
      <c r="L535" s="35">
        <v>0</v>
      </c>
      <c r="M535">
        <v>0</v>
      </c>
      <c r="N535">
        <v>1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1</v>
      </c>
      <c r="AL535">
        <v>1</v>
      </c>
      <c r="AM535">
        <v>7</v>
      </c>
      <c r="AN535" s="23" t="s">
        <v>54</v>
      </c>
      <c r="AO535" s="23">
        <v>0</v>
      </c>
      <c r="AP535" s="23">
        <v>1</v>
      </c>
      <c r="AQ535" s="23">
        <v>0.142857142857143</v>
      </c>
      <c r="AR535" s="37">
        <v>0</v>
      </c>
      <c r="AS535" s="37">
        <v>0</v>
      </c>
      <c r="AT535" s="37">
        <v>0</v>
      </c>
      <c r="AU535" s="33" t="str">
        <f t="shared" si="11"/>
        <v>库存为0</v>
      </c>
      <c r="AV535" s="38" t="str">
        <f>IFERROR(时间!$B$4+AU535,"上周无销量")</f>
        <v>上周无销量</v>
      </c>
    </row>
    <row r="536" spans="1:48">
      <c r="A536" s="21" t="s">
        <v>1197</v>
      </c>
      <c r="B536" t="s">
        <v>1198</v>
      </c>
      <c r="C536" t="s">
        <v>1199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0</v>
      </c>
      <c r="J536" s="35">
        <v>0</v>
      </c>
      <c r="K536" s="35">
        <v>0</v>
      </c>
      <c r="L536" s="35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s">
        <v>54</v>
      </c>
      <c r="AO536" s="23" t="s">
        <v>54</v>
      </c>
      <c r="AP536" s="23" t="s">
        <v>54</v>
      </c>
      <c r="AQ536" s="23" t="s">
        <v>54</v>
      </c>
      <c r="AR536" s="37">
        <v>0</v>
      </c>
      <c r="AS536" s="37">
        <v>0</v>
      </c>
      <c r="AT536" s="37">
        <v>0</v>
      </c>
      <c r="AU536" s="33" t="str">
        <f t="shared" si="11"/>
        <v>库存为0</v>
      </c>
      <c r="AV536" s="38" t="str">
        <f>IFERROR(时间!$B$4+AU536,"上周无销量")</f>
        <v>上周无销量</v>
      </c>
    </row>
    <row r="537" spans="1:48">
      <c r="A537" s="21" t="s">
        <v>1200</v>
      </c>
      <c r="B537" t="s">
        <v>1201</v>
      </c>
      <c r="C537" t="s">
        <v>1199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0</v>
      </c>
      <c r="J537" s="35">
        <v>0</v>
      </c>
      <c r="K537" s="35">
        <v>0</v>
      </c>
      <c r="L537" s="35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s">
        <v>54</v>
      </c>
      <c r="AO537" s="23" t="s">
        <v>54</v>
      </c>
      <c r="AP537" s="23" t="s">
        <v>54</v>
      </c>
      <c r="AQ537" s="23" t="s">
        <v>54</v>
      </c>
      <c r="AR537" s="37">
        <v>0</v>
      </c>
      <c r="AS537" s="37">
        <v>0</v>
      </c>
      <c r="AT537" s="37">
        <v>0</v>
      </c>
      <c r="AU537" s="33" t="str">
        <f t="shared" si="11"/>
        <v>库存为0</v>
      </c>
      <c r="AV537" s="38" t="str">
        <f>IFERROR(时间!$B$4+AU537,"上周无销量")</f>
        <v>上周无销量</v>
      </c>
    </row>
    <row r="538" spans="1:48">
      <c r="A538" s="21" t="s">
        <v>1202</v>
      </c>
      <c r="B538" t="s">
        <v>1203</v>
      </c>
      <c r="C538" t="s">
        <v>1199</v>
      </c>
      <c r="D538" s="33">
        <v>0</v>
      </c>
      <c r="E538" s="33">
        <v>0</v>
      </c>
      <c r="F538" s="33">
        <v>0</v>
      </c>
      <c r="G538" s="33">
        <v>0</v>
      </c>
      <c r="H538" s="34">
        <v>0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7">
        <v>0</v>
      </c>
      <c r="AS538" s="37">
        <v>0</v>
      </c>
      <c r="AT538" s="37">
        <v>0</v>
      </c>
      <c r="AU538" s="33" t="str">
        <f t="shared" si="11"/>
        <v>库存为0</v>
      </c>
      <c r="AV538" s="38" t="str">
        <f>IFERROR(时间!$B$4+AU538,"上周无销量")</f>
        <v>上周无销量</v>
      </c>
    </row>
    <row r="539" spans="1:48">
      <c r="A539" s="21" t="s">
        <v>1204</v>
      </c>
      <c r="B539" t="s">
        <v>1205</v>
      </c>
      <c r="C539" t="s">
        <v>1199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0</v>
      </c>
      <c r="J539" s="35">
        <v>0</v>
      </c>
      <c r="K539" s="35">
        <v>0</v>
      </c>
      <c r="L539" s="35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s">
        <v>54</v>
      </c>
      <c r="AO539" s="23" t="s">
        <v>54</v>
      </c>
      <c r="AP539" s="23" t="s">
        <v>54</v>
      </c>
      <c r="AQ539" s="23" t="s">
        <v>54</v>
      </c>
      <c r="AR539" s="37">
        <v>0</v>
      </c>
      <c r="AS539" s="37">
        <v>0</v>
      </c>
      <c r="AT539" s="37">
        <v>0</v>
      </c>
      <c r="AU539" s="33" t="str">
        <f t="shared" si="11"/>
        <v>库存为0</v>
      </c>
      <c r="AV539" s="38" t="str">
        <f>IFERROR(时间!$B$4+AU539,"上周无销量")</f>
        <v>上周无销量</v>
      </c>
    </row>
    <row r="540" spans="1:48">
      <c r="A540" s="21" t="s">
        <v>1206</v>
      </c>
      <c r="B540" t="s">
        <v>1207</v>
      </c>
      <c r="C540" t="s">
        <v>1208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s">
        <v>54</v>
      </c>
      <c r="AO540" s="23" t="s">
        <v>54</v>
      </c>
      <c r="AP540" s="23" t="s">
        <v>54</v>
      </c>
      <c r="AQ540" s="23" t="s">
        <v>54</v>
      </c>
      <c r="AR540" s="37">
        <v>0</v>
      </c>
      <c r="AS540" s="37">
        <v>0</v>
      </c>
      <c r="AT540" s="37">
        <v>0</v>
      </c>
      <c r="AU540" s="33" t="str">
        <f t="shared" si="11"/>
        <v>库存为0</v>
      </c>
      <c r="AV540" s="38" t="str">
        <f>IFERROR(时间!$B$4+AU540,"上周无销量")</f>
        <v>上周无销量</v>
      </c>
    </row>
    <row r="541" spans="1:48">
      <c r="A541" s="21" t="s">
        <v>1209</v>
      </c>
      <c r="B541" t="s">
        <v>1210</v>
      </c>
      <c r="C541" t="s">
        <v>1211</v>
      </c>
      <c r="D541" s="33">
        <v>0</v>
      </c>
      <c r="E541" s="33">
        <v>0</v>
      </c>
      <c r="F541" s="33">
        <v>0</v>
      </c>
      <c r="G541" s="33">
        <v>0</v>
      </c>
      <c r="H541" s="34">
        <v>0</v>
      </c>
      <c r="I541">
        <v>0</v>
      </c>
      <c r="J541" s="35">
        <v>0</v>
      </c>
      <c r="K541" s="35">
        <v>0</v>
      </c>
      <c r="L541" s="35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s">
        <v>54</v>
      </c>
      <c r="AO541" s="23" t="s">
        <v>54</v>
      </c>
      <c r="AP541" s="23" t="s">
        <v>54</v>
      </c>
      <c r="AQ541" s="23" t="s">
        <v>54</v>
      </c>
      <c r="AR541" s="37">
        <v>0</v>
      </c>
      <c r="AS541" s="37">
        <v>0</v>
      </c>
      <c r="AT541" s="37">
        <v>0</v>
      </c>
      <c r="AU541" s="33" t="str">
        <f t="shared" si="11"/>
        <v>库存为0</v>
      </c>
      <c r="AV541" s="38" t="str">
        <f>IFERROR(时间!$B$4+AU541,"上周无销量")</f>
        <v>上周无销量</v>
      </c>
    </row>
    <row r="542" spans="1:48">
      <c r="A542" s="21" t="s">
        <v>1212</v>
      </c>
      <c r="B542" t="s">
        <v>1213</v>
      </c>
      <c r="C542" t="s">
        <v>1211</v>
      </c>
      <c r="D542" s="33">
        <v>0</v>
      </c>
      <c r="E542" s="33">
        <v>0</v>
      </c>
      <c r="F542" s="33">
        <v>1</v>
      </c>
      <c r="G542" s="33">
        <v>1</v>
      </c>
      <c r="H542" s="34">
        <v>18.98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1</v>
      </c>
      <c r="AL542">
        <v>1</v>
      </c>
      <c r="AM542">
        <v>1</v>
      </c>
      <c r="AN542" s="23" t="s">
        <v>54</v>
      </c>
      <c r="AO542" s="23">
        <v>0</v>
      </c>
      <c r="AP542" s="23">
        <v>1</v>
      </c>
      <c r="AQ542" s="23">
        <v>1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1214</v>
      </c>
      <c r="B543" t="s">
        <v>1215</v>
      </c>
      <c r="C543" t="s">
        <v>1211</v>
      </c>
      <c r="D543" s="33">
        <v>1</v>
      </c>
      <c r="E543" s="33">
        <v>0</v>
      </c>
      <c r="F543" s="33">
        <v>0</v>
      </c>
      <c r="G543" s="33">
        <v>0</v>
      </c>
      <c r="H543" s="34">
        <v>18.98</v>
      </c>
      <c r="I543">
        <v>5</v>
      </c>
      <c r="J543" s="35">
        <v>0</v>
      </c>
      <c r="K543" s="35">
        <v>0</v>
      </c>
      <c r="L543" s="35">
        <v>0</v>
      </c>
      <c r="M543">
        <v>5</v>
      </c>
      <c r="N543">
        <v>0</v>
      </c>
      <c r="O543">
        <v>2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5</v>
      </c>
      <c r="AK543">
        <v>0</v>
      </c>
      <c r="AL543">
        <v>0</v>
      </c>
      <c r="AM543">
        <v>1</v>
      </c>
      <c r="AN543" s="23">
        <v>0.2</v>
      </c>
      <c r="AO543" s="23" t="s">
        <v>54</v>
      </c>
      <c r="AP543" s="23" t="s">
        <v>54</v>
      </c>
      <c r="AQ543" s="23">
        <v>0</v>
      </c>
      <c r="AR543" s="37">
        <v>0.142857142857143</v>
      </c>
      <c r="AS543" s="37">
        <v>8.57142857142857</v>
      </c>
      <c r="AT543" s="37">
        <v>-3.57142857142857</v>
      </c>
      <c r="AU543" s="33">
        <f t="shared" si="11"/>
        <v>35</v>
      </c>
      <c r="AV543" s="38">
        <f>IFERROR(时间!$B$4+AU543,"上周无销量")</f>
        <v>43325</v>
      </c>
    </row>
    <row r="544" spans="1:48">
      <c r="A544" s="21" t="s">
        <v>1216</v>
      </c>
      <c r="B544" t="s">
        <v>1217</v>
      </c>
      <c r="C544" t="s">
        <v>1211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10</v>
      </c>
      <c r="J544" s="35">
        <v>0</v>
      </c>
      <c r="K544" s="35">
        <v>0</v>
      </c>
      <c r="L544" s="35">
        <v>0</v>
      </c>
      <c r="M544">
        <v>10</v>
      </c>
      <c r="N544">
        <v>0</v>
      </c>
      <c r="O544">
        <v>10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6</v>
      </c>
      <c r="AK544">
        <v>2</v>
      </c>
      <c r="AL544">
        <v>2</v>
      </c>
      <c r="AM544">
        <v>1</v>
      </c>
      <c r="AN544" s="23">
        <v>0</v>
      </c>
      <c r="AO544" s="23">
        <v>0</v>
      </c>
      <c r="AP544" s="23">
        <v>0</v>
      </c>
      <c r="AQ544" s="23">
        <v>0</v>
      </c>
      <c r="AR544" s="37">
        <v>0</v>
      </c>
      <c r="AS544" s="37">
        <v>0</v>
      </c>
      <c r="AT544" s="37">
        <v>10</v>
      </c>
      <c r="AU544" s="33" t="str">
        <f t="shared" si="11"/>
        <v>库存为10</v>
      </c>
      <c r="AV544" s="38" t="str">
        <f>IFERROR(时间!$B$4+AU544,"上周无销量")</f>
        <v>上周无销量</v>
      </c>
    </row>
    <row r="545" spans="1:48">
      <c r="A545" s="21" t="s">
        <v>1218</v>
      </c>
      <c r="B545" t="s">
        <v>1219</v>
      </c>
      <c r="C545" t="s">
        <v>1211</v>
      </c>
      <c r="D545" s="33">
        <v>0</v>
      </c>
      <c r="E545" s="33">
        <v>2</v>
      </c>
      <c r="F545" s="33">
        <v>0</v>
      </c>
      <c r="G545" s="33">
        <v>0</v>
      </c>
      <c r="H545" s="34">
        <v>18.98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s">
        <v>54</v>
      </c>
      <c r="AO545" s="23" t="s">
        <v>54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1220</v>
      </c>
      <c r="B546" t="s">
        <v>1221</v>
      </c>
      <c r="C546" t="s">
        <v>1222</v>
      </c>
      <c r="D546" s="33">
        <v>0</v>
      </c>
      <c r="E546" s="33">
        <v>0</v>
      </c>
      <c r="F546" s="33">
        <v>0</v>
      </c>
      <c r="G546" s="33">
        <v>0</v>
      </c>
      <c r="H546" s="34">
        <v>0</v>
      </c>
      <c r="I546">
        <v>1</v>
      </c>
      <c r="J546" s="35">
        <v>0</v>
      </c>
      <c r="K546" s="35">
        <v>0</v>
      </c>
      <c r="L546" s="35">
        <v>0</v>
      </c>
      <c r="M546">
        <v>1</v>
      </c>
      <c r="N546">
        <v>0</v>
      </c>
      <c r="O546">
        <v>1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3</v>
      </c>
      <c r="AK546">
        <v>1</v>
      </c>
      <c r="AL546">
        <v>1</v>
      </c>
      <c r="AM546">
        <v>1</v>
      </c>
      <c r="AN546" s="23">
        <v>0</v>
      </c>
      <c r="AO546" s="23">
        <v>0</v>
      </c>
      <c r="AP546" s="23">
        <v>0</v>
      </c>
      <c r="AQ546" s="23">
        <v>0</v>
      </c>
      <c r="AR546" s="37">
        <v>0</v>
      </c>
      <c r="AS546" s="37">
        <v>0</v>
      </c>
      <c r="AT546" s="37">
        <v>1</v>
      </c>
      <c r="AU546" s="33" t="str">
        <f t="shared" si="11"/>
        <v>库存为1</v>
      </c>
      <c r="AV546" s="38" t="str">
        <f>IFERROR(时间!$B$4+AU546,"上周无销量")</f>
        <v>上周无销量</v>
      </c>
    </row>
    <row r="547" spans="1:48">
      <c r="A547" s="21" t="s">
        <v>1223</v>
      </c>
      <c r="B547" t="s">
        <v>1224</v>
      </c>
      <c r="C547" t="s">
        <v>1222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0</v>
      </c>
      <c r="K547" s="35">
        <v>0</v>
      </c>
      <c r="L547" s="35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0</v>
      </c>
      <c r="AU547" s="33" t="str">
        <f t="shared" si="11"/>
        <v>库存为0</v>
      </c>
      <c r="AV547" s="38" t="str">
        <f>IFERROR(时间!$B$4+AU547,"上周无销量")</f>
        <v>上周无销量</v>
      </c>
    </row>
    <row r="548" spans="1:48">
      <c r="A548" s="21" t="s">
        <v>1225</v>
      </c>
      <c r="B548" t="s">
        <v>1226</v>
      </c>
      <c r="C548" t="s">
        <v>1222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1</v>
      </c>
      <c r="J548" s="35">
        <v>0</v>
      </c>
      <c r="K548" s="35">
        <v>0</v>
      </c>
      <c r="L548" s="35">
        <v>0</v>
      </c>
      <c r="M548">
        <v>1</v>
      </c>
      <c r="N548">
        <v>0</v>
      </c>
      <c r="O548">
        <v>1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4</v>
      </c>
      <c r="AK548">
        <v>1</v>
      </c>
      <c r="AL548">
        <v>1</v>
      </c>
      <c r="AM548">
        <v>1</v>
      </c>
      <c r="AN548" s="23">
        <v>0</v>
      </c>
      <c r="AO548" s="23">
        <v>0</v>
      </c>
      <c r="AP548" s="23">
        <v>0</v>
      </c>
      <c r="AQ548" s="23">
        <v>0</v>
      </c>
      <c r="AR548" s="37">
        <v>0</v>
      </c>
      <c r="AS548" s="37">
        <v>0</v>
      </c>
      <c r="AT548" s="37">
        <v>1</v>
      </c>
      <c r="AU548" s="33" t="str">
        <f t="shared" si="11"/>
        <v>库存为1</v>
      </c>
      <c r="AV548" s="38" t="str">
        <f>IFERROR(时间!$B$4+AU548,"上周无销量")</f>
        <v>上周无销量</v>
      </c>
    </row>
    <row r="549" spans="1:48">
      <c r="A549" s="21" t="s">
        <v>1227</v>
      </c>
      <c r="B549" t="s">
        <v>1228</v>
      </c>
      <c r="C549" t="s">
        <v>1229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1230</v>
      </c>
      <c r="B550" t="s">
        <v>1231</v>
      </c>
      <c r="C550" t="s">
        <v>1229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1232</v>
      </c>
      <c r="B551" t="s">
        <v>1233</v>
      </c>
      <c r="C551" t="s">
        <v>1234</v>
      </c>
      <c r="D551" s="33">
        <v>0</v>
      </c>
      <c r="E551" s="33">
        <v>0</v>
      </c>
      <c r="F551" s="33">
        <v>2</v>
      </c>
      <c r="G551" s="33">
        <v>0</v>
      </c>
      <c r="H551" s="34">
        <v>15.09</v>
      </c>
      <c r="I551">
        <v>0</v>
      </c>
      <c r="J551" s="35">
        <v>0</v>
      </c>
      <c r="K551" s="35">
        <v>0</v>
      </c>
      <c r="L551" s="35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1</v>
      </c>
      <c r="AL551">
        <v>1</v>
      </c>
      <c r="AM551">
        <v>2</v>
      </c>
      <c r="AN551" s="23" t="s">
        <v>54</v>
      </c>
      <c r="AO551" s="23">
        <v>0</v>
      </c>
      <c r="AP551" s="23">
        <v>2</v>
      </c>
      <c r="AQ551" s="23">
        <v>0</v>
      </c>
      <c r="AR551" s="37">
        <v>0</v>
      </c>
      <c r="AS551" s="37">
        <v>0</v>
      </c>
      <c r="AT551" s="37">
        <v>0</v>
      </c>
      <c r="AU551" s="33" t="str">
        <f t="shared" si="11"/>
        <v>库存为0</v>
      </c>
      <c r="AV551" s="38" t="str">
        <f>IFERROR(时间!$B$4+AU551,"上周无销量")</f>
        <v>上周无销量</v>
      </c>
    </row>
    <row r="552" spans="1:48">
      <c r="A552" s="21" t="s">
        <v>1235</v>
      </c>
      <c r="B552" t="s">
        <v>1236</v>
      </c>
      <c r="C552" t="s">
        <v>1234</v>
      </c>
      <c r="D552" s="33">
        <v>1</v>
      </c>
      <c r="E552" s="33">
        <v>1</v>
      </c>
      <c r="F552" s="33">
        <v>2</v>
      </c>
      <c r="G552" s="33">
        <v>0</v>
      </c>
      <c r="H552" s="34">
        <v>15.09</v>
      </c>
      <c r="I552">
        <v>7</v>
      </c>
      <c r="J552" s="35">
        <v>0</v>
      </c>
      <c r="K552" s="35">
        <v>0</v>
      </c>
      <c r="L552" s="35">
        <v>0</v>
      </c>
      <c r="M552">
        <v>7</v>
      </c>
      <c r="N552">
        <v>0</v>
      </c>
      <c r="O552">
        <v>6</v>
      </c>
      <c r="P552">
        <v>0</v>
      </c>
      <c r="Q552">
        <v>1</v>
      </c>
      <c r="R552">
        <v>1</v>
      </c>
      <c r="S552">
        <v>3</v>
      </c>
      <c r="T552">
        <v>0</v>
      </c>
      <c r="U552">
        <v>0</v>
      </c>
      <c r="V552">
        <v>0</v>
      </c>
      <c r="W552">
        <v>0</v>
      </c>
      <c r="X552" s="23" t="s">
        <v>54</v>
      </c>
      <c r="Y552" s="23">
        <v>0</v>
      </c>
      <c r="Z552" s="23">
        <v>0</v>
      </c>
      <c r="AA552" s="23">
        <v>0</v>
      </c>
      <c r="AB552">
        <v>0</v>
      </c>
      <c r="AC552">
        <v>0</v>
      </c>
      <c r="AD552">
        <v>0</v>
      </c>
      <c r="AE552">
        <v>0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23</v>
      </c>
      <c r="AK552">
        <v>16</v>
      </c>
      <c r="AL552">
        <v>16</v>
      </c>
      <c r="AM552">
        <v>8</v>
      </c>
      <c r="AN552" s="23">
        <v>0.0434782608695652</v>
      </c>
      <c r="AO552" s="23">
        <v>0.0625</v>
      </c>
      <c r="AP552" s="23">
        <v>0.125</v>
      </c>
      <c r="AQ552" s="23">
        <v>0</v>
      </c>
      <c r="AR552" s="37">
        <v>0.142857142857143</v>
      </c>
      <c r="AS552" s="37">
        <v>8.57142857142857</v>
      </c>
      <c r="AT552" s="37">
        <v>-1.57142857142857</v>
      </c>
      <c r="AU552" s="33">
        <f t="shared" si="11"/>
        <v>49</v>
      </c>
      <c r="AV552" s="38">
        <f>IFERROR(时间!$B$4+AU552,"上周无销量")</f>
        <v>43339</v>
      </c>
    </row>
    <row r="553" spans="1:48">
      <c r="A553" s="21" t="s">
        <v>1237</v>
      </c>
      <c r="B553" t="s">
        <v>1238</v>
      </c>
      <c r="C553" t="s">
        <v>1239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s">
        <v>54</v>
      </c>
      <c r="AO553" s="23" t="s">
        <v>54</v>
      </c>
      <c r="AP553" s="23" t="s">
        <v>54</v>
      </c>
      <c r="AQ553" s="23" t="s">
        <v>54</v>
      </c>
      <c r="AR553" s="37">
        <v>0</v>
      </c>
      <c r="AS553" s="37">
        <v>0</v>
      </c>
      <c r="AT553" s="37">
        <v>0</v>
      </c>
      <c r="AU553" s="33" t="str">
        <f t="shared" si="11"/>
        <v>库存为0</v>
      </c>
      <c r="AV553" s="38" t="str">
        <f>IFERROR(时间!$B$4+AU553,"上周无销量")</f>
        <v>上周无销量</v>
      </c>
    </row>
    <row r="554" spans="1:48">
      <c r="A554" s="21" t="s">
        <v>1240</v>
      </c>
      <c r="B554" t="s">
        <v>1241</v>
      </c>
      <c r="C554" t="s">
        <v>1239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0</v>
      </c>
      <c r="J554" s="35">
        <v>0</v>
      </c>
      <c r="K554" s="35">
        <v>0</v>
      </c>
      <c r="L554" s="35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7">
        <v>0</v>
      </c>
      <c r="AS554" s="37">
        <v>0</v>
      </c>
      <c r="AT554" s="37">
        <v>0</v>
      </c>
      <c r="AU554" s="33" t="str">
        <f t="shared" si="11"/>
        <v>库存为0</v>
      </c>
      <c r="AV554" s="38" t="str">
        <f>IFERROR(时间!$B$4+AU554,"上周无销量")</f>
        <v>上周无销量</v>
      </c>
    </row>
    <row r="555" spans="1:48">
      <c r="A555" s="21" t="s">
        <v>1242</v>
      </c>
      <c r="B555" t="s">
        <v>1243</v>
      </c>
      <c r="C555" t="s">
        <v>1239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0</v>
      </c>
      <c r="J555" s="35">
        <v>0</v>
      </c>
      <c r="K555" s="35">
        <v>0</v>
      </c>
      <c r="L555" s="35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s">
        <v>54</v>
      </c>
      <c r="AO555" s="23" t="s">
        <v>54</v>
      </c>
      <c r="AP555" s="23" t="s">
        <v>54</v>
      </c>
      <c r="AQ555" s="23" t="s">
        <v>54</v>
      </c>
      <c r="AR555" s="37">
        <v>0</v>
      </c>
      <c r="AS555" s="37">
        <v>0</v>
      </c>
      <c r="AT555" s="37">
        <v>0</v>
      </c>
      <c r="AU555" s="33" t="str">
        <f t="shared" si="11"/>
        <v>库存为0</v>
      </c>
      <c r="AV555" s="38" t="str">
        <f>IFERROR(时间!$B$4+AU555,"上周无销量")</f>
        <v>上周无销量</v>
      </c>
    </row>
    <row r="556" spans="1:48">
      <c r="A556" s="21" t="s">
        <v>1244</v>
      </c>
      <c r="B556" t="s">
        <v>1245</v>
      </c>
      <c r="C556" t="s">
        <v>1246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0</v>
      </c>
      <c r="K556" s="35">
        <v>0</v>
      </c>
      <c r="L556" s="35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0</v>
      </c>
      <c r="AU556" s="33" t="str">
        <f t="shared" si="11"/>
        <v>库存为0</v>
      </c>
      <c r="AV556" s="38" t="str">
        <f>IFERROR(时间!$B$4+AU556,"上周无销量")</f>
        <v>上周无销量</v>
      </c>
    </row>
    <row r="557" spans="1:48">
      <c r="A557" s="21" t="s">
        <v>1247</v>
      </c>
      <c r="B557" t="s">
        <v>1248</v>
      </c>
      <c r="C557" t="s">
        <v>1246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0</v>
      </c>
      <c r="J557" s="35">
        <v>0</v>
      </c>
      <c r="K557" s="35">
        <v>0</v>
      </c>
      <c r="L557" s="35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s">
        <v>54</v>
      </c>
      <c r="AO557" s="23" t="s">
        <v>54</v>
      </c>
      <c r="AP557" s="23" t="s">
        <v>54</v>
      </c>
      <c r="AQ557" s="23" t="s">
        <v>54</v>
      </c>
      <c r="AR557" s="37">
        <v>0</v>
      </c>
      <c r="AS557" s="37">
        <v>0</v>
      </c>
      <c r="AT557" s="37">
        <v>0</v>
      </c>
      <c r="AU557" s="33" t="str">
        <f t="shared" si="11"/>
        <v>库存为0</v>
      </c>
      <c r="AV557" s="38" t="str">
        <f>IFERROR(时间!$B$4+AU557,"上周无销量")</f>
        <v>上周无销量</v>
      </c>
    </row>
    <row r="558" spans="1:48">
      <c r="A558" s="21" t="s">
        <v>1249</v>
      </c>
      <c r="B558" t="s">
        <v>1250</v>
      </c>
      <c r="C558" t="s">
        <v>1246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1251</v>
      </c>
      <c r="B559" t="s">
        <v>1252</v>
      </c>
      <c r="C559" t="s">
        <v>1246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0</v>
      </c>
      <c r="J559" s="35">
        <v>0</v>
      </c>
      <c r="K559" s="35">
        <v>0</v>
      </c>
      <c r="L559" s="35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0</v>
      </c>
      <c r="AU559" s="33" t="str">
        <f t="shared" si="11"/>
        <v>库存为0</v>
      </c>
      <c r="AV559" s="38" t="str">
        <f>IFERROR(时间!$B$4+AU559,"上周无销量")</f>
        <v>上周无销量</v>
      </c>
    </row>
    <row r="560" spans="1:48">
      <c r="A560" s="21" t="s">
        <v>1253</v>
      </c>
      <c r="B560" t="s">
        <v>1254</v>
      </c>
      <c r="C560" t="s">
        <v>1246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0</v>
      </c>
      <c r="J560" s="35">
        <v>0</v>
      </c>
      <c r="K560" s="35">
        <v>0</v>
      </c>
      <c r="L560" s="35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s">
        <v>54</v>
      </c>
      <c r="AO560" s="23" t="s">
        <v>54</v>
      </c>
      <c r="AP560" s="23" t="s">
        <v>54</v>
      </c>
      <c r="AQ560" s="23" t="s">
        <v>54</v>
      </c>
      <c r="AR560" s="37">
        <v>0</v>
      </c>
      <c r="AS560" s="37">
        <v>0</v>
      </c>
      <c r="AT560" s="37">
        <v>0</v>
      </c>
      <c r="AU560" s="33" t="str">
        <f t="shared" si="11"/>
        <v>库存为0</v>
      </c>
      <c r="AV560" s="38" t="str">
        <f>IFERROR(时间!$B$4+AU560,"上周无销量")</f>
        <v>上周无销量</v>
      </c>
    </row>
    <row r="561" spans="1:48">
      <c r="A561" s="21" t="s">
        <v>1255</v>
      </c>
      <c r="B561" t="s">
        <v>1256</v>
      </c>
      <c r="C561" t="s">
        <v>1246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0</v>
      </c>
      <c r="J561" s="35">
        <v>0</v>
      </c>
      <c r="K561" s="35">
        <v>0</v>
      </c>
      <c r="L561" s="35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s">
        <v>54</v>
      </c>
      <c r="AO561" s="23" t="s">
        <v>54</v>
      </c>
      <c r="AP561" s="23" t="s">
        <v>54</v>
      </c>
      <c r="AQ561" s="23" t="s">
        <v>54</v>
      </c>
      <c r="AR561" s="37">
        <v>0</v>
      </c>
      <c r="AS561" s="37">
        <v>0</v>
      </c>
      <c r="AT561" s="37">
        <v>0</v>
      </c>
      <c r="AU561" s="33" t="str">
        <f t="shared" si="11"/>
        <v>库存为0</v>
      </c>
      <c r="AV561" s="38" t="str">
        <f>IFERROR(时间!$B$4+AU561,"上周无销量")</f>
        <v>上周无销量</v>
      </c>
    </row>
    <row r="562" spans="1:48">
      <c r="A562" s="21" t="s">
        <v>1257</v>
      </c>
      <c r="B562" t="s">
        <v>1258</v>
      </c>
      <c r="C562" t="s">
        <v>1246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7">
        <v>0</v>
      </c>
      <c r="AS562" s="37">
        <v>0</v>
      </c>
      <c r="AT562" s="37">
        <v>0</v>
      </c>
      <c r="AU562" s="33" t="str">
        <f t="shared" si="11"/>
        <v>库存为0</v>
      </c>
      <c r="AV562" s="38" t="str">
        <f>IFERROR(时间!$B$4+AU562,"上周无销量")</f>
        <v>上周无销量</v>
      </c>
    </row>
    <row r="563" spans="1:48">
      <c r="A563" s="21" t="s">
        <v>1259</v>
      </c>
      <c r="B563" t="s">
        <v>1260</v>
      </c>
      <c r="C563" t="s">
        <v>1246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0</v>
      </c>
      <c r="J563" s="35">
        <v>0</v>
      </c>
      <c r="K563" s="35">
        <v>0</v>
      </c>
      <c r="L563" s="35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7">
        <v>0</v>
      </c>
      <c r="AS563" s="37">
        <v>0</v>
      </c>
      <c r="AT563" s="37">
        <v>0</v>
      </c>
      <c r="AU563" s="33" t="str">
        <f t="shared" si="11"/>
        <v>库存为0</v>
      </c>
      <c r="AV563" s="38" t="str">
        <f>IFERROR(时间!$B$4+AU563,"上周无销量")</f>
        <v>上周无销量</v>
      </c>
    </row>
    <row r="564" spans="1:48">
      <c r="A564" s="21" t="s">
        <v>1261</v>
      </c>
      <c r="B564" t="s">
        <v>1262</v>
      </c>
      <c r="C564" t="s">
        <v>1263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0</v>
      </c>
      <c r="J564" s="35">
        <v>0</v>
      </c>
      <c r="K564" s="35">
        <v>0</v>
      </c>
      <c r="L564" s="35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0</v>
      </c>
      <c r="AU564" s="33" t="str">
        <f t="shared" si="11"/>
        <v>库存为0</v>
      </c>
      <c r="AV564" s="38" t="str">
        <f>IFERROR(时间!$B$4+AU564,"上周无销量")</f>
        <v>上周无销量</v>
      </c>
    </row>
    <row r="565" spans="1:48">
      <c r="A565" s="21" t="s">
        <v>1264</v>
      </c>
      <c r="B565" t="s">
        <v>1265</v>
      </c>
      <c r="C565" t="s">
        <v>1263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0</v>
      </c>
      <c r="J565" s="35">
        <v>0</v>
      </c>
      <c r="K565" s="35">
        <v>0</v>
      </c>
      <c r="L565" s="35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7">
        <v>0</v>
      </c>
      <c r="AS565" s="37">
        <v>0</v>
      </c>
      <c r="AT565" s="37">
        <v>0</v>
      </c>
      <c r="AU565" s="33" t="str">
        <f t="shared" si="11"/>
        <v>库存为0</v>
      </c>
      <c r="AV565" s="38" t="str">
        <f>IFERROR(时间!$B$4+AU565,"上周无销量")</f>
        <v>上周无销量</v>
      </c>
    </row>
    <row r="566" spans="1:48">
      <c r="A566" s="21" t="s">
        <v>1266</v>
      </c>
      <c r="B566" t="s">
        <v>1267</v>
      </c>
      <c r="C566" t="s">
        <v>1263</v>
      </c>
      <c r="D566" s="33">
        <v>0</v>
      </c>
      <c r="E566" s="33">
        <v>0</v>
      </c>
      <c r="F566" s="33">
        <v>0</v>
      </c>
      <c r="G566" s="33">
        <v>0</v>
      </c>
      <c r="H566" s="34">
        <v>0</v>
      </c>
      <c r="I566">
        <v>0</v>
      </c>
      <c r="J566" s="35">
        <v>0</v>
      </c>
      <c r="K566" s="35">
        <v>0</v>
      </c>
      <c r="L566" s="35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7">
        <v>0</v>
      </c>
      <c r="AS566" s="37">
        <v>0</v>
      </c>
      <c r="AT566" s="37">
        <v>0</v>
      </c>
      <c r="AU566" s="33" t="str">
        <f t="shared" si="11"/>
        <v>库存为0</v>
      </c>
      <c r="AV566" s="38" t="str">
        <f>IFERROR(时间!$B$4+AU566,"上周无销量")</f>
        <v>上周无销量</v>
      </c>
    </row>
    <row r="567" spans="1:48">
      <c r="A567" s="21" t="s">
        <v>1268</v>
      </c>
      <c r="B567" t="s">
        <v>1269</v>
      </c>
      <c r="C567" t="s">
        <v>1270</v>
      </c>
      <c r="D567" s="33">
        <v>0</v>
      </c>
      <c r="E567" s="33">
        <v>0</v>
      </c>
      <c r="F567" s="33">
        <v>0</v>
      </c>
      <c r="G567" s="33">
        <v>0</v>
      </c>
      <c r="H567" s="34">
        <v>0</v>
      </c>
      <c r="I567">
        <v>0</v>
      </c>
      <c r="J567" s="35">
        <v>0</v>
      </c>
      <c r="K567" s="35">
        <v>0</v>
      </c>
      <c r="L567" s="35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7">
        <v>0</v>
      </c>
      <c r="AS567" s="37">
        <v>0</v>
      </c>
      <c r="AT567" s="37">
        <v>0</v>
      </c>
      <c r="AU567" s="33" t="str">
        <f t="shared" si="11"/>
        <v>库存为0</v>
      </c>
      <c r="AV567" s="38" t="str">
        <f>IFERROR(时间!$B$4+AU567,"上周无销量")</f>
        <v>上周无销量</v>
      </c>
    </row>
    <row r="568" spans="1:48">
      <c r="A568" s="21" t="s">
        <v>1271</v>
      </c>
      <c r="B568" t="s">
        <v>1272</v>
      </c>
      <c r="C568" t="s">
        <v>1273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0</v>
      </c>
      <c r="J568" s="35">
        <v>0</v>
      </c>
      <c r="K568" s="35">
        <v>0</v>
      </c>
      <c r="L568" s="35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7">
        <v>0</v>
      </c>
      <c r="AS568" s="37">
        <v>0</v>
      </c>
      <c r="AT568" s="37">
        <v>0</v>
      </c>
      <c r="AU568" s="33" t="str">
        <f t="shared" si="11"/>
        <v>库存为0</v>
      </c>
      <c r="AV568" s="38" t="str">
        <f>IFERROR(时间!$B$4+AU568,"上周无销量")</f>
        <v>上周无销量</v>
      </c>
    </row>
    <row r="569" spans="1:48">
      <c r="A569" s="21" t="s">
        <v>1274</v>
      </c>
      <c r="B569" t="s">
        <v>1275</v>
      </c>
      <c r="C569" t="s">
        <v>1273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0</v>
      </c>
      <c r="J569" s="35">
        <v>0</v>
      </c>
      <c r="K569" s="35">
        <v>0</v>
      </c>
      <c r="L569" s="35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0</v>
      </c>
      <c r="AU569" s="33" t="str">
        <f t="shared" si="11"/>
        <v>库存为0</v>
      </c>
      <c r="AV569" s="38" t="str">
        <f>IFERROR(时间!$B$4+AU569,"上周无销量")</f>
        <v>上周无销量</v>
      </c>
    </row>
    <row r="570" spans="1:48">
      <c r="A570" s="21" t="s">
        <v>1276</v>
      </c>
      <c r="B570" t="s">
        <v>1277</v>
      </c>
      <c r="C570" t="s">
        <v>1273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0</v>
      </c>
      <c r="J570" s="35">
        <v>0</v>
      </c>
      <c r="K570" s="35">
        <v>0</v>
      </c>
      <c r="L570" s="35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7">
        <v>0</v>
      </c>
      <c r="AS570" s="37">
        <v>0</v>
      </c>
      <c r="AT570" s="37">
        <v>0</v>
      </c>
      <c r="AU570" s="33" t="str">
        <f t="shared" si="11"/>
        <v>库存为0</v>
      </c>
      <c r="AV570" s="38" t="str">
        <f>IFERROR(时间!$B$4+AU570,"上周无销量")</f>
        <v>上周无销量</v>
      </c>
    </row>
    <row r="571" spans="1:48">
      <c r="A571" s="21" t="s">
        <v>1278</v>
      </c>
      <c r="B571" t="s">
        <v>1279</v>
      </c>
      <c r="C571" t="s">
        <v>1273</v>
      </c>
      <c r="D571" s="33">
        <v>0</v>
      </c>
      <c r="E571" s="33">
        <v>0</v>
      </c>
      <c r="F571" s="33">
        <v>0</v>
      </c>
      <c r="G571" s="33">
        <v>0</v>
      </c>
      <c r="H571" s="34">
        <v>0</v>
      </c>
      <c r="I571">
        <v>0</v>
      </c>
      <c r="J571" s="35">
        <v>0</v>
      </c>
      <c r="K571" s="35">
        <v>0</v>
      </c>
      <c r="L571" s="35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7">
        <v>0</v>
      </c>
      <c r="AS571" s="37">
        <v>0</v>
      </c>
      <c r="AT571" s="37">
        <v>0</v>
      </c>
      <c r="AU571" s="33" t="str">
        <f t="shared" si="11"/>
        <v>库存为0</v>
      </c>
      <c r="AV571" s="38" t="str">
        <f>IFERROR(时间!$B$4+AU571,"上周无销量")</f>
        <v>上周无销量</v>
      </c>
    </row>
    <row r="572" spans="1:48">
      <c r="A572" s="21" t="s">
        <v>1280</v>
      </c>
      <c r="B572" t="s">
        <v>1281</v>
      </c>
      <c r="C572" t="s">
        <v>1273</v>
      </c>
      <c r="D572" s="33">
        <v>0</v>
      </c>
      <c r="E572" s="33">
        <v>0</v>
      </c>
      <c r="F572" s="33">
        <v>0</v>
      </c>
      <c r="G572" s="33">
        <v>0</v>
      </c>
      <c r="H572" s="34">
        <v>0</v>
      </c>
      <c r="I572">
        <v>0</v>
      </c>
      <c r="J572" s="35">
        <v>0</v>
      </c>
      <c r="K572" s="35">
        <v>0</v>
      </c>
      <c r="L572" s="35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7">
        <v>0</v>
      </c>
      <c r="AS572" s="37">
        <v>0</v>
      </c>
      <c r="AT572" s="37">
        <v>0</v>
      </c>
      <c r="AU572" s="33" t="str">
        <f t="shared" si="11"/>
        <v>库存为0</v>
      </c>
      <c r="AV572" s="38" t="str">
        <f>IFERROR(时间!$B$4+AU572,"上周无销量")</f>
        <v>上周无销量</v>
      </c>
    </row>
    <row r="573" spans="1:48">
      <c r="A573" s="21" t="s">
        <v>1282</v>
      </c>
      <c r="B573" t="s">
        <v>1283</v>
      </c>
      <c r="C573" t="s">
        <v>1273</v>
      </c>
      <c r="D573" s="33">
        <v>5</v>
      </c>
      <c r="E573" s="33">
        <v>0</v>
      </c>
      <c r="F573" s="33">
        <v>0</v>
      </c>
      <c r="G573" s="33">
        <v>0</v>
      </c>
      <c r="H573" s="34">
        <v>19.99</v>
      </c>
      <c r="I573">
        <v>13</v>
      </c>
      <c r="J573" s="35">
        <v>1</v>
      </c>
      <c r="K573" s="35">
        <v>0</v>
      </c>
      <c r="L573" s="35">
        <v>0</v>
      </c>
      <c r="M573">
        <v>14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16</v>
      </c>
      <c r="AK573">
        <v>0</v>
      </c>
      <c r="AL573">
        <v>0</v>
      </c>
      <c r="AM573">
        <v>0</v>
      </c>
      <c r="AN573" s="23">
        <v>0.3125</v>
      </c>
      <c r="AO573" s="23" t="s">
        <v>54</v>
      </c>
      <c r="AP573" s="23" t="s">
        <v>54</v>
      </c>
      <c r="AQ573" s="23" t="s">
        <v>54</v>
      </c>
      <c r="AR573" s="37">
        <v>0.714285714285714</v>
      </c>
      <c r="AS573" s="37">
        <v>42.8571428571429</v>
      </c>
      <c r="AT573" s="37">
        <v>-28.8571428571429</v>
      </c>
      <c r="AU573" s="33">
        <f t="shared" si="11"/>
        <v>19</v>
      </c>
      <c r="AV573" s="38">
        <f>IFERROR(时间!$B$4+AU573,"上周无销量")</f>
        <v>43309</v>
      </c>
    </row>
    <row r="574" spans="1:48">
      <c r="A574" s="21" t="s">
        <v>1284</v>
      </c>
      <c r="B574" t="s">
        <v>1285</v>
      </c>
      <c r="C574" t="s">
        <v>1273</v>
      </c>
      <c r="D574" s="33">
        <v>8</v>
      </c>
      <c r="E574" s="33">
        <v>5</v>
      </c>
      <c r="F574" s="33">
        <v>0</v>
      </c>
      <c r="G574" s="33">
        <v>0</v>
      </c>
      <c r="H574" s="34">
        <v>19.99</v>
      </c>
      <c r="I574">
        <v>96</v>
      </c>
      <c r="J574" s="35">
        <v>0</v>
      </c>
      <c r="K574" s="35">
        <v>0</v>
      </c>
      <c r="L574" s="35">
        <v>0</v>
      </c>
      <c r="M574">
        <v>96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37</v>
      </c>
      <c r="AK574">
        <v>0</v>
      </c>
      <c r="AL574">
        <v>0</v>
      </c>
      <c r="AM574">
        <v>0</v>
      </c>
      <c r="AN574" s="23">
        <v>0.216216216216216</v>
      </c>
      <c r="AO574" s="23" t="s">
        <v>54</v>
      </c>
      <c r="AP574" s="23" t="s">
        <v>54</v>
      </c>
      <c r="AQ574" s="23" t="s">
        <v>54</v>
      </c>
      <c r="AR574" s="37">
        <v>1.14285714285714</v>
      </c>
      <c r="AS574" s="37">
        <v>68.5714285714286</v>
      </c>
      <c r="AT574" s="37">
        <v>27.4285714285714</v>
      </c>
      <c r="AU574" s="33">
        <f t="shared" si="11"/>
        <v>84</v>
      </c>
      <c r="AV574" s="38">
        <f>IFERROR(时间!$B$4+AU574,"上周无销量")</f>
        <v>43374</v>
      </c>
    </row>
    <row r="575" spans="1:48">
      <c r="A575" s="21" t="s">
        <v>1286</v>
      </c>
      <c r="B575" t="s">
        <v>1287</v>
      </c>
      <c r="C575" t="s">
        <v>1273</v>
      </c>
      <c r="D575" s="33">
        <v>9</v>
      </c>
      <c r="E575" s="33">
        <v>4</v>
      </c>
      <c r="F575" s="33">
        <v>0</v>
      </c>
      <c r="G575" s="33">
        <v>0</v>
      </c>
      <c r="H575" s="34">
        <v>19.99</v>
      </c>
      <c r="I575">
        <v>103</v>
      </c>
      <c r="J575" s="35">
        <v>0</v>
      </c>
      <c r="K575" s="35">
        <v>0</v>
      </c>
      <c r="L575" s="35">
        <v>0</v>
      </c>
      <c r="M575">
        <v>103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32</v>
      </c>
      <c r="AK575">
        <v>0</v>
      </c>
      <c r="AL575">
        <v>0</v>
      </c>
      <c r="AM575">
        <v>0</v>
      </c>
      <c r="AN575" s="23">
        <v>0.28125</v>
      </c>
      <c r="AO575" s="23" t="s">
        <v>54</v>
      </c>
      <c r="AP575" s="23" t="s">
        <v>54</v>
      </c>
      <c r="AQ575" s="23" t="s">
        <v>54</v>
      </c>
      <c r="AR575" s="37">
        <v>1.28571428571429</v>
      </c>
      <c r="AS575" s="37">
        <v>77.1428571428572</v>
      </c>
      <c r="AT575" s="37">
        <v>25.8571428571428</v>
      </c>
      <c r="AU575" s="33">
        <f t="shared" si="11"/>
        <v>80</v>
      </c>
      <c r="AV575" s="38">
        <f>IFERROR(时间!$B$4+AU575,"上周无销量")</f>
        <v>43370</v>
      </c>
    </row>
    <row r="576" spans="1:48">
      <c r="A576" s="21" t="s">
        <v>1288</v>
      </c>
      <c r="B576" t="s">
        <v>1289</v>
      </c>
      <c r="C576" t="s">
        <v>1273</v>
      </c>
      <c r="D576" s="33">
        <v>0</v>
      </c>
      <c r="E576" s="33">
        <v>0</v>
      </c>
      <c r="F576" s="33">
        <v>0</v>
      </c>
      <c r="G576" s="33">
        <v>0</v>
      </c>
      <c r="H576" s="34">
        <v>0</v>
      </c>
      <c r="I576">
        <v>0</v>
      </c>
      <c r="J576" s="35">
        <v>0</v>
      </c>
      <c r="K576" s="35">
        <v>0</v>
      </c>
      <c r="L576" s="35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7">
        <v>0</v>
      </c>
      <c r="AS576" s="37">
        <v>0</v>
      </c>
      <c r="AT576" s="37">
        <v>0</v>
      </c>
      <c r="AU576" s="33" t="str">
        <f t="shared" si="11"/>
        <v>库存为0</v>
      </c>
      <c r="AV576" s="38" t="str">
        <f>IFERROR(时间!$B$4+AU576,"上周无销量")</f>
        <v>上周无销量</v>
      </c>
    </row>
    <row r="577" spans="1:48">
      <c r="A577" s="21" t="s">
        <v>1290</v>
      </c>
      <c r="B577" t="s">
        <v>1291</v>
      </c>
      <c r="C577" t="s">
        <v>1273</v>
      </c>
      <c r="D577" s="33">
        <v>1</v>
      </c>
      <c r="E577" s="33">
        <v>2</v>
      </c>
      <c r="F577" s="33">
        <v>0</v>
      </c>
      <c r="G577" s="33">
        <v>0</v>
      </c>
      <c r="H577" s="34">
        <v>19.99</v>
      </c>
      <c r="I577">
        <v>26</v>
      </c>
      <c r="J577" s="35">
        <v>0</v>
      </c>
      <c r="K577" s="35">
        <v>0</v>
      </c>
      <c r="L577" s="35">
        <v>0</v>
      </c>
      <c r="M577">
        <v>26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24</v>
      </c>
      <c r="AK577">
        <v>0</v>
      </c>
      <c r="AL577">
        <v>0</v>
      </c>
      <c r="AM577">
        <v>0</v>
      </c>
      <c r="AN577" s="23">
        <v>0.0416666666666667</v>
      </c>
      <c r="AO577" s="23" t="s">
        <v>54</v>
      </c>
      <c r="AP577" s="23" t="s">
        <v>54</v>
      </c>
      <c r="AQ577" s="23" t="s">
        <v>54</v>
      </c>
      <c r="AR577" s="37">
        <v>0.142857142857143</v>
      </c>
      <c r="AS577" s="37">
        <v>8.57142857142857</v>
      </c>
      <c r="AT577" s="37">
        <v>17.4285714285714</v>
      </c>
      <c r="AU577" s="33">
        <f t="shared" si="11"/>
        <v>182</v>
      </c>
      <c r="AV577" s="38">
        <f>IFERROR(时间!$B$4+AU577,"上周无销量")</f>
        <v>43472</v>
      </c>
    </row>
    <row r="578" spans="1:48">
      <c r="A578" s="21" t="s">
        <v>1292</v>
      </c>
      <c r="B578" t="s">
        <v>1293</v>
      </c>
      <c r="C578" t="s">
        <v>1273</v>
      </c>
      <c r="D578" s="33">
        <v>0</v>
      </c>
      <c r="E578" s="33">
        <v>0</v>
      </c>
      <c r="F578" s="33">
        <v>0</v>
      </c>
      <c r="G578" s="33">
        <v>0</v>
      </c>
      <c r="H578" s="34">
        <v>0</v>
      </c>
      <c r="I578">
        <v>0</v>
      </c>
      <c r="J578" s="35">
        <v>0</v>
      </c>
      <c r="K578" s="35">
        <v>0</v>
      </c>
      <c r="L578" s="35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7">
        <v>0</v>
      </c>
      <c r="AS578" s="37">
        <v>0</v>
      </c>
      <c r="AT578" s="37">
        <v>0</v>
      </c>
      <c r="AU578" s="33" t="str">
        <f t="shared" si="11"/>
        <v>库存为0</v>
      </c>
      <c r="AV578" s="38" t="str">
        <f>IFERROR(时间!$B$4+AU578,"上周无销量")</f>
        <v>上周无销量</v>
      </c>
    </row>
    <row r="579" spans="1:48">
      <c r="A579" s="21" t="s">
        <v>1294</v>
      </c>
      <c r="B579" t="s">
        <v>1295</v>
      </c>
      <c r="C579" t="s">
        <v>1273</v>
      </c>
      <c r="D579" s="33">
        <v>0</v>
      </c>
      <c r="E579" s="33">
        <v>0</v>
      </c>
      <c r="F579" s="33">
        <v>0</v>
      </c>
      <c r="G579" s="33">
        <v>0</v>
      </c>
      <c r="H579" s="34">
        <v>0</v>
      </c>
      <c r="I579">
        <v>0</v>
      </c>
      <c r="J579" s="35">
        <v>0</v>
      </c>
      <c r="K579" s="35">
        <v>0</v>
      </c>
      <c r="L579" s="35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7">
        <v>0</v>
      </c>
      <c r="AS579" s="37">
        <v>0</v>
      </c>
      <c r="AT579" s="37">
        <v>0</v>
      </c>
      <c r="AU579" s="33" t="str">
        <f t="shared" si="11"/>
        <v>库存为0</v>
      </c>
      <c r="AV579" s="38" t="str">
        <f>IFERROR(时间!$B$4+AU579,"上周无销量")</f>
        <v>上周无销量</v>
      </c>
    </row>
    <row r="580" spans="1:48">
      <c r="A580" s="21" t="s">
        <v>1296</v>
      </c>
      <c r="B580" t="s">
        <v>1297</v>
      </c>
      <c r="C580" t="s">
        <v>1273</v>
      </c>
      <c r="D580" s="33">
        <v>0</v>
      </c>
      <c r="E580" s="33">
        <v>0</v>
      </c>
      <c r="F580" s="33">
        <v>0</v>
      </c>
      <c r="G580" s="33">
        <v>0</v>
      </c>
      <c r="H580" s="34">
        <v>0</v>
      </c>
      <c r="I580">
        <v>0</v>
      </c>
      <c r="J580" s="35">
        <v>0</v>
      </c>
      <c r="K580" s="35">
        <v>0</v>
      </c>
      <c r="L580" s="35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7">
        <v>0</v>
      </c>
      <c r="AS580" s="37">
        <v>0</v>
      </c>
      <c r="AT580" s="37">
        <v>0</v>
      </c>
      <c r="AU580" s="33" t="str">
        <f t="shared" si="11"/>
        <v>库存为0</v>
      </c>
      <c r="AV580" s="38" t="str">
        <f>IFERROR(时间!$B$4+AU580,"上周无销量")</f>
        <v>上周无销量</v>
      </c>
    </row>
    <row r="581" spans="1:48">
      <c r="A581" s="21" t="s">
        <v>1298</v>
      </c>
      <c r="B581" t="s">
        <v>1299</v>
      </c>
      <c r="C581" t="s">
        <v>1273</v>
      </c>
      <c r="D581" s="33">
        <v>0</v>
      </c>
      <c r="E581" s="33">
        <v>0</v>
      </c>
      <c r="F581" s="33">
        <v>0</v>
      </c>
      <c r="G581" s="33">
        <v>0</v>
      </c>
      <c r="H581" s="34">
        <v>0</v>
      </c>
      <c r="I581">
        <v>0</v>
      </c>
      <c r="J581" s="35">
        <v>0</v>
      </c>
      <c r="K581" s="35">
        <v>0</v>
      </c>
      <c r="L581" s="35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s">
        <v>54</v>
      </c>
      <c r="AO581" s="23" t="s">
        <v>54</v>
      </c>
      <c r="AP581" s="23" t="s">
        <v>54</v>
      </c>
      <c r="AQ581" s="23" t="s">
        <v>54</v>
      </c>
      <c r="AR581" s="37">
        <v>0</v>
      </c>
      <c r="AS581" s="37">
        <v>0</v>
      </c>
      <c r="AT581" s="37">
        <v>0</v>
      </c>
      <c r="AU581" s="33" t="str">
        <f t="shared" ref="AU581:AU644" si="12">IF(AR581="","库存为"&amp;M581,IF(AS581=0,"库存为"&amp;M581,INT(M581/AR581)))</f>
        <v>库存为0</v>
      </c>
      <c r="AV581" s="38" t="str">
        <f>IFERROR(时间!$B$4+AU581,"上周无销量")</f>
        <v>上周无销量</v>
      </c>
    </row>
    <row r="582" spans="1:48">
      <c r="A582" s="21" t="s">
        <v>1300</v>
      </c>
      <c r="B582" t="s">
        <v>1301</v>
      </c>
      <c r="C582" t="s">
        <v>1273</v>
      </c>
      <c r="D582" s="33">
        <v>0</v>
      </c>
      <c r="E582" s="33">
        <v>0</v>
      </c>
      <c r="F582" s="33">
        <v>0</v>
      </c>
      <c r="G582" s="33">
        <v>0</v>
      </c>
      <c r="H582" s="34">
        <v>0</v>
      </c>
      <c r="I582">
        <v>0</v>
      </c>
      <c r="J582" s="35">
        <v>0</v>
      </c>
      <c r="K582" s="35">
        <v>0</v>
      </c>
      <c r="L582" s="35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7">
        <v>0</v>
      </c>
      <c r="AS582" s="37">
        <v>0</v>
      </c>
      <c r="AT582" s="37">
        <v>0</v>
      </c>
      <c r="AU582" s="33" t="str">
        <f t="shared" si="12"/>
        <v>库存为0</v>
      </c>
      <c r="AV582" s="38" t="str">
        <f>IFERROR(时间!$B$4+AU582,"上周无销量")</f>
        <v>上周无销量</v>
      </c>
    </row>
    <row r="583" spans="1:48">
      <c r="A583" s="21" t="s">
        <v>1302</v>
      </c>
      <c r="B583" t="s">
        <v>1303</v>
      </c>
      <c r="C583" t="s">
        <v>1304</v>
      </c>
      <c r="D583" s="33">
        <v>0</v>
      </c>
      <c r="E583" s="33">
        <v>0</v>
      </c>
      <c r="F583" s="33">
        <v>0</v>
      </c>
      <c r="G583" s="33">
        <v>0</v>
      </c>
      <c r="H583" s="34">
        <v>0</v>
      </c>
      <c r="I583">
        <v>0</v>
      </c>
      <c r="J583" s="35">
        <v>0</v>
      </c>
      <c r="K583" s="35">
        <v>0</v>
      </c>
      <c r="L583" s="35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7">
        <v>0</v>
      </c>
      <c r="AS583" s="37">
        <v>0</v>
      </c>
      <c r="AT583" s="37">
        <v>0</v>
      </c>
      <c r="AU583" s="33" t="str">
        <f t="shared" si="12"/>
        <v>库存为0</v>
      </c>
      <c r="AV583" s="38" t="str">
        <f>IFERROR(时间!$B$4+AU583,"上周无销量")</f>
        <v>上周无销量</v>
      </c>
    </row>
    <row r="584" spans="1:48">
      <c r="A584" s="21" t="s">
        <v>1305</v>
      </c>
      <c r="B584" t="s">
        <v>1306</v>
      </c>
      <c r="C584" t="s">
        <v>1304</v>
      </c>
      <c r="D584" s="33">
        <v>0</v>
      </c>
      <c r="E584" s="33">
        <v>0</v>
      </c>
      <c r="F584" s="33">
        <v>0</v>
      </c>
      <c r="G584" s="33">
        <v>0</v>
      </c>
      <c r="H584" s="34">
        <v>0</v>
      </c>
      <c r="I584">
        <v>0</v>
      </c>
      <c r="J584" s="35">
        <v>0</v>
      </c>
      <c r="K584" s="35">
        <v>0</v>
      </c>
      <c r="L584" s="35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7">
        <v>0</v>
      </c>
      <c r="AS584" s="37">
        <v>0</v>
      </c>
      <c r="AT584" s="37">
        <v>0</v>
      </c>
      <c r="AU584" s="33" t="str">
        <f t="shared" si="12"/>
        <v>库存为0</v>
      </c>
      <c r="AV584" s="38" t="str">
        <f>IFERROR(时间!$B$4+AU584,"上周无销量")</f>
        <v>上周无销量</v>
      </c>
    </row>
    <row r="585" spans="1:48">
      <c r="A585" s="21" t="s">
        <v>1307</v>
      </c>
      <c r="B585" t="s">
        <v>1308</v>
      </c>
      <c r="C585" t="s">
        <v>1304</v>
      </c>
      <c r="D585" s="33">
        <v>0</v>
      </c>
      <c r="E585" s="33">
        <v>0</v>
      </c>
      <c r="F585" s="33">
        <v>0</v>
      </c>
      <c r="G585" s="33">
        <v>0</v>
      </c>
      <c r="H585" s="34">
        <v>0</v>
      </c>
      <c r="I585">
        <v>0</v>
      </c>
      <c r="J585" s="35">
        <v>0</v>
      </c>
      <c r="K585" s="35">
        <v>0</v>
      </c>
      <c r="L585" s="35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7">
        <v>0</v>
      </c>
      <c r="AS585" s="37">
        <v>0</v>
      </c>
      <c r="AT585" s="37">
        <v>0</v>
      </c>
      <c r="AU585" s="33" t="str">
        <f t="shared" si="12"/>
        <v>库存为0</v>
      </c>
      <c r="AV585" s="38" t="str">
        <f>IFERROR(时间!$B$4+AU585,"上周无销量")</f>
        <v>上周无销量</v>
      </c>
    </row>
    <row r="586" spans="1:48">
      <c r="A586" s="21" t="s">
        <v>1309</v>
      </c>
      <c r="B586" t="s">
        <v>1310</v>
      </c>
      <c r="C586" t="s">
        <v>1304</v>
      </c>
      <c r="D586" s="33">
        <v>0</v>
      </c>
      <c r="E586" s="33">
        <v>0</v>
      </c>
      <c r="F586" s="33">
        <v>0</v>
      </c>
      <c r="G586" s="33">
        <v>0</v>
      </c>
      <c r="H586" s="34">
        <v>0</v>
      </c>
      <c r="I586">
        <v>0</v>
      </c>
      <c r="J586" s="35">
        <v>0</v>
      </c>
      <c r="K586" s="35">
        <v>0</v>
      </c>
      <c r="L586" s="35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7">
        <v>0</v>
      </c>
      <c r="AS586" s="37">
        <v>0</v>
      </c>
      <c r="AT586" s="37">
        <v>0</v>
      </c>
      <c r="AU586" s="33" t="str">
        <f t="shared" si="12"/>
        <v>库存为0</v>
      </c>
      <c r="AV586" s="38" t="str">
        <f>IFERROR(时间!$B$4+AU586,"上周无销量")</f>
        <v>上周无销量</v>
      </c>
    </row>
    <row r="587" spans="1:48">
      <c r="A587" s="21" t="s">
        <v>1311</v>
      </c>
      <c r="B587" t="s">
        <v>1312</v>
      </c>
      <c r="C587" t="s">
        <v>1304</v>
      </c>
      <c r="D587" s="33">
        <v>0</v>
      </c>
      <c r="E587" s="33">
        <v>0</v>
      </c>
      <c r="F587" s="33">
        <v>0</v>
      </c>
      <c r="G587" s="33">
        <v>0</v>
      </c>
      <c r="H587" s="34">
        <v>0</v>
      </c>
      <c r="I587">
        <v>0</v>
      </c>
      <c r="J587" s="35">
        <v>0</v>
      </c>
      <c r="K587" s="35">
        <v>0</v>
      </c>
      <c r="L587" s="35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7">
        <v>0</v>
      </c>
      <c r="AS587" s="37">
        <v>0</v>
      </c>
      <c r="AT587" s="37">
        <v>0</v>
      </c>
      <c r="AU587" s="33" t="str">
        <f t="shared" si="12"/>
        <v>库存为0</v>
      </c>
      <c r="AV587" s="38" t="str">
        <f>IFERROR(时间!$B$4+AU587,"上周无销量")</f>
        <v>上周无销量</v>
      </c>
    </row>
    <row r="588" spans="1:48">
      <c r="A588" s="21" t="s">
        <v>1313</v>
      </c>
      <c r="B588" t="s">
        <v>1314</v>
      </c>
      <c r="C588" t="s">
        <v>1315</v>
      </c>
      <c r="D588" s="33">
        <v>0</v>
      </c>
      <c r="E588" s="33">
        <v>0</v>
      </c>
      <c r="F588" s="33">
        <v>0</v>
      </c>
      <c r="G588" s="33">
        <v>0</v>
      </c>
      <c r="H588" s="34">
        <v>0</v>
      </c>
      <c r="I588">
        <v>0</v>
      </c>
      <c r="J588" s="35">
        <v>0</v>
      </c>
      <c r="K588" s="35">
        <v>0</v>
      </c>
      <c r="L588" s="35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7">
        <v>0</v>
      </c>
      <c r="AS588" s="37">
        <v>0</v>
      </c>
      <c r="AT588" s="37">
        <v>0</v>
      </c>
      <c r="AU588" s="33" t="str">
        <f t="shared" si="12"/>
        <v>库存为0</v>
      </c>
      <c r="AV588" s="38" t="str">
        <f>IFERROR(时间!$B$4+AU588,"上周无销量")</f>
        <v>上周无销量</v>
      </c>
    </row>
    <row r="589" spans="1:48">
      <c r="A589" s="21" t="s">
        <v>1316</v>
      </c>
      <c r="B589" t="s">
        <v>1317</v>
      </c>
      <c r="C589" t="s">
        <v>1315</v>
      </c>
      <c r="D589" s="33">
        <v>0</v>
      </c>
      <c r="E589" s="33">
        <v>0</v>
      </c>
      <c r="F589" s="33">
        <v>0</v>
      </c>
      <c r="G589" s="33">
        <v>0</v>
      </c>
      <c r="H589" s="34">
        <v>0</v>
      </c>
      <c r="I589">
        <v>0</v>
      </c>
      <c r="J589" s="35">
        <v>0</v>
      </c>
      <c r="K589" s="35">
        <v>0</v>
      </c>
      <c r="L589" s="35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7">
        <v>0</v>
      </c>
      <c r="AS589" s="37">
        <v>0</v>
      </c>
      <c r="AT589" s="37">
        <v>0</v>
      </c>
      <c r="AU589" s="33" t="str">
        <f t="shared" si="12"/>
        <v>库存为0</v>
      </c>
      <c r="AV589" s="38" t="str">
        <f>IFERROR(时间!$B$4+AU589,"上周无销量")</f>
        <v>上周无销量</v>
      </c>
    </row>
    <row r="590" spans="1:48">
      <c r="A590" s="21" t="s">
        <v>1318</v>
      </c>
      <c r="B590" t="s">
        <v>1319</v>
      </c>
      <c r="C590" t="s">
        <v>1315</v>
      </c>
      <c r="D590" s="33">
        <v>0</v>
      </c>
      <c r="E590" s="33">
        <v>0</v>
      </c>
      <c r="F590" s="33">
        <v>0</v>
      </c>
      <c r="G590" s="33">
        <v>0</v>
      </c>
      <c r="H590" s="34">
        <v>0</v>
      </c>
      <c r="I590">
        <v>0</v>
      </c>
      <c r="J590" s="35">
        <v>0</v>
      </c>
      <c r="K590" s="35">
        <v>0</v>
      </c>
      <c r="L590" s="35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7">
        <v>0</v>
      </c>
      <c r="AS590" s="37">
        <v>0</v>
      </c>
      <c r="AT590" s="37">
        <v>0</v>
      </c>
      <c r="AU590" s="33" t="str">
        <f t="shared" si="12"/>
        <v>库存为0</v>
      </c>
      <c r="AV590" s="38" t="str">
        <f>IFERROR(时间!$B$4+AU590,"上周无销量")</f>
        <v>上周无销量</v>
      </c>
    </row>
    <row r="591" spans="1:48">
      <c r="A591" s="21" t="s">
        <v>1320</v>
      </c>
      <c r="B591" t="s">
        <v>1321</v>
      </c>
      <c r="C591" t="s">
        <v>1315</v>
      </c>
      <c r="D591" s="33">
        <v>0</v>
      </c>
      <c r="E591" s="33">
        <v>0</v>
      </c>
      <c r="F591" s="33">
        <v>0</v>
      </c>
      <c r="G591" s="33">
        <v>0</v>
      </c>
      <c r="H591" s="34">
        <v>0</v>
      </c>
      <c r="I591">
        <v>0</v>
      </c>
      <c r="J591" s="35">
        <v>0</v>
      </c>
      <c r="K591" s="35">
        <v>0</v>
      </c>
      <c r="L591" s="35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7">
        <v>0</v>
      </c>
      <c r="AS591" s="37">
        <v>0</v>
      </c>
      <c r="AT591" s="37">
        <v>0</v>
      </c>
      <c r="AU591" s="33" t="str">
        <f t="shared" si="12"/>
        <v>库存为0</v>
      </c>
      <c r="AV591" s="38" t="str">
        <f>IFERROR(时间!$B$4+AU591,"上周无销量")</f>
        <v>上周无销量</v>
      </c>
    </row>
    <row r="592" spans="1:48">
      <c r="A592" s="21" t="s">
        <v>1322</v>
      </c>
      <c r="B592" t="s">
        <v>1323</v>
      </c>
      <c r="C592" t="s">
        <v>1315</v>
      </c>
      <c r="D592" s="33">
        <v>0</v>
      </c>
      <c r="E592" s="33">
        <v>0</v>
      </c>
      <c r="F592" s="33">
        <v>0</v>
      </c>
      <c r="G592" s="33">
        <v>0</v>
      </c>
      <c r="H592" s="34">
        <v>0</v>
      </c>
      <c r="I592">
        <v>0</v>
      </c>
      <c r="J592" s="35">
        <v>0</v>
      </c>
      <c r="K592" s="35">
        <v>0</v>
      </c>
      <c r="L592" s="35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7">
        <v>0</v>
      </c>
      <c r="AS592" s="37">
        <v>0</v>
      </c>
      <c r="AT592" s="37">
        <v>0</v>
      </c>
      <c r="AU592" s="33" t="str">
        <f t="shared" si="12"/>
        <v>库存为0</v>
      </c>
      <c r="AV592" s="38" t="str">
        <f>IFERROR(时间!$B$4+AU592,"上周无销量")</f>
        <v>上周无销量</v>
      </c>
    </row>
    <row r="593" spans="1:48">
      <c r="A593" s="21" t="s">
        <v>1324</v>
      </c>
      <c r="B593" t="s">
        <v>1325</v>
      </c>
      <c r="C593" t="s">
        <v>1315</v>
      </c>
      <c r="D593" s="33">
        <v>0</v>
      </c>
      <c r="E593" s="33">
        <v>0</v>
      </c>
      <c r="F593" s="33">
        <v>0</v>
      </c>
      <c r="G593" s="33">
        <v>0</v>
      </c>
      <c r="H593" s="34">
        <v>0</v>
      </c>
      <c r="I593">
        <v>0</v>
      </c>
      <c r="J593" s="35">
        <v>0</v>
      </c>
      <c r="K593" s="35">
        <v>0</v>
      </c>
      <c r="L593" s="35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s">
        <v>54</v>
      </c>
      <c r="AO593" s="23" t="s">
        <v>54</v>
      </c>
      <c r="AP593" s="23" t="s">
        <v>54</v>
      </c>
      <c r="AQ593" s="23" t="s">
        <v>54</v>
      </c>
      <c r="AR593" s="37">
        <v>0</v>
      </c>
      <c r="AS593" s="37">
        <v>0</v>
      </c>
      <c r="AT593" s="37">
        <v>0</v>
      </c>
      <c r="AU593" s="33" t="str">
        <f t="shared" si="12"/>
        <v>库存为0</v>
      </c>
      <c r="AV593" s="38" t="str">
        <f>IFERROR(时间!$B$4+AU593,"上周无销量")</f>
        <v>上周无销量</v>
      </c>
    </row>
    <row r="594" spans="1:48">
      <c r="A594" s="21" t="s">
        <v>1326</v>
      </c>
      <c r="B594" t="s">
        <v>1327</v>
      </c>
      <c r="C594" t="s">
        <v>1328</v>
      </c>
      <c r="D594" s="33">
        <v>0</v>
      </c>
      <c r="E594" s="33">
        <v>0</v>
      </c>
      <c r="F594" s="33">
        <v>0</v>
      </c>
      <c r="G594" s="33">
        <v>0</v>
      </c>
      <c r="H594" s="34">
        <v>0</v>
      </c>
      <c r="I594">
        <v>0</v>
      </c>
      <c r="J594" s="35">
        <v>0</v>
      </c>
      <c r="K594" s="35">
        <v>0</v>
      </c>
      <c r="L594" s="35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7">
        <v>0</v>
      </c>
      <c r="AS594" s="37">
        <v>0</v>
      </c>
      <c r="AT594" s="37">
        <v>0</v>
      </c>
      <c r="AU594" s="33" t="str">
        <f t="shared" si="12"/>
        <v>库存为0</v>
      </c>
      <c r="AV594" s="38" t="str">
        <f>IFERROR(时间!$B$4+AU594,"上周无销量")</f>
        <v>上周无销量</v>
      </c>
    </row>
    <row r="595" spans="1:48">
      <c r="A595" s="21" t="s">
        <v>1329</v>
      </c>
      <c r="B595" t="s">
        <v>1330</v>
      </c>
      <c r="C595" t="s">
        <v>1328</v>
      </c>
      <c r="D595" s="33">
        <v>0</v>
      </c>
      <c r="E595" s="33">
        <v>0</v>
      </c>
      <c r="F595" s="33">
        <v>0</v>
      </c>
      <c r="G595" s="33">
        <v>0</v>
      </c>
      <c r="H595" s="34">
        <v>0</v>
      </c>
      <c r="I595">
        <v>0</v>
      </c>
      <c r="J595" s="35">
        <v>0</v>
      </c>
      <c r="K595" s="35">
        <v>0</v>
      </c>
      <c r="L595" s="35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7">
        <v>0</v>
      </c>
      <c r="AS595" s="37">
        <v>0</v>
      </c>
      <c r="AT595" s="37">
        <v>0</v>
      </c>
      <c r="AU595" s="33" t="str">
        <f t="shared" si="12"/>
        <v>库存为0</v>
      </c>
      <c r="AV595" s="38" t="str">
        <f>IFERROR(时间!$B$4+AU595,"上周无销量")</f>
        <v>上周无销量</v>
      </c>
    </row>
    <row r="596" spans="1:48">
      <c r="A596" s="21" t="s">
        <v>1331</v>
      </c>
      <c r="B596" t="s">
        <v>1332</v>
      </c>
      <c r="C596" t="s">
        <v>1328</v>
      </c>
      <c r="D596" s="33">
        <v>0</v>
      </c>
      <c r="E596" s="33">
        <v>0</v>
      </c>
      <c r="F596" s="33">
        <v>0</v>
      </c>
      <c r="G596" s="33">
        <v>0</v>
      </c>
      <c r="H596" s="34">
        <v>0</v>
      </c>
      <c r="I596">
        <v>0</v>
      </c>
      <c r="J596" s="35">
        <v>0</v>
      </c>
      <c r="K596" s="35">
        <v>0</v>
      </c>
      <c r="L596" s="35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7">
        <v>0</v>
      </c>
      <c r="AS596" s="37">
        <v>0</v>
      </c>
      <c r="AT596" s="37">
        <v>0</v>
      </c>
      <c r="AU596" s="33" t="str">
        <f t="shared" si="12"/>
        <v>库存为0</v>
      </c>
      <c r="AV596" s="38" t="str">
        <f>IFERROR(时间!$B$4+AU596,"上周无销量")</f>
        <v>上周无销量</v>
      </c>
    </row>
    <row r="597" spans="1:48">
      <c r="A597" s="21" t="s">
        <v>1333</v>
      </c>
      <c r="B597" t="s">
        <v>1334</v>
      </c>
      <c r="C597" t="s">
        <v>1335</v>
      </c>
      <c r="D597" s="33">
        <v>0</v>
      </c>
      <c r="E597" s="33">
        <v>0</v>
      </c>
      <c r="F597" s="33">
        <v>0</v>
      </c>
      <c r="G597" s="33">
        <v>0</v>
      </c>
      <c r="H597" s="34">
        <v>0</v>
      </c>
      <c r="I597">
        <v>0</v>
      </c>
      <c r="J597" s="35">
        <v>0</v>
      </c>
      <c r="K597" s="35">
        <v>0</v>
      </c>
      <c r="L597" s="35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7">
        <v>0</v>
      </c>
      <c r="AS597" s="37">
        <v>0</v>
      </c>
      <c r="AT597" s="37">
        <v>0</v>
      </c>
      <c r="AU597" s="33" t="str">
        <f t="shared" si="12"/>
        <v>库存为0</v>
      </c>
      <c r="AV597" s="38" t="str">
        <f>IFERROR(时间!$B$4+AU597,"上周无销量")</f>
        <v>上周无销量</v>
      </c>
    </row>
    <row r="598" spans="1:48">
      <c r="A598" s="21" t="s">
        <v>1336</v>
      </c>
      <c r="B598" t="s">
        <v>1337</v>
      </c>
      <c r="C598" t="s">
        <v>1335</v>
      </c>
      <c r="D598" s="33">
        <v>0</v>
      </c>
      <c r="E598" s="33">
        <v>0</v>
      </c>
      <c r="F598" s="33">
        <v>0</v>
      </c>
      <c r="G598" s="33">
        <v>0</v>
      </c>
      <c r="H598" s="34">
        <v>0</v>
      </c>
      <c r="I598">
        <v>0</v>
      </c>
      <c r="J598" s="35">
        <v>0</v>
      </c>
      <c r="K598" s="35">
        <v>0</v>
      </c>
      <c r="L598" s="35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7">
        <v>0</v>
      </c>
      <c r="AS598" s="37">
        <v>0</v>
      </c>
      <c r="AT598" s="37">
        <v>0</v>
      </c>
      <c r="AU598" s="33" t="str">
        <f t="shared" si="12"/>
        <v>库存为0</v>
      </c>
      <c r="AV598" s="38" t="str">
        <f>IFERROR(时间!$B$4+AU598,"上周无销量")</f>
        <v>上周无销量</v>
      </c>
    </row>
    <row r="599" spans="1:48">
      <c r="A599" s="21" t="s">
        <v>1338</v>
      </c>
      <c r="B599" t="s">
        <v>1339</v>
      </c>
      <c r="C599" t="s">
        <v>1335</v>
      </c>
      <c r="D599" s="33">
        <v>0</v>
      </c>
      <c r="E599" s="33">
        <v>0</v>
      </c>
      <c r="F599" s="33">
        <v>0</v>
      </c>
      <c r="G599" s="33">
        <v>0</v>
      </c>
      <c r="H599" s="34">
        <v>0</v>
      </c>
      <c r="I599">
        <v>0</v>
      </c>
      <c r="J599" s="35">
        <v>0</v>
      </c>
      <c r="K599" s="35">
        <v>0</v>
      </c>
      <c r="L599" s="35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7">
        <v>0</v>
      </c>
      <c r="AS599" s="37">
        <v>0</v>
      </c>
      <c r="AT599" s="37">
        <v>0</v>
      </c>
      <c r="AU599" s="33" t="str">
        <f t="shared" si="12"/>
        <v>库存为0</v>
      </c>
      <c r="AV599" s="38" t="str">
        <f>IFERROR(时间!$B$4+AU599,"上周无销量")</f>
        <v>上周无销量</v>
      </c>
    </row>
    <row r="600" spans="1:48">
      <c r="A600" s="21" t="s">
        <v>1340</v>
      </c>
      <c r="B600" t="s">
        <v>1341</v>
      </c>
      <c r="C600" t="s">
        <v>1335</v>
      </c>
      <c r="D600" s="33">
        <v>0</v>
      </c>
      <c r="E600" s="33">
        <v>0</v>
      </c>
      <c r="F600" s="33">
        <v>0</v>
      </c>
      <c r="G600" s="33">
        <v>0</v>
      </c>
      <c r="H600" s="34">
        <v>0</v>
      </c>
      <c r="I600">
        <v>0</v>
      </c>
      <c r="J600" s="35">
        <v>0</v>
      </c>
      <c r="K600" s="35">
        <v>0</v>
      </c>
      <c r="L600" s="35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7">
        <v>0</v>
      </c>
      <c r="AS600" s="37">
        <v>0</v>
      </c>
      <c r="AT600" s="37">
        <v>0</v>
      </c>
      <c r="AU600" s="33" t="str">
        <f t="shared" si="12"/>
        <v>库存为0</v>
      </c>
      <c r="AV600" s="38" t="str">
        <f>IFERROR(时间!$B$4+AU600,"上周无销量")</f>
        <v>上周无销量</v>
      </c>
    </row>
    <row r="601" spans="1:48">
      <c r="A601" s="21" t="s">
        <v>1342</v>
      </c>
      <c r="B601" t="s">
        <v>1343</v>
      </c>
      <c r="C601" t="s">
        <v>1335</v>
      </c>
      <c r="D601" s="33">
        <v>0</v>
      </c>
      <c r="E601" s="33">
        <v>0</v>
      </c>
      <c r="F601" s="33">
        <v>0</v>
      </c>
      <c r="G601" s="33">
        <v>0</v>
      </c>
      <c r="H601" s="34">
        <v>0</v>
      </c>
      <c r="I601">
        <v>0</v>
      </c>
      <c r="J601" s="35">
        <v>0</v>
      </c>
      <c r="K601" s="35">
        <v>0</v>
      </c>
      <c r="L601" s="35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7">
        <v>0</v>
      </c>
      <c r="AS601" s="37">
        <v>0</v>
      </c>
      <c r="AT601" s="37">
        <v>0</v>
      </c>
      <c r="AU601" s="33" t="str">
        <f t="shared" si="12"/>
        <v>库存为0</v>
      </c>
      <c r="AV601" s="38" t="str">
        <f>IFERROR(时间!$B$4+AU601,"上周无销量")</f>
        <v>上周无销量</v>
      </c>
    </row>
    <row r="602" spans="1:48">
      <c r="A602" s="21" t="s">
        <v>1344</v>
      </c>
      <c r="B602" t="s">
        <v>1345</v>
      </c>
      <c r="C602" t="s">
        <v>1335</v>
      </c>
      <c r="D602" s="33">
        <v>0</v>
      </c>
      <c r="E602" s="33">
        <v>0</v>
      </c>
      <c r="F602" s="33">
        <v>0</v>
      </c>
      <c r="G602" s="33">
        <v>0</v>
      </c>
      <c r="H602" s="34">
        <v>0</v>
      </c>
      <c r="I602">
        <v>0</v>
      </c>
      <c r="J602" s="35">
        <v>0</v>
      </c>
      <c r="K602" s="35">
        <v>0</v>
      </c>
      <c r="L602" s="35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7">
        <v>0</v>
      </c>
      <c r="AS602" s="37">
        <v>0</v>
      </c>
      <c r="AT602" s="37">
        <v>0</v>
      </c>
      <c r="AU602" s="33" t="str">
        <f t="shared" si="12"/>
        <v>库存为0</v>
      </c>
      <c r="AV602" s="38" t="str">
        <f>IFERROR(时间!$B$4+AU602,"上周无销量")</f>
        <v>上周无销量</v>
      </c>
    </row>
    <row r="603" spans="1:48">
      <c r="A603" s="21" t="s">
        <v>1346</v>
      </c>
      <c r="B603" t="s">
        <v>1347</v>
      </c>
      <c r="C603" t="s">
        <v>1335</v>
      </c>
      <c r="D603" s="33">
        <v>0</v>
      </c>
      <c r="E603" s="33">
        <v>0</v>
      </c>
      <c r="F603" s="33">
        <v>0</v>
      </c>
      <c r="G603" s="33">
        <v>0</v>
      </c>
      <c r="H603" s="34">
        <v>0</v>
      </c>
      <c r="I603">
        <v>0</v>
      </c>
      <c r="J603" s="35">
        <v>0</v>
      </c>
      <c r="K603" s="35">
        <v>0</v>
      </c>
      <c r="L603" s="35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7">
        <v>0</v>
      </c>
      <c r="AS603" s="37">
        <v>0</v>
      </c>
      <c r="AT603" s="37">
        <v>0</v>
      </c>
      <c r="AU603" s="33" t="str">
        <f t="shared" si="12"/>
        <v>库存为0</v>
      </c>
      <c r="AV603" s="38" t="str">
        <f>IFERROR(时间!$B$4+AU603,"上周无销量")</f>
        <v>上周无销量</v>
      </c>
    </row>
    <row r="604" spans="1:48">
      <c r="A604" s="21" t="s">
        <v>1348</v>
      </c>
      <c r="B604" t="s">
        <v>1349</v>
      </c>
      <c r="C604" t="s">
        <v>1335</v>
      </c>
      <c r="D604" s="33">
        <v>0</v>
      </c>
      <c r="E604" s="33">
        <v>0</v>
      </c>
      <c r="F604" s="33">
        <v>0</v>
      </c>
      <c r="G604" s="33">
        <v>0</v>
      </c>
      <c r="H604" s="34">
        <v>0</v>
      </c>
      <c r="I604">
        <v>0</v>
      </c>
      <c r="J604" s="35">
        <v>0</v>
      </c>
      <c r="K604" s="35">
        <v>0</v>
      </c>
      <c r="L604" s="35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s">
        <v>54</v>
      </c>
      <c r="AO604" s="23" t="s">
        <v>54</v>
      </c>
      <c r="AP604" s="23" t="s">
        <v>54</v>
      </c>
      <c r="AQ604" s="23" t="s">
        <v>54</v>
      </c>
      <c r="AR604" s="37">
        <v>0</v>
      </c>
      <c r="AS604" s="37">
        <v>0</v>
      </c>
      <c r="AT604" s="37">
        <v>0</v>
      </c>
      <c r="AU604" s="33" t="str">
        <f t="shared" si="12"/>
        <v>库存为0</v>
      </c>
      <c r="AV604" s="38" t="str">
        <f>IFERROR(时间!$B$4+AU604,"上周无销量")</f>
        <v>上周无销量</v>
      </c>
    </row>
    <row r="605" spans="1:48">
      <c r="A605" s="21" t="s">
        <v>1350</v>
      </c>
      <c r="B605" t="s">
        <v>1351</v>
      </c>
      <c r="C605" t="s">
        <v>1335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0</v>
      </c>
      <c r="J605" s="35">
        <v>0</v>
      </c>
      <c r="K605" s="35">
        <v>0</v>
      </c>
      <c r="L605" s="35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7">
        <v>0</v>
      </c>
      <c r="AS605" s="37">
        <v>0</v>
      </c>
      <c r="AT605" s="37">
        <v>0</v>
      </c>
      <c r="AU605" s="33" t="str">
        <f t="shared" si="12"/>
        <v>库存为0</v>
      </c>
      <c r="AV605" s="38" t="str">
        <f>IFERROR(时间!$B$4+AU605,"上周无销量")</f>
        <v>上周无销量</v>
      </c>
    </row>
    <row r="606" spans="1:48">
      <c r="A606" s="21" t="s">
        <v>1352</v>
      </c>
      <c r="B606" t="s">
        <v>1353</v>
      </c>
      <c r="C606" t="s">
        <v>1335</v>
      </c>
      <c r="D606" s="33">
        <v>0</v>
      </c>
      <c r="E606" s="33">
        <v>0</v>
      </c>
      <c r="F606" s="33">
        <v>0</v>
      </c>
      <c r="G606" s="33">
        <v>0</v>
      </c>
      <c r="H606" s="34">
        <v>0</v>
      </c>
      <c r="I606">
        <v>0</v>
      </c>
      <c r="J606" s="35">
        <v>0</v>
      </c>
      <c r="K606" s="35">
        <v>0</v>
      </c>
      <c r="L606" s="35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0</v>
      </c>
      <c r="AU606" s="33" t="str">
        <f t="shared" si="12"/>
        <v>库存为0</v>
      </c>
      <c r="AV606" s="38" t="str">
        <f>IFERROR(时间!$B$4+AU606,"上周无销量")</f>
        <v>上周无销量</v>
      </c>
    </row>
    <row r="607" spans="1:48">
      <c r="A607" s="21" t="s">
        <v>1354</v>
      </c>
      <c r="B607" t="s">
        <v>1355</v>
      </c>
      <c r="C607" t="s">
        <v>1335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0</v>
      </c>
      <c r="J607" s="35">
        <v>0</v>
      </c>
      <c r="K607" s="35">
        <v>0</v>
      </c>
      <c r="L607" s="35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7">
        <v>0</v>
      </c>
      <c r="AS607" s="37">
        <v>0</v>
      </c>
      <c r="AT607" s="37">
        <v>0</v>
      </c>
      <c r="AU607" s="33" t="str">
        <f t="shared" si="12"/>
        <v>库存为0</v>
      </c>
      <c r="AV607" s="38" t="str">
        <f>IFERROR(时间!$B$4+AU607,"上周无销量")</f>
        <v>上周无销量</v>
      </c>
    </row>
    <row r="608" spans="1:48">
      <c r="A608" s="21" t="s">
        <v>1356</v>
      </c>
      <c r="B608" t="s">
        <v>1357</v>
      </c>
      <c r="C608" t="s">
        <v>1335</v>
      </c>
      <c r="D608" s="33">
        <v>0</v>
      </c>
      <c r="E608" s="33">
        <v>0</v>
      </c>
      <c r="F608" s="33">
        <v>0</v>
      </c>
      <c r="G608" s="33">
        <v>0</v>
      </c>
      <c r="H608" s="34">
        <v>0</v>
      </c>
      <c r="I608">
        <v>0</v>
      </c>
      <c r="J608" s="35">
        <v>0</v>
      </c>
      <c r="K608" s="35">
        <v>0</v>
      </c>
      <c r="L608" s="35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7">
        <v>0</v>
      </c>
      <c r="AS608" s="37">
        <v>0</v>
      </c>
      <c r="AT608" s="37">
        <v>0</v>
      </c>
      <c r="AU608" s="33" t="str">
        <f t="shared" si="12"/>
        <v>库存为0</v>
      </c>
      <c r="AV608" s="38" t="str">
        <f>IFERROR(时间!$B$4+AU608,"上周无销量")</f>
        <v>上周无销量</v>
      </c>
    </row>
    <row r="609" spans="1:48">
      <c r="A609" s="21" t="s">
        <v>1358</v>
      </c>
      <c r="B609" t="s">
        <v>1359</v>
      </c>
      <c r="C609" t="s">
        <v>1360</v>
      </c>
      <c r="D609" s="33">
        <v>0</v>
      </c>
      <c r="E609" s="33">
        <v>0</v>
      </c>
      <c r="F609" s="33">
        <v>0</v>
      </c>
      <c r="G609" s="33">
        <v>0</v>
      </c>
      <c r="H609" s="34">
        <v>0</v>
      </c>
      <c r="I609">
        <v>0</v>
      </c>
      <c r="J609" s="35">
        <v>0</v>
      </c>
      <c r="K609" s="35">
        <v>0</v>
      </c>
      <c r="L609" s="35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7">
        <v>0</v>
      </c>
      <c r="AS609" s="37">
        <v>0</v>
      </c>
      <c r="AT609" s="37">
        <v>0</v>
      </c>
      <c r="AU609" s="33" t="str">
        <f t="shared" si="12"/>
        <v>库存为0</v>
      </c>
      <c r="AV609" s="38" t="str">
        <f>IFERROR(时间!$B$4+AU609,"上周无销量")</f>
        <v>上周无销量</v>
      </c>
    </row>
    <row r="610" spans="1:48">
      <c r="A610" s="21" t="s">
        <v>1361</v>
      </c>
      <c r="B610" t="s">
        <v>1362</v>
      </c>
      <c r="C610" t="s">
        <v>1360</v>
      </c>
      <c r="D610" s="33">
        <v>0</v>
      </c>
      <c r="E610" s="33">
        <v>0</v>
      </c>
      <c r="F610" s="33">
        <v>0</v>
      </c>
      <c r="G610" s="33">
        <v>0</v>
      </c>
      <c r="H610" s="34">
        <v>0</v>
      </c>
      <c r="I610">
        <v>0</v>
      </c>
      <c r="J610" s="35">
        <v>0</v>
      </c>
      <c r="K610" s="35">
        <v>0</v>
      </c>
      <c r="L610" s="35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7">
        <v>0</v>
      </c>
      <c r="AS610" s="37">
        <v>0</v>
      </c>
      <c r="AT610" s="37">
        <v>0</v>
      </c>
      <c r="AU610" s="33" t="str">
        <f t="shared" si="12"/>
        <v>库存为0</v>
      </c>
      <c r="AV610" s="38" t="str">
        <f>IFERROR(时间!$B$4+AU610,"上周无销量")</f>
        <v>上周无销量</v>
      </c>
    </row>
    <row r="611" spans="1:48">
      <c r="A611" s="21" t="s">
        <v>1363</v>
      </c>
      <c r="B611" t="s">
        <v>1364</v>
      </c>
      <c r="C611" t="s">
        <v>1360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0</v>
      </c>
      <c r="J611" s="35">
        <v>0</v>
      </c>
      <c r="K611" s="35">
        <v>0</v>
      </c>
      <c r="L611" s="35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7">
        <v>0</v>
      </c>
      <c r="AS611" s="37">
        <v>0</v>
      </c>
      <c r="AT611" s="37">
        <v>0</v>
      </c>
      <c r="AU611" s="33" t="str">
        <f t="shared" si="12"/>
        <v>库存为0</v>
      </c>
      <c r="AV611" s="38" t="str">
        <f>IFERROR(时间!$B$4+AU611,"上周无销量")</f>
        <v>上周无销量</v>
      </c>
    </row>
    <row r="612" spans="1:48">
      <c r="A612" s="21" t="s">
        <v>1365</v>
      </c>
      <c r="B612" t="s">
        <v>1366</v>
      </c>
      <c r="C612" t="s">
        <v>1360</v>
      </c>
      <c r="D612" s="33">
        <v>0</v>
      </c>
      <c r="E612" s="33">
        <v>0</v>
      </c>
      <c r="F612" s="33">
        <v>0</v>
      </c>
      <c r="G612" s="33">
        <v>0</v>
      </c>
      <c r="H612" s="34">
        <v>0</v>
      </c>
      <c r="I612">
        <v>0</v>
      </c>
      <c r="J612" s="35">
        <v>0</v>
      </c>
      <c r="K612" s="35">
        <v>0</v>
      </c>
      <c r="L612" s="35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7">
        <v>0</v>
      </c>
      <c r="AS612" s="37">
        <v>0</v>
      </c>
      <c r="AT612" s="37">
        <v>0</v>
      </c>
      <c r="AU612" s="33" t="str">
        <f t="shared" si="12"/>
        <v>库存为0</v>
      </c>
      <c r="AV612" s="38" t="str">
        <f>IFERROR(时间!$B$4+AU612,"上周无销量")</f>
        <v>上周无销量</v>
      </c>
    </row>
    <row r="613" spans="1:48">
      <c r="A613" s="21" t="s">
        <v>1367</v>
      </c>
      <c r="B613" t="s">
        <v>1368</v>
      </c>
      <c r="C613" t="s">
        <v>1360</v>
      </c>
      <c r="D613" s="33">
        <v>0</v>
      </c>
      <c r="E613" s="33">
        <v>0</v>
      </c>
      <c r="F613" s="33">
        <v>0</v>
      </c>
      <c r="G613" s="33">
        <v>0</v>
      </c>
      <c r="H613" s="34">
        <v>0</v>
      </c>
      <c r="I613">
        <v>0</v>
      </c>
      <c r="J613" s="35">
        <v>0</v>
      </c>
      <c r="K613" s="35">
        <v>0</v>
      </c>
      <c r="L613" s="35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7">
        <v>0</v>
      </c>
      <c r="AS613" s="37">
        <v>0</v>
      </c>
      <c r="AT613" s="37">
        <v>0</v>
      </c>
      <c r="AU613" s="33" t="str">
        <f t="shared" si="12"/>
        <v>库存为0</v>
      </c>
      <c r="AV613" s="38" t="str">
        <f>IFERROR(时间!$B$4+AU613,"上周无销量")</f>
        <v>上周无销量</v>
      </c>
    </row>
    <row r="614" spans="1:48">
      <c r="A614" s="21" t="s">
        <v>1369</v>
      </c>
      <c r="B614" t="s">
        <v>1370</v>
      </c>
      <c r="C614" t="s">
        <v>1360</v>
      </c>
      <c r="D614" s="33">
        <v>0</v>
      </c>
      <c r="E614" s="33">
        <v>0</v>
      </c>
      <c r="F614" s="33">
        <v>0</v>
      </c>
      <c r="G614" s="33">
        <v>0</v>
      </c>
      <c r="H614" s="34">
        <v>0</v>
      </c>
      <c r="I614">
        <v>0</v>
      </c>
      <c r="J614" s="35">
        <v>0</v>
      </c>
      <c r="K614" s="35">
        <v>0</v>
      </c>
      <c r="L614" s="35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7">
        <v>0</v>
      </c>
      <c r="AS614" s="37">
        <v>0</v>
      </c>
      <c r="AT614" s="37">
        <v>0</v>
      </c>
      <c r="AU614" s="33" t="str">
        <f t="shared" si="12"/>
        <v>库存为0</v>
      </c>
      <c r="AV614" s="38" t="str">
        <f>IFERROR(时间!$B$4+AU614,"上周无销量")</f>
        <v>上周无销量</v>
      </c>
    </row>
    <row r="615" spans="1:48">
      <c r="A615" s="21" t="s">
        <v>1371</v>
      </c>
      <c r="B615" t="s">
        <v>1372</v>
      </c>
      <c r="C615" t="s">
        <v>1360</v>
      </c>
      <c r="D615" s="33">
        <v>0</v>
      </c>
      <c r="E615" s="33">
        <v>0</v>
      </c>
      <c r="F615" s="33">
        <v>0</v>
      </c>
      <c r="G615" s="33">
        <v>0</v>
      </c>
      <c r="H615" s="34">
        <v>0</v>
      </c>
      <c r="I615">
        <v>0</v>
      </c>
      <c r="J615" s="35">
        <v>0</v>
      </c>
      <c r="K615" s="35">
        <v>0</v>
      </c>
      <c r="L615" s="35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7">
        <v>0</v>
      </c>
      <c r="AS615" s="37">
        <v>0</v>
      </c>
      <c r="AT615" s="37">
        <v>0</v>
      </c>
      <c r="AU615" s="33" t="str">
        <f t="shared" si="12"/>
        <v>库存为0</v>
      </c>
      <c r="AV615" s="38" t="str">
        <f>IFERROR(时间!$B$4+AU615,"上周无销量")</f>
        <v>上周无销量</v>
      </c>
    </row>
    <row r="616" spans="1:48">
      <c r="A616" s="21" t="s">
        <v>1373</v>
      </c>
      <c r="B616" t="s">
        <v>1374</v>
      </c>
      <c r="C616" t="s">
        <v>1360</v>
      </c>
      <c r="D616" s="33">
        <v>0</v>
      </c>
      <c r="E616" s="33">
        <v>0</v>
      </c>
      <c r="F616" s="33">
        <v>0</v>
      </c>
      <c r="G616" s="33">
        <v>0</v>
      </c>
      <c r="H616" s="34">
        <v>0</v>
      </c>
      <c r="I616">
        <v>0</v>
      </c>
      <c r="J616" s="35">
        <v>0</v>
      </c>
      <c r="K616" s="35">
        <v>0</v>
      </c>
      <c r="L616" s="35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s">
        <v>54</v>
      </c>
      <c r="AO616" s="23" t="s">
        <v>54</v>
      </c>
      <c r="AP616" s="23" t="s">
        <v>54</v>
      </c>
      <c r="AQ616" s="23" t="s">
        <v>54</v>
      </c>
      <c r="AR616" s="37">
        <v>0</v>
      </c>
      <c r="AS616" s="37">
        <v>0</v>
      </c>
      <c r="AT616" s="37">
        <v>0</v>
      </c>
      <c r="AU616" s="33" t="str">
        <f t="shared" si="12"/>
        <v>库存为0</v>
      </c>
      <c r="AV616" s="38" t="str">
        <f>IFERROR(时间!$B$4+AU616,"上周无销量")</f>
        <v>上周无销量</v>
      </c>
    </row>
    <row r="617" spans="1:48">
      <c r="A617" s="21" t="s">
        <v>1375</v>
      </c>
      <c r="B617" t="s">
        <v>1376</v>
      </c>
      <c r="C617" t="s">
        <v>1360</v>
      </c>
      <c r="D617" s="33">
        <v>0</v>
      </c>
      <c r="E617" s="33">
        <v>0</v>
      </c>
      <c r="F617" s="33">
        <v>0</v>
      </c>
      <c r="G617" s="33">
        <v>0</v>
      </c>
      <c r="H617" s="34">
        <v>0</v>
      </c>
      <c r="I617">
        <v>0</v>
      </c>
      <c r="J617" s="35">
        <v>0</v>
      </c>
      <c r="K617" s="35">
        <v>0</v>
      </c>
      <c r="L617" s="35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7">
        <v>0</v>
      </c>
      <c r="AS617" s="37">
        <v>0</v>
      </c>
      <c r="AT617" s="37">
        <v>0</v>
      </c>
      <c r="AU617" s="33" t="str">
        <f t="shared" si="12"/>
        <v>库存为0</v>
      </c>
      <c r="AV617" s="38" t="str">
        <f>IFERROR(时间!$B$4+AU617,"上周无销量")</f>
        <v>上周无销量</v>
      </c>
    </row>
    <row r="618" spans="1:48">
      <c r="A618" s="21" t="s">
        <v>1377</v>
      </c>
      <c r="B618" t="s">
        <v>1378</v>
      </c>
      <c r="C618" t="s">
        <v>1360</v>
      </c>
      <c r="D618" s="33">
        <v>0</v>
      </c>
      <c r="E618" s="33">
        <v>0</v>
      </c>
      <c r="F618" s="33">
        <v>0</v>
      </c>
      <c r="G618" s="33">
        <v>0</v>
      </c>
      <c r="H618" s="34">
        <v>0</v>
      </c>
      <c r="I618">
        <v>0</v>
      </c>
      <c r="J618" s="35">
        <v>0</v>
      </c>
      <c r="K618" s="35">
        <v>0</v>
      </c>
      <c r="L618" s="35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7">
        <v>0</v>
      </c>
      <c r="AS618" s="37">
        <v>0</v>
      </c>
      <c r="AT618" s="37">
        <v>0</v>
      </c>
      <c r="AU618" s="33" t="str">
        <f t="shared" si="12"/>
        <v>库存为0</v>
      </c>
      <c r="AV618" s="38" t="str">
        <f>IFERROR(时间!$B$4+AU618,"上周无销量")</f>
        <v>上周无销量</v>
      </c>
    </row>
    <row r="619" spans="1:48">
      <c r="A619" s="21" t="s">
        <v>1379</v>
      </c>
      <c r="B619" t="s">
        <v>1380</v>
      </c>
      <c r="C619" t="s">
        <v>1360</v>
      </c>
      <c r="D619" s="33">
        <v>0</v>
      </c>
      <c r="E619" s="33">
        <v>0</v>
      </c>
      <c r="F619" s="33">
        <v>0</v>
      </c>
      <c r="G619" s="33">
        <v>0</v>
      </c>
      <c r="H619" s="34">
        <v>0</v>
      </c>
      <c r="I619">
        <v>0</v>
      </c>
      <c r="J619" s="35">
        <v>0</v>
      </c>
      <c r="K619" s="35">
        <v>0</v>
      </c>
      <c r="L619" s="35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7">
        <v>0</v>
      </c>
      <c r="AS619" s="37">
        <v>0</v>
      </c>
      <c r="AT619" s="37">
        <v>0</v>
      </c>
      <c r="AU619" s="33" t="str">
        <f t="shared" si="12"/>
        <v>库存为0</v>
      </c>
      <c r="AV619" s="38" t="str">
        <f>IFERROR(时间!$B$4+AU619,"上周无销量")</f>
        <v>上周无销量</v>
      </c>
    </row>
    <row r="620" spans="1:48">
      <c r="A620" s="21" t="s">
        <v>1381</v>
      </c>
      <c r="B620" t="s">
        <v>1382</v>
      </c>
      <c r="C620" t="s">
        <v>1360</v>
      </c>
      <c r="D620" s="33">
        <v>0</v>
      </c>
      <c r="E620" s="33">
        <v>0</v>
      </c>
      <c r="F620" s="33">
        <v>0</v>
      </c>
      <c r="G620" s="33">
        <v>0</v>
      </c>
      <c r="H620" s="34">
        <v>0</v>
      </c>
      <c r="I620">
        <v>0</v>
      </c>
      <c r="J620" s="35">
        <v>0</v>
      </c>
      <c r="K620" s="35">
        <v>0</v>
      </c>
      <c r="L620" s="35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s">
        <v>54</v>
      </c>
      <c r="AO620" s="23" t="s">
        <v>54</v>
      </c>
      <c r="AP620" s="23" t="s">
        <v>54</v>
      </c>
      <c r="AQ620" s="23" t="s">
        <v>54</v>
      </c>
      <c r="AR620" s="37">
        <v>0</v>
      </c>
      <c r="AS620" s="37">
        <v>0</v>
      </c>
      <c r="AT620" s="37">
        <v>0</v>
      </c>
      <c r="AU620" s="33" t="str">
        <f t="shared" si="12"/>
        <v>库存为0</v>
      </c>
      <c r="AV620" s="38" t="str">
        <f>IFERROR(时间!$B$4+AU620,"上周无销量")</f>
        <v>上周无销量</v>
      </c>
    </row>
    <row r="621" spans="1:48">
      <c r="A621" s="21" t="s">
        <v>1383</v>
      </c>
      <c r="B621" t="s">
        <v>1384</v>
      </c>
      <c r="C621" t="s">
        <v>1385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0</v>
      </c>
      <c r="J621" s="35">
        <v>0</v>
      </c>
      <c r="K621" s="35">
        <v>0</v>
      </c>
      <c r="L621" s="35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7">
        <v>0</v>
      </c>
      <c r="AS621" s="37">
        <v>0</v>
      </c>
      <c r="AT621" s="37">
        <v>0</v>
      </c>
      <c r="AU621" s="33" t="str">
        <f t="shared" si="12"/>
        <v>库存为0</v>
      </c>
      <c r="AV621" s="38" t="str">
        <f>IFERROR(时间!$B$4+AU621,"上周无销量")</f>
        <v>上周无销量</v>
      </c>
    </row>
    <row r="622" spans="1:48">
      <c r="A622" s="21" t="s">
        <v>1386</v>
      </c>
      <c r="B622" t="s">
        <v>1387</v>
      </c>
      <c r="C622" t="s">
        <v>1385</v>
      </c>
      <c r="D622" s="33">
        <v>0</v>
      </c>
      <c r="E622" s="33">
        <v>0</v>
      </c>
      <c r="F622" s="33">
        <v>0</v>
      </c>
      <c r="G622" s="33">
        <v>0</v>
      </c>
      <c r="H622" s="34">
        <v>0</v>
      </c>
      <c r="I622">
        <v>0</v>
      </c>
      <c r="J622" s="35">
        <v>0</v>
      </c>
      <c r="K622" s="35">
        <v>0</v>
      </c>
      <c r="L622" s="35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7">
        <v>0</v>
      </c>
      <c r="AS622" s="37">
        <v>0</v>
      </c>
      <c r="AT622" s="37">
        <v>0</v>
      </c>
      <c r="AU622" s="33" t="str">
        <f t="shared" si="12"/>
        <v>库存为0</v>
      </c>
      <c r="AV622" s="38" t="str">
        <f>IFERROR(时间!$B$4+AU622,"上周无销量")</f>
        <v>上周无销量</v>
      </c>
    </row>
    <row r="623" spans="1:48">
      <c r="A623" s="21" t="s">
        <v>1388</v>
      </c>
      <c r="B623" t="s">
        <v>1389</v>
      </c>
      <c r="C623" t="s">
        <v>1385</v>
      </c>
      <c r="D623" s="33">
        <v>0</v>
      </c>
      <c r="E623" s="33">
        <v>0</v>
      </c>
      <c r="F623" s="33">
        <v>0</v>
      </c>
      <c r="G623" s="33">
        <v>0</v>
      </c>
      <c r="H623" s="34">
        <v>0</v>
      </c>
      <c r="I623">
        <v>0</v>
      </c>
      <c r="J623" s="35">
        <v>0</v>
      </c>
      <c r="K623" s="35">
        <v>0</v>
      </c>
      <c r="L623" s="35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s">
        <v>54</v>
      </c>
      <c r="AO623" s="23" t="s">
        <v>54</v>
      </c>
      <c r="AP623" s="23" t="s">
        <v>54</v>
      </c>
      <c r="AQ623" s="23" t="s">
        <v>54</v>
      </c>
      <c r="AR623" s="37">
        <v>0</v>
      </c>
      <c r="AS623" s="37">
        <v>0</v>
      </c>
      <c r="AT623" s="37">
        <v>0</v>
      </c>
      <c r="AU623" s="33" t="str">
        <f t="shared" si="12"/>
        <v>库存为0</v>
      </c>
      <c r="AV623" s="38" t="str">
        <f>IFERROR(时间!$B$4+AU623,"上周无销量")</f>
        <v>上周无销量</v>
      </c>
    </row>
    <row r="624" spans="1:48">
      <c r="A624" s="21" t="s">
        <v>1390</v>
      </c>
      <c r="B624" t="s">
        <v>1391</v>
      </c>
      <c r="C624" t="s">
        <v>1385</v>
      </c>
      <c r="D624" s="33">
        <v>0</v>
      </c>
      <c r="E624" s="33">
        <v>0</v>
      </c>
      <c r="F624" s="33">
        <v>0</v>
      </c>
      <c r="G624" s="33">
        <v>0</v>
      </c>
      <c r="H624" s="34">
        <v>0</v>
      </c>
      <c r="I624">
        <v>0</v>
      </c>
      <c r="J624" s="35">
        <v>0</v>
      </c>
      <c r="K624" s="35">
        <v>0</v>
      </c>
      <c r="L624" s="35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7">
        <v>0</v>
      </c>
      <c r="AS624" s="37">
        <v>0</v>
      </c>
      <c r="AT624" s="37">
        <v>0</v>
      </c>
      <c r="AU624" s="33" t="str">
        <f t="shared" si="12"/>
        <v>库存为0</v>
      </c>
      <c r="AV624" s="38" t="str">
        <f>IFERROR(时间!$B$4+AU624,"上周无销量")</f>
        <v>上周无销量</v>
      </c>
    </row>
    <row r="625" spans="1:48">
      <c r="A625" s="21" t="s">
        <v>1392</v>
      </c>
      <c r="B625" t="s">
        <v>1393</v>
      </c>
      <c r="C625" t="s">
        <v>1385</v>
      </c>
      <c r="D625" s="33">
        <v>0</v>
      </c>
      <c r="E625" s="33">
        <v>0</v>
      </c>
      <c r="F625" s="33">
        <v>0</v>
      </c>
      <c r="G625" s="33">
        <v>0</v>
      </c>
      <c r="H625" s="34">
        <v>0</v>
      </c>
      <c r="I625">
        <v>0</v>
      </c>
      <c r="J625" s="35">
        <v>0</v>
      </c>
      <c r="K625" s="35">
        <v>0</v>
      </c>
      <c r="L625" s="35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s">
        <v>54</v>
      </c>
      <c r="AO625" s="23" t="s">
        <v>54</v>
      </c>
      <c r="AP625" s="23" t="s">
        <v>54</v>
      </c>
      <c r="AQ625" s="23" t="s">
        <v>54</v>
      </c>
      <c r="AR625" s="37">
        <v>0</v>
      </c>
      <c r="AS625" s="37">
        <v>0</v>
      </c>
      <c r="AT625" s="37">
        <v>0</v>
      </c>
      <c r="AU625" s="33" t="str">
        <f t="shared" si="12"/>
        <v>库存为0</v>
      </c>
      <c r="AV625" s="38" t="str">
        <f>IFERROR(时间!$B$4+AU625,"上周无销量")</f>
        <v>上周无销量</v>
      </c>
    </row>
    <row r="626" spans="1:48">
      <c r="A626" s="21" t="s">
        <v>1394</v>
      </c>
      <c r="B626" t="s">
        <v>1395</v>
      </c>
      <c r="C626" t="s">
        <v>1385</v>
      </c>
      <c r="D626" s="33">
        <v>0</v>
      </c>
      <c r="E626" s="33">
        <v>0</v>
      </c>
      <c r="F626" s="33">
        <v>0</v>
      </c>
      <c r="G626" s="33">
        <v>0</v>
      </c>
      <c r="H626" s="34">
        <v>0</v>
      </c>
      <c r="I626">
        <v>0</v>
      </c>
      <c r="J626" s="35">
        <v>0</v>
      </c>
      <c r="K626" s="35">
        <v>0</v>
      </c>
      <c r="L626" s="35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s">
        <v>54</v>
      </c>
      <c r="AO626" s="23" t="s">
        <v>54</v>
      </c>
      <c r="AP626" s="23" t="s">
        <v>54</v>
      </c>
      <c r="AQ626" s="23" t="s">
        <v>54</v>
      </c>
      <c r="AR626" s="37">
        <v>0</v>
      </c>
      <c r="AS626" s="37">
        <v>0</v>
      </c>
      <c r="AT626" s="37">
        <v>0</v>
      </c>
      <c r="AU626" s="33" t="str">
        <f t="shared" si="12"/>
        <v>库存为0</v>
      </c>
      <c r="AV626" s="38" t="str">
        <f>IFERROR(时间!$B$4+AU626,"上周无销量")</f>
        <v>上周无销量</v>
      </c>
    </row>
    <row r="627" spans="1:48">
      <c r="A627" s="21" t="s">
        <v>1396</v>
      </c>
      <c r="B627" t="s">
        <v>1397</v>
      </c>
      <c r="C627" t="s">
        <v>1385</v>
      </c>
      <c r="D627" s="33">
        <v>0</v>
      </c>
      <c r="E627" s="33">
        <v>0</v>
      </c>
      <c r="F627" s="33">
        <v>0</v>
      </c>
      <c r="G627" s="33">
        <v>0</v>
      </c>
      <c r="H627" s="34">
        <v>0</v>
      </c>
      <c r="I627">
        <v>0</v>
      </c>
      <c r="J627" s="35">
        <v>0</v>
      </c>
      <c r="K627" s="35">
        <v>0</v>
      </c>
      <c r="L627" s="35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s">
        <v>54</v>
      </c>
      <c r="AO627" s="23" t="s">
        <v>54</v>
      </c>
      <c r="AP627" s="23" t="s">
        <v>54</v>
      </c>
      <c r="AQ627" s="23" t="s">
        <v>54</v>
      </c>
      <c r="AR627" s="37">
        <v>0</v>
      </c>
      <c r="AS627" s="37">
        <v>0</v>
      </c>
      <c r="AT627" s="37">
        <v>0</v>
      </c>
      <c r="AU627" s="33" t="str">
        <f t="shared" si="12"/>
        <v>库存为0</v>
      </c>
      <c r="AV627" s="38" t="str">
        <f>IFERROR(时间!$B$4+AU627,"上周无销量")</f>
        <v>上周无销量</v>
      </c>
    </row>
    <row r="628" spans="1:48">
      <c r="A628" s="21" t="s">
        <v>1398</v>
      </c>
      <c r="B628" t="s">
        <v>1399</v>
      </c>
      <c r="C628" t="s">
        <v>1385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0</v>
      </c>
      <c r="J628" s="35">
        <v>0</v>
      </c>
      <c r="K628" s="35">
        <v>0</v>
      </c>
      <c r="L628" s="35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7">
        <v>0</v>
      </c>
      <c r="AS628" s="37">
        <v>0</v>
      </c>
      <c r="AT628" s="37">
        <v>0</v>
      </c>
      <c r="AU628" s="33" t="str">
        <f t="shared" si="12"/>
        <v>库存为0</v>
      </c>
      <c r="AV628" s="38" t="str">
        <f>IFERROR(时间!$B$4+AU628,"上周无销量")</f>
        <v>上周无销量</v>
      </c>
    </row>
    <row r="629" spans="1:48">
      <c r="A629" s="21" t="s">
        <v>1400</v>
      </c>
      <c r="B629" t="s">
        <v>1401</v>
      </c>
      <c r="C629" t="s">
        <v>1385</v>
      </c>
      <c r="D629" s="33">
        <v>0</v>
      </c>
      <c r="E629" s="33">
        <v>0</v>
      </c>
      <c r="F629" s="33">
        <v>0</v>
      </c>
      <c r="G629" s="33">
        <v>0</v>
      </c>
      <c r="H629" s="34">
        <v>0</v>
      </c>
      <c r="I629">
        <v>0</v>
      </c>
      <c r="J629" s="35">
        <v>0</v>
      </c>
      <c r="K629" s="35">
        <v>0</v>
      </c>
      <c r="L629" s="35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7">
        <v>0</v>
      </c>
      <c r="AS629" s="37">
        <v>0</v>
      </c>
      <c r="AT629" s="37">
        <v>0</v>
      </c>
      <c r="AU629" s="33" t="str">
        <f t="shared" si="12"/>
        <v>库存为0</v>
      </c>
      <c r="AV629" s="38" t="str">
        <f>IFERROR(时间!$B$4+AU629,"上周无销量")</f>
        <v>上周无销量</v>
      </c>
    </row>
    <row r="630" spans="1:48">
      <c r="A630" s="21" t="s">
        <v>1402</v>
      </c>
      <c r="B630" t="s">
        <v>1403</v>
      </c>
      <c r="C630" t="s">
        <v>1385</v>
      </c>
      <c r="D630" s="33">
        <v>0</v>
      </c>
      <c r="E630" s="33">
        <v>0</v>
      </c>
      <c r="F630" s="33">
        <v>0</v>
      </c>
      <c r="G630" s="33">
        <v>0</v>
      </c>
      <c r="H630" s="34">
        <v>0</v>
      </c>
      <c r="I630">
        <v>0</v>
      </c>
      <c r="J630" s="35">
        <v>0</v>
      </c>
      <c r="K630" s="35">
        <v>0</v>
      </c>
      <c r="L630" s="35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7">
        <v>0</v>
      </c>
      <c r="AS630" s="37">
        <v>0</v>
      </c>
      <c r="AT630" s="37">
        <v>0</v>
      </c>
      <c r="AU630" s="33" t="str">
        <f t="shared" si="12"/>
        <v>库存为0</v>
      </c>
      <c r="AV630" s="38" t="str">
        <f>IFERROR(时间!$B$4+AU630,"上周无销量")</f>
        <v>上周无销量</v>
      </c>
    </row>
    <row r="631" spans="1:48">
      <c r="A631" s="21" t="s">
        <v>1404</v>
      </c>
      <c r="B631" t="s">
        <v>1405</v>
      </c>
      <c r="C631" t="s">
        <v>1385</v>
      </c>
      <c r="D631" s="33">
        <v>0</v>
      </c>
      <c r="E631" s="33">
        <v>0</v>
      </c>
      <c r="F631" s="33">
        <v>0</v>
      </c>
      <c r="G631" s="33">
        <v>0</v>
      </c>
      <c r="H631" s="34">
        <v>0</v>
      </c>
      <c r="I631">
        <v>0</v>
      </c>
      <c r="J631" s="35">
        <v>0</v>
      </c>
      <c r="K631" s="35">
        <v>0</v>
      </c>
      <c r="L631" s="35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7">
        <v>0</v>
      </c>
      <c r="AS631" s="37">
        <v>0</v>
      </c>
      <c r="AT631" s="37">
        <v>0</v>
      </c>
      <c r="AU631" s="33" t="str">
        <f t="shared" si="12"/>
        <v>库存为0</v>
      </c>
      <c r="AV631" s="38" t="str">
        <f>IFERROR(时间!$B$4+AU631,"上周无销量")</f>
        <v>上周无销量</v>
      </c>
    </row>
    <row r="632" spans="1:48">
      <c r="A632" s="21" t="s">
        <v>1406</v>
      </c>
      <c r="B632" t="s">
        <v>1407</v>
      </c>
      <c r="C632" t="s">
        <v>1385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0</v>
      </c>
      <c r="J632" s="35">
        <v>0</v>
      </c>
      <c r="K632" s="35">
        <v>0</v>
      </c>
      <c r="L632" s="35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7">
        <v>0</v>
      </c>
      <c r="AS632" s="37">
        <v>0</v>
      </c>
      <c r="AT632" s="37">
        <v>0</v>
      </c>
      <c r="AU632" s="33" t="str">
        <f t="shared" si="12"/>
        <v>库存为0</v>
      </c>
      <c r="AV632" s="38" t="str">
        <f>IFERROR(时间!$B$4+AU632,"上周无销量")</f>
        <v>上周无销量</v>
      </c>
    </row>
    <row r="633" spans="1:48">
      <c r="A633" s="21" t="s">
        <v>1408</v>
      </c>
      <c r="B633" t="s">
        <v>1409</v>
      </c>
      <c r="C633" t="s">
        <v>1385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0</v>
      </c>
      <c r="J633" s="35">
        <v>0</v>
      </c>
      <c r="K633" s="35">
        <v>0</v>
      </c>
      <c r="L633" s="35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7">
        <v>0</v>
      </c>
      <c r="AS633" s="37">
        <v>0</v>
      </c>
      <c r="AT633" s="37">
        <v>0</v>
      </c>
      <c r="AU633" s="33" t="str">
        <f t="shared" si="12"/>
        <v>库存为0</v>
      </c>
      <c r="AV633" s="38" t="str">
        <f>IFERROR(时间!$B$4+AU633,"上周无销量")</f>
        <v>上周无销量</v>
      </c>
    </row>
    <row r="634" spans="1:48">
      <c r="A634" s="21" t="s">
        <v>1410</v>
      </c>
      <c r="B634" t="s">
        <v>1411</v>
      </c>
      <c r="C634" t="s">
        <v>1385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0</v>
      </c>
      <c r="J634" s="35">
        <v>0</v>
      </c>
      <c r="K634" s="35">
        <v>0</v>
      </c>
      <c r="L634" s="35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s">
        <v>54</v>
      </c>
      <c r="AO634" s="23" t="s">
        <v>54</v>
      </c>
      <c r="AP634" s="23" t="s">
        <v>54</v>
      </c>
      <c r="AQ634" s="23" t="s">
        <v>54</v>
      </c>
      <c r="AR634" s="37">
        <v>0</v>
      </c>
      <c r="AS634" s="37">
        <v>0</v>
      </c>
      <c r="AT634" s="37">
        <v>0</v>
      </c>
      <c r="AU634" s="33" t="str">
        <f t="shared" si="12"/>
        <v>库存为0</v>
      </c>
      <c r="AV634" s="38" t="str">
        <f>IFERROR(时间!$B$4+AU634,"上周无销量")</f>
        <v>上周无销量</v>
      </c>
    </row>
    <row r="635" spans="1:48">
      <c r="A635" s="21" t="s">
        <v>1412</v>
      </c>
      <c r="B635" t="s">
        <v>1413</v>
      </c>
      <c r="C635" t="s">
        <v>1385</v>
      </c>
      <c r="D635" s="33">
        <v>0</v>
      </c>
      <c r="E635" s="33">
        <v>0</v>
      </c>
      <c r="F635" s="33">
        <v>0</v>
      </c>
      <c r="G635" s="33">
        <v>0</v>
      </c>
      <c r="H635" s="34">
        <v>0</v>
      </c>
      <c r="I635">
        <v>0</v>
      </c>
      <c r="J635" s="35">
        <v>0</v>
      </c>
      <c r="K635" s="35">
        <v>0</v>
      </c>
      <c r="L635" s="35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s">
        <v>54</v>
      </c>
      <c r="AO635" s="23" t="s">
        <v>54</v>
      </c>
      <c r="AP635" s="23" t="s">
        <v>54</v>
      </c>
      <c r="AQ635" s="23" t="s">
        <v>54</v>
      </c>
      <c r="AR635" s="37">
        <v>0</v>
      </c>
      <c r="AS635" s="37">
        <v>0</v>
      </c>
      <c r="AT635" s="37">
        <v>0</v>
      </c>
      <c r="AU635" s="33" t="str">
        <f t="shared" si="12"/>
        <v>库存为0</v>
      </c>
      <c r="AV635" s="38" t="str">
        <f>IFERROR(时间!$B$4+AU635,"上周无销量")</f>
        <v>上周无销量</v>
      </c>
    </row>
    <row r="636" spans="1:48">
      <c r="A636" s="21" t="s">
        <v>1414</v>
      </c>
      <c r="B636" t="s">
        <v>1415</v>
      </c>
      <c r="C636" t="s">
        <v>1385</v>
      </c>
      <c r="D636" s="33">
        <v>0</v>
      </c>
      <c r="E636" s="33">
        <v>0</v>
      </c>
      <c r="F636" s="33">
        <v>0</v>
      </c>
      <c r="G636" s="33">
        <v>0</v>
      </c>
      <c r="H636" s="34">
        <v>0</v>
      </c>
      <c r="I636">
        <v>0</v>
      </c>
      <c r="J636" s="35">
        <v>0</v>
      </c>
      <c r="K636" s="35">
        <v>0</v>
      </c>
      <c r="L636" s="35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s">
        <v>54</v>
      </c>
      <c r="AO636" s="23" t="s">
        <v>54</v>
      </c>
      <c r="AP636" s="23" t="s">
        <v>54</v>
      </c>
      <c r="AQ636" s="23" t="s">
        <v>54</v>
      </c>
      <c r="AR636" s="37">
        <v>0</v>
      </c>
      <c r="AS636" s="37">
        <v>0</v>
      </c>
      <c r="AT636" s="37">
        <v>0</v>
      </c>
      <c r="AU636" s="33" t="str">
        <f t="shared" si="12"/>
        <v>库存为0</v>
      </c>
      <c r="AV636" s="38" t="str">
        <f>IFERROR(时间!$B$4+AU636,"上周无销量")</f>
        <v>上周无销量</v>
      </c>
    </row>
    <row r="637" spans="1:48">
      <c r="A637" s="21" t="s">
        <v>1416</v>
      </c>
      <c r="B637" t="s">
        <v>1417</v>
      </c>
      <c r="C637" t="s">
        <v>1385</v>
      </c>
      <c r="D637" s="33">
        <v>0</v>
      </c>
      <c r="E637" s="33">
        <v>0</v>
      </c>
      <c r="F637" s="33">
        <v>0</v>
      </c>
      <c r="G637" s="33">
        <v>0</v>
      </c>
      <c r="H637" s="34">
        <v>0</v>
      </c>
      <c r="I637">
        <v>0</v>
      </c>
      <c r="J637" s="35">
        <v>0</v>
      </c>
      <c r="K637" s="35">
        <v>0</v>
      </c>
      <c r="L637" s="35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s">
        <v>54</v>
      </c>
      <c r="AO637" s="23" t="s">
        <v>54</v>
      </c>
      <c r="AP637" s="23" t="s">
        <v>54</v>
      </c>
      <c r="AQ637" s="23" t="s">
        <v>54</v>
      </c>
      <c r="AR637" s="37">
        <v>0</v>
      </c>
      <c r="AS637" s="37">
        <v>0</v>
      </c>
      <c r="AT637" s="37">
        <v>0</v>
      </c>
      <c r="AU637" s="33" t="str">
        <f t="shared" si="12"/>
        <v>库存为0</v>
      </c>
      <c r="AV637" s="38" t="str">
        <f>IFERROR(时间!$B$4+AU637,"上周无销量")</f>
        <v>上周无销量</v>
      </c>
    </row>
    <row r="638" spans="1:48">
      <c r="A638" s="21" t="s">
        <v>1418</v>
      </c>
      <c r="B638" t="s">
        <v>1419</v>
      </c>
      <c r="C638" t="s">
        <v>1385</v>
      </c>
      <c r="D638" s="33">
        <v>0</v>
      </c>
      <c r="E638" s="33">
        <v>0</v>
      </c>
      <c r="F638" s="33">
        <v>0</v>
      </c>
      <c r="G638" s="33">
        <v>0</v>
      </c>
      <c r="H638" s="34">
        <v>0</v>
      </c>
      <c r="I638">
        <v>0</v>
      </c>
      <c r="J638" s="35">
        <v>0</v>
      </c>
      <c r="K638" s="35">
        <v>0</v>
      </c>
      <c r="L638" s="35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s">
        <v>54</v>
      </c>
      <c r="AO638" s="23" t="s">
        <v>54</v>
      </c>
      <c r="AP638" s="23" t="s">
        <v>54</v>
      </c>
      <c r="AQ638" s="23" t="s">
        <v>54</v>
      </c>
      <c r="AR638" s="37">
        <v>0</v>
      </c>
      <c r="AS638" s="37">
        <v>0</v>
      </c>
      <c r="AT638" s="37">
        <v>0</v>
      </c>
      <c r="AU638" s="33" t="str">
        <f t="shared" si="12"/>
        <v>库存为0</v>
      </c>
      <c r="AV638" s="38" t="str">
        <f>IFERROR(时间!$B$4+AU638,"上周无销量")</f>
        <v>上周无销量</v>
      </c>
    </row>
    <row r="639" spans="1:48">
      <c r="A639" s="21" t="s">
        <v>1420</v>
      </c>
      <c r="B639" t="s">
        <v>1421</v>
      </c>
      <c r="C639" t="s">
        <v>1385</v>
      </c>
      <c r="D639" s="33">
        <v>0</v>
      </c>
      <c r="E639" s="33">
        <v>0</v>
      </c>
      <c r="F639" s="33">
        <v>0</v>
      </c>
      <c r="G639" s="33">
        <v>0</v>
      </c>
      <c r="H639" s="34">
        <v>0</v>
      </c>
      <c r="I639">
        <v>0</v>
      </c>
      <c r="J639" s="35">
        <v>0</v>
      </c>
      <c r="K639" s="35">
        <v>0</v>
      </c>
      <c r="L639" s="35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s">
        <v>54</v>
      </c>
      <c r="AO639" s="23" t="s">
        <v>54</v>
      </c>
      <c r="AP639" s="23" t="s">
        <v>54</v>
      </c>
      <c r="AQ639" s="23" t="s">
        <v>54</v>
      </c>
      <c r="AR639" s="37">
        <v>0</v>
      </c>
      <c r="AS639" s="37">
        <v>0</v>
      </c>
      <c r="AT639" s="37">
        <v>0</v>
      </c>
      <c r="AU639" s="33" t="str">
        <f t="shared" si="12"/>
        <v>库存为0</v>
      </c>
      <c r="AV639" s="38" t="str">
        <f>IFERROR(时间!$B$4+AU639,"上周无销量")</f>
        <v>上周无销量</v>
      </c>
    </row>
    <row r="640" spans="1:48">
      <c r="A640" s="21" t="s">
        <v>1422</v>
      </c>
      <c r="B640" t="s">
        <v>1423</v>
      </c>
      <c r="C640" t="s">
        <v>1385</v>
      </c>
      <c r="D640" s="33">
        <v>0</v>
      </c>
      <c r="E640" s="33">
        <v>0</v>
      </c>
      <c r="F640" s="33">
        <v>0</v>
      </c>
      <c r="G640" s="33">
        <v>0</v>
      </c>
      <c r="H640" s="34">
        <v>0</v>
      </c>
      <c r="I640">
        <v>0</v>
      </c>
      <c r="J640" s="35">
        <v>0</v>
      </c>
      <c r="K640" s="35">
        <v>0</v>
      </c>
      <c r="L640" s="35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s">
        <v>54</v>
      </c>
      <c r="AO640" s="23" t="s">
        <v>54</v>
      </c>
      <c r="AP640" s="23" t="s">
        <v>54</v>
      </c>
      <c r="AQ640" s="23" t="s">
        <v>54</v>
      </c>
      <c r="AR640" s="37">
        <v>0</v>
      </c>
      <c r="AS640" s="37">
        <v>0</v>
      </c>
      <c r="AT640" s="37">
        <v>0</v>
      </c>
      <c r="AU640" s="33" t="str">
        <f t="shared" si="12"/>
        <v>库存为0</v>
      </c>
      <c r="AV640" s="38" t="str">
        <f>IFERROR(时间!$B$4+AU640,"上周无销量")</f>
        <v>上周无销量</v>
      </c>
    </row>
    <row r="641" spans="1:48">
      <c r="A641" s="21" t="s">
        <v>1424</v>
      </c>
      <c r="B641" t="s">
        <v>1425</v>
      </c>
      <c r="C641" t="s">
        <v>1385</v>
      </c>
      <c r="D641" s="33">
        <v>0</v>
      </c>
      <c r="E641" s="33">
        <v>0</v>
      </c>
      <c r="F641" s="33">
        <v>0</v>
      </c>
      <c r="G641" s="33">
        <v>0</v>
      </c>
      <c r="H641" s="34">
        <v>0</v>
      </c>
      <c r="I641">
        <v>0</v>
      </c>
      <c r="J641" s="35">
        <v>0</v>
      </c>
      <c r="K641" s="35">
        <v>0</v>
      </c>
      <c r="L641" s="35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s">
        <v>54</v>
      </c>
      <c r="AO641" s="23" t="s">
        <v>54</v>
      </c>
      <c r="AP641" s="23" t="s">
        <v>54</v>
      </c>
      <c r="AQ641" s="23" t="s">
        <v>54</v>
      </c>
      <c r="AR641" s="37">
        <v>0</v>
      </c>
      <c r="AS641" s="37">
        <v>0</v>
      </c>
      <c r="AT641" s="37">
        <v>0</v>
      </c>
      <c r="AU641" s="33" t="str">
        <f t="shared" si="12"/>
        <v>库存为0</v>
      </c>
      <c r="AV641" s="38" t="str">
        <f>IFERROR(时间!$B$4+AU641,"上周无销量")</f>
        <v>上周无销量</v>
      </c>
    </row>
    <row r="642" spans="1:48">
      <c r="A642" s="21" t="s">
        <v>1426</v>
      </c>
      <c r="B642" t="s">
        <v>1427</v>
      </c>
      <c r="C642" t="s">
        <v>1385</v>
      </c>
      <c r="D642" s="33">
        <v>0</v>
      </c>
      <c r="E642" s="33">
        <v>0</v>
      </c>
      <c r="F642" s="33">
        <v>0</v>
      </c>
      <c r="G642" s="33">
        <v>0</v>
      </c>
      <c r="H642" s="34">
        <v>0</v>
      </c>
      <c r="I642">
        <v>0</v>
      </c>
      <c r="J642" s="35">
        <v>0</v>
      </c>
      <c r="K642" s="35">
        <v>0</v>
      </c>
      <c r="L642" s="35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s">
        <v>54</v>
      </c>
      <c r="AO642" s="23" t="s">
        <v>54</v>
      </c>
      <c r="AP642" s="23" t="s">
        <v>54</v>
      </c>
      <c r="AQ642" s="23" t="s">
        <v>54</v>
      </c>
      <c r="AR642" s="37">
        <v>0</v>
      </c>
      <c r="AS642" s="37">
        <v>0</v>
      </c>
      <c r="AT642" s="37">
        <v>0</v>
      </c>
      <c r="AU642" s="33" t="str">
        <f t="shared" si="12"/>
        <v>库存为0</v>
      </c>
      <c r="AV642" s="38" t="str">
        <f>IFERROR(时间!$B$4+AU642,"上周无销量")</f>
        <v>上周无销量</v>
      </c>
    </row>
    <row r="643" spans="1:48">
      <c r="A643" s="21" t="s">
        <v>1428</v>
      </c>
      <c r="B643" t="s">
        <v>1429</v>
      </c>
      <c r="C643" t="s">
        <v>1385</v>
      </c>
      <c r="D643" s="33">
        <v>0</v>
      </c>
      <c r="E643" s="33">
        <v>0</v>
      </c>
      <c r="F643" s="33">
        <v>0</v>
      </c>
      <c r="G643" s="33">
        <v>0</v>
      </c>
      <c r="H643" s="34">
        <v>0</v>
      </c>
      <c r="I643">
        <v>0</v>
      </c>
      <c r="J643" s="35">
        <v>0</v>
      </c>
      <c r="K643" s="35">
        <v>0</v>
      </c>
      <c r="L643" s="35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s">
        <v>54</v>
      </c>
      <c r="AO643" s="23" t="s">
        <v>54</v>
      </c>
      <c r="AP643" s="23" t="s">
        <v>54</v>
      </c>
      <c r="AQ643" s="23" t="s">
        <v>54</v>
      </c>
      <c r="AR643" s="37">
        <v>0</v>
      </c>
      <c r="AS643" s="37">
        <v>0</v>
      </c>
      <c r="AT643" s="37">
        <v>0</v>
      </c>
      <c r="AU643" s="33" t="str">
        <f t="shared" si="12"/>
        <v>库存为0</v>
      </c>
      <c r="AV643" s="38" t="str">
        <f>IFERROR(时间!$B$4+AU643,"上周无销量")</f>
        <v>上周无销量</v>
      </c>
    </row>
    <row r="644" spans="1:48">
      <c r="A644" s="21" t="s">
        <v>1430</v>
      </c>
      <c r="B644" t="s">
        <v>1431</v>
      </c>
      <c r="C644" t="s">
        <v>1385</v>
      </c>
      <c r="D644" s="33">
        <v>0</v>
      </c>
      <c r="E644" s="33">
        <v>0</v>
      </c>
      <c r="F644" s="33">
        <v>0</v>
      </c>
      <c r="G644" s="33">
        <v>0</v>
      </c>
      <c r="H644" s="34">
        <v>0</v>
      </c>
      <c r="I644">
        <v>0</v>
      </c>
      <c r="J644" s="35">
        <v>0</v>
      </c>
      <c r="K644" s="35">
        <v>0</v>
      </c>
      <c r="L644" s="35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s">
        <v>54</v>
      </c>
      <c r="AO644" s="23" t="s">
        <v>54</v>
      </c>
      <c r="AP644" s="23" t="s">
        <v>54</v>
      </c>
      <c r="AQ644" s="23" t="s">
        <v>54</v>
      </c>
      <c r="AR644" s="37">
        <v>0</v>
      </c>
      <c r="AS644" s="37">
        <v>0</v>
      </c>
      <c r="AT644" s="37">
        <v>0</v>
      </c>
      <c r="AU644" s="33" t="str">
        <f t="shared" si="12"/>
        <v>库存为0</v>
      </c>
      <c r="AV644" s="38" t="str">
        <f>IFERROR(时间!$B$4+AU644,"上周无销量")</f>
        <v>上周无销量</v>
      </c>
    </row>
    <row r="645" spans="1:48">
      <c r="A645" s="21" t="s">
        <v>1432</v>
      </c>
      <c r="B645" t="s">
        <v>1433</v>
      </c>
      <c r="C645" t="s">
        <v>1434</v>
      </c>
      <c r="D645" s="33">
        <v>0</v>
      </c>
      <c r="E645" s="33">
        <v>0</v>
      </c>
      <c r="F645" s="33">
        <v>0</v>
      </c>
      <c r="G645" s="33">
        <v>0</v>
      </c>
      <c r="H645" s="34">
        <v>0</v>
      </c>
      <c r="I645">
        <v>0</v>
      </c>
      <c r="J645" s="35">
        <v>0</v>
      </c>
      <c r="K645" s="35">
        <v>0</v>
      </c>
      <c r="L645" s="35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s">
        <v>54</v>
      </c>
      <c r="AO645" s="23" t="s">
        <v>54</v>
      </c>
      <c r="AP645" s="23" t="s">
        <v>54</v>
      </c>
      <c r="AQ645" s="23" t="s">
        <v>54</v>
      </c>
      <c r="AR645" s="37">
        <v>0</v>
      </c>
      <c r="AS645" s="37">
        <v>0</v>
      </c>
      <c r="AT645" s="37">
        <v>0</v>
      </c>
      <c r="AU645" s="33" t="str">
        <f t="shared" ref="AU645:AU708" si="13">IF(AR645="","库存为"&amp;M645,IF(AS645=0,"库存为"&amp;M645,INT(M645/AR645)))</f>
        <v>库存为0</v>
      </c>
      <c r="AV645" s="38" t="str">
        <f>IFERROR(时间!$B$4+AU645,"上周无销量")</f>
        <v>上周无销量</v>
      </c>
    </row>
    <row r="646" spans="1:48">
      <c r="A646" s="21" t="s">
        <v>1435</v>
      </c>
      <c r="B646" t="s">
        <v>1436</v>
      </c>
      <c r="C646" t="s">
        <v>1434</v>
      </c>
      <c r="D646" s="33">
        <v>1</v>
      </c>
      <c r="E646" s="33">
        <v>3</v>
      </c>
      <c r="F646" s="33">
        <v>1</v>
      </c>
      <c r="G646" s="33">
        <v>0</v>
      </c>
      <c r="H646" s="34">
        <v>19.99</v>
      </c>
      <c r="I646">
        <v>7</v>
      </c>
      <c r="J646" s="35">
        <v>0</v>
      </c>
      <c r="K646" s="35">
        <v>0</v>
      </c>
      <c r="L646" s="35">
        <v>0</v>
      </c>
      <c r="M646">
        <v>7</v>
      </c>
      <c r="N646">
        <v>1</v>
      </c>
      <c r="O646">
        <v>0</v>
      </c>
      <c r="P646">
        <v>8125</v>
      </c>
      <c r="Q646">
        <v>58355</v>
      </c>
      <c r="R646">
        <v>181</v>
      </c>
      <c r="S646">
        <v>372</v>
      </c>
      <c r="T646">
        <v>68</v>
      </c>
      <c r="U646">
        <v>185</v>
      </c>
      <c r="V646">
        <v>3</v>
      </c>
      <c r="W646">
        <v>9</v>
      </c>
      <c r="X646" s="23">
        <v>0.00836923076923077</v>
      </c>
      <c r="Y646" s="23">
        <v>0.00317025104961014</v>
      </c>
      <c r="Z646" s="23">
        <v>0.0165745856353591</v>
      </c>
      <c r="AA646" s="23">
        <v>0.0241935483870968</v>
      </c>
      <c r="AB646">
        <v>24.39</v>
      </c>
      <c r="AC646">
        <v>53.35</v>
      </c>
      <c r="AD646">
        <v>0.91</v>
      </c>
      <c r="AE646">
        <v>2.19</v>
      </c>
      <c r="AF646" s="23">
        <v>1.22011005502751</v>
      </c>
      <c r="AG646" s="23">
        <v>0.889611472402868</v>
      </c>
      <c r="AH646" s="23">
        <v>0.0455227613806903</v>
      </c>
      <c r="AI646" s="23">
        <v>0</v>
      </c>
      <c r="AJ646">
        <v>31</v>
      </c>
      <c r="AK646">
        <v>117</v>
      </c>
      <c r="AL646">
        <v>117</v>
      </c>
      <c r="AM646">
        <v>2</v>
      </c>
      <c r="AN646" s="23">
        <v>0.032258064516129</v>
      </c>
      <c r="AO646" s="23">
        <v>0.0256410256410256</v>
      </c>
      <c r="AP646" s="23">
        <v>0.00854700854700855</v>
      </c>
      <c r="AQ646" s="23">
        <v>0</v>
      </c>
      <c r="AR646" s="37">
        <v>0.142857142857143</v>
      </c>
      <c r="AS646" s="37">
        <v>8.57142857142857</v>
      </c>
      <c r="AT646" s="37">
        <v>-1.57142857142857</v>
      </c>
      <c r="AU646" s="33">
        <f t="shared" si="13"/>
        <v>49</v>
      </c>
      <c r="AV646" s="38">
        <f>IFERROR(时间!$B$4+AU646,"上周无销量")</f>
        <v>43339</v>
      </c>
    </row>
    <row r="647" spans="1:48">
      <c r="A647" s="21" t="s">
        <v>1437</v>
      </c>
      <c r="B647" t="s">
        <v>1438</v>
      </c>
      <c r="C647" t="s">
        <v>1434</v>
      </c>
      <c r="D647" s="33">
        <v>0</v>
      </c>
      <c r="E647" s="33">
        <v>0</v>
      </c>
      <c r="F647" s="33">
        <v>0</v>
      </c>
      <c r="G647" s="33">
        <v>0</v>
      </c>
      <c r="H647" s="34">
        <v>0</v>
      </c>
      <c r="I647">
        <v>0</v>
      </c>
      <c r="J647" s="35">
        <v>0</v>
      </c>
      <c r="K647" s="35">
        <v>0</v>
      </c>
      <c r="L647" s="35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s">
        <v>54</v>
      </c>
      <c r="AO647" s="23" t="s">
        <v>54</v>
      </c>
      <c r="AP647" s="23" t="s">
        <v>54</v>
      </c>
      <c r="AQ647" s="23" t="s">
        <v>54</v>
      </c>
      <c r="AR647" s="37">
        <v>0</v>
      </c>
      <c r="AS647" s="37">
        <v>0</v>
      </c>
      <c r="AT647" s="37">
        <v>0</v>
      </c>
      <c r="AU647" s="33" t="str">
        <f t="shared" si="13"/>
        <v>库存为0</v>
      </c>
      <c r="AV647" s="38" t="str">
        <f>IFERROR(时间!$B$4+AU647,"上周无销量")</f>
        <v>上周无销量</v>
      </c>
    </row>
    <row r="648" spans="1:48">
      <c r="A648" s="21" t="s">
        <v>1439</v>
      </c>
      <c r="B648" t="s">
        <v>1440</v>
      </c>
      <c r="C648" t="s">
        <v>1434</v>
      </c>
      <c r="D648" s="33">
        <v>0</v>
      </c>
      <c r="E648" s="33">
        <v>0</v>
      </c>
      <c r="F648" s="33">
        <v>0</v>
      </c>
      <c r="G648" s="33">
        <v>0</v>
      </c>
      <c r="H648" s="34">
        <v>0</v>
      </c>
      <c r="I648">
        <v>0</v>
      </c>
      <c r="J648" s="35">
        <v>0</v>
      </c>
      <c r="K648" s="35">
        <v>0</v>
      </c>
      <c r="L648" s="35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s">
        <v>54</v>
      </c>
      <c r="AO648" s="23" t="s">
        <v>54</v>
      </c>
      <c r="AP648" s="23" t="s">
        <v>54</v>
      </c>
      <c r="AQ648" s="23" t="s">
        <v>54</v>
      </c>
      <c r="AR648" s="37">
        <v>0</v>
      </c>
      <c r="AS648" s="37">
        <v>0</v>
      </c>
      <c r="AT648" s="37">
        <v>0</v>
      </c>
      <c r="AU648" s="33" t="str">
        <f t="shared" si="13"/>
        <v>库存为0</v>
      </c>
      <c r="AV648" s="38" t="str">
        <f>IFERROR(时间!$B$4+AU648,"上周无销量")</f>
        <v>上周无销量</v>
      </c>
    </row>
    <row r="649" spans="1:48">
      <c r="A649" s="21" t="s">
        <v>1441</v>
      </c>
      <c r="B649" t="s">
        <v>1442</v>
      </c>
      <c r="C649" t="s">
        <v>1434</v>
      </c>
      <c r="D649" s="33">
        <v>0</v>
      </c>
      <c r="E649" s="33">
        <v>0</v>
      </c>
      <c r="F649" s="33">
        <v>0</v>
      </c>
      <c r="G649" s="33">
        <v>0</v>
      </c>
      <c r="H649" s="34">
        <v>0</v>
      </c>
      <c r="I649">
        <v>0</v>
      </c>
      <c r="J649" s="35">
        <v>0</v>
      </c>
      <c r="K649" s="35">
        <v>0</v>
      </c>
      <c r="L649" s="35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s">
        <v>54</v>
      </c>
      <c r="AO649" s="23" t="s">
        <v>54</v>
      </c>
      <c r="AP649" s="23" t="s">
        <v>54</v>
      </c>
      <c r="AQ649" s="23" t="s">
        <v>54</v>
      </c>
      <c r="AR649" s="37">
        <v>0</v>
      </c>
      <c r="AS649" s="37">
        <v>0</v>
      </c>
      <c r="AT649" s="37">
        <v>0</v>
      </c>
      <c r="AU649" s="33" t="str">
        <f t="shared" si="13"/>
        <v>库存为0</v>
      </c>
      <c r="AV649" s="38" t="str">
        <f>IFERROR(时间!$B$4+AU649,"上周无销量")</f>
        <v>上周无销量</v>
      </c>
    </row>
    <row r="650" spans="1:48">
      <c r="A650" s="21" t="s">
        <v>1443</v>
      </c>
      <c r="B650" t="s">
        <v>1444</v>
      </c>
      <c r="C650" t="s">
        <v>1434</v>
      </c>
      <c r="D650" s="33">
        <v>0</v>
      </c>
      <c r="E650" s="33">
        <v>0</v>
      </c>
      <c r="F650" s="33">
        <v>0</v>
      </c>
      <c r="G650" s="33">
        <v>0</v>
      </c>
      <c r="H650" s="34">
        <v>0</v>
      </c>
      <c r="I650">
        <v>0</v>
      </c>
      <c r="J650" s="35">
        <v>0</v>
      </c>
      <c r="K650" s="35">
        <v>0</v>
      </c>
      <c r="L650" s="35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s">
        <v>54</v>
      </c>
      <c r="AO650" s="23" t="s">
        <v>54</v>
      </c>
      <c r="AP650" s="23" t="s">
        <v>54</v>
      </c>
      <c r="AQ650" s="23" t="s">
        <v>54</v>
      </c>
      <c r="AR650" s="37">
        <v>0</v>
      </c>
      <c r="AS650" s="37">
        <v>0</v>
      </c>
      <c r="AT650" s="37">
        <v>0</v>
      </c>
      <c r="AU650" s="33" t="str">
        <f t="shared" si="13"/>
        <v>库存为0</v>
      </c>
      <c r="AV650" s="38" t="str">
        <f>IFERROR(时间!$B$4+AU650,"上周无销量")</f>
        <v>上周无销量</v>
      </c>
    </row>
    <row r="651" spans="1:48">
      <c r="A651" s="21" t="s">
        <v>1445</v>
      </c>
      <c r="B651" t="s">
        <v>1446</v>
      </c>
      <c r="C651" t="s">
        <v>1434</v>
      </c>
      <c r="D651" s="33">
        <v>0</v>
      </c>
      <c r="E651" s="33">
        <v>0</v>
      </c>
      <c r="F651" s="33">
        <v>0</v>
      </c>
      <c r="G651" s="33">
        <v>0</v>
      </c>
      <c r="H651" s="34">
        <v>0</v>
      </c>
      <c r="I651">
        <v>0</v>
      </c>
      <c r="J651" s="35">
        <v>0</v>
      </c>
      <c r="K651" s="35">
        <v>0</v>
      </c>
      <c r="L651" s="35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s">
        <v>54</v>
      </c>
      <c r="AO651" s="23" t="s">
        <v>54</v>
      </c>
      <c r="AP651" s="23" t="s">
        <v>54</v>
      </c>
      <c r="AQ651" s="23" t="s">
        <v>54</v>
      </c>
      <c r="AR651" s="37">
        <v>0</v>
      </c>
      <c r="AS651" s="37">
        <v>0</v>
      </c>
      <c r="AT651" s="37">
        <v>0</v>
      </c>
      <c r="AU651" s="33" t="str">
        <f t="shared" si="13"/>
        <v>库存为0</v>
      </c>
      <c r="AV651" s="38" t="str">
        <f>IFERROR(时间!$B$4+AU651,"上周无销量")</f>
        <v>上周无销量</v>
      </c>
    </row>
    <row r="652" spans="1:48">
      <c r="A652" s="21" t="s">
        <v>1447</v>
      </c>
      <c r="B652" t="s">
        <v>1448</v>
      </c>
      <c r="C652" t="s">
        <v>1434</v>
      </c>
      <c r="D652" s="33">
        <v>0</v>
      </c>
      <c r="E652" s="33">
        <v>0</v>
      </c>
      <c r="F652" s="33">
        <v>0</v>
      </c>
      <c r="G652" s="33">
        <v>0</v>
      </c>
      <c r="H652" s="34">
        <v>0</v>
      </c>
      <c r="I652">
        <v>0</v>
      </c>
      <c r="J652" s="35">
        <v>0</v>
      </c>
      <c r="K652" s="35">
        <v>0</v>
      </c>
      <c r="L652" s="35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s">
        <v>54</v>
      </c>
      <c r="AO652" s="23" t="s">
        <v>54</v>
      </c>
      <c r="AP652" s="23" t="s">
        <v>54</v>
      </c>
      <c r="AQ652" s="23" t="s">
        <v>54</v>
      </c>
      <c r="AR652" s="37">
        <v>0</v>
      </c>
      <c r="AS652" s="37">
        <v>0</v>
      </c>
      <c r="AT652" s="37">
        <v>0</v>
      </c>
      <c r="AU652" s="33" t="str">
        <f t="shared" si="13"/>
        <v>库存为0</v>
      </c>
      <c r="AV652" s="38" t="str">
        <f>IFERROR(时间!$B$4+AU652,"上周无销量")</f>
        <v>上周无销量</v>
      </c>
    </row>
    <row r="653" spans="1:48">
      <c r="A653" s="21" t="s">
        <v>1449</v>
      </c>
      <c r="B653" t="s">
        <v>1450</v>
      </c>
      <c r="C653" t="s">
        <v>1451</v>
      </c>
      <c r="D653" s="33">
        <v>0</v>
      </c>
      <c r="E653" s="33">
        <v>15</v>
      </c>
      <c r="F653" s="33">
        <v>20</v>
      </c>
      <c r="G653" s="33">
        <v>2</v>
      </c>
      <c r="H653" s="34">
        <v>19.99</v>
      </c>
      <c r="I653">
        <v>0</v>
      </c>
      <c r="J653" s="35">
        <v>0</v>
      </c>
      <c r="K653" s="35">
        <v>0</v>
      </c>
      <c r="L653" s="35">
        <v>0</v>
      </c>
      <c r="M653">
        <v>0</v>
      </c>
      <c r="N653">
        <v>3</v>
      </c>
      <c r="O653">
        <v>0</v>
      </c>
      <c r="P653">
        <v>13506</v>
      </c>
      <c r="Q653">
        <v>41221</v>
      </c>
      <c r="R653">
        <v>50768</v>
      </c>
      <c r="S653">
        <v>4933</v>
      </c>
      <c r="T653">
        <v>132</v>
      </c>
      <c r="U653">
        <v>325</v>
      </c>
      <c r="V653">
        <v>376</v>
      </c>
      <c r="W653">
        <v>42</v>
      </c>
      <c r="X653" s="23">
        <v>0.0097734340293203</v>
      </c>
      <c r="Y653" s="23">
        <v>0.00788433080226098</v>
      </c>
      <c r="Z653" s="23">
        <v>0.00740624015127639</v>
      </c>
      <c r="AA653" s="23">
        <v>0.00851408878978309</v>
      </c>
      <c r="AB653">
        <v>32.41</v>
      </c>
      <c r="AC653">
        <v>83.91</v>
      </c>
      <c r="AD653">
        <v>97.82</v>
      </c>
      <c r="AE653">
        <v>11.63</v>
      </c>
      <c r="AF653" s="23">
        <v>0</v>
      </c>
      <c r="AG653" s="23">
        <v>0.27983991995998</v>
      </c>
      <c r="AH653" s="23">
        <v>0.244672336168084</v>
      </c>
      <c r="AI653" s="23">
        <v>0.290895447723862</v>
      </c>
      <c r="AJ653">
        <v>35</v>
      </c>
      <c r="AK653">
        <v>166</v>
      </c>
      <c r="AL653">
        <v>166</v>
      </c>
      <c r="AM653">
        <v>126</v>
      </c>
      <c r="AN653" s="23">
        <v>0</v>
      </c>
      <c r="AO653" s="23">
        <v>0.0903614457831325</v>
      </c>
      <c r="AP653" s="23">
        <v>0.120481927710843</v>
      </c>
      <c r="AQ653" s="23">
        <v>0.0158730158730159</v>
      </c>
      <c r="AR653" s="37">
        <v>0</v>
      </c>
      <c r="AS653" s="37">
        <v>0</v>
      </c>
      <c r="AT653" s="37">
        <v>0</v>
      </c>
      <c r="AU653" s="33" t="str">
        <f t="shared" si="13"/>
        <v>库存为0</v>
      </c>
      <c r="AV653" s="38" t="str">
        <f>IFERROR(时间!$B$4+AU653,"上周无销量")</f>
        <v>上周无销量</v>
      </c>
    </row>
    <row r="654" spans="1:48">
      <c r="A654" s="21" t="s">
        <v>1452</v>
      </c>
      <c r="B654" t="s">
        <v>1453</v>
      </c>
      <c r="C654" t="s">
        <v>1451</v>
      </c>
      <c r="D654" s="33">
        <v>2</v>
      </c>
      <c r="E654" s="33">
        <v>19</v>
      </c>
      <c r="F654" s="33">
        <v>17</v>
      </c>
      <c r="G654" s="33">
        <v>9</v>
      </c>
      <c r="H654" s="34">
        <v>19.99</v>
      </c>
      <c r="I654">
        <v>0</v>
      </c>
      <c r="J654" s="35">
        <v>0</v>
      </c>
      <c r="K654" s="35">
        <v>0</v>
      </c>
      <c r="L654" s="35">
        <v>0</v>
      </c>
      <c r="M654">
        <v>0</v>
      </c>
      <c r="N654">
        <v>10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7</v>
      </c>
      <c r="AK654">
        <v>63</v>
      </c>
      <c r="AL654">
        <v>63</v>
      </c>
      <c r="AM654">
        <v>21</v>
      </c>
      <c r="AN654" s="23">
        <v>0.285714285714286</v>
      </c>
      <c r="AO654" s="23">
        <v>0.301587301587302</v>
      </c>
      <c r="AP654" s="23">
        <v>0.26984126984127</v>
      </c>
      <c r="AQ654" s="23">
        <v>0.428571428571429</v>
      </c>
      <c r="AR654" s="37">
        <v>0.285714285714286</v>
      </c>
      <c r="AS654" s="37">
        <v>17.1428571428571</v>
      </c>
      <c r="AT654" s="37">
        <v>-17.1428571428571</v>
      </c>
      <c r="AU654" s="33">
        <f t="shared" si="13"/>
        <v>0</v>
      </c>
      <c r="AV654" s="38">
        <f>IFERROR(时间!$B$4+AU654,"上周无销量")</f>
        <v>43290</v>
      </c>
    </row>
    <row r="655" spans="1:48">
      <c r="A655" s="21" t="s">
        <v>1454</v>
      </c>
      <c r="B655" t="s">
        <v>1455</v>
      </c>
      <c r="C655" t="s">
        <v>1451</v>
      </c>
      <c r="D655" s="33">
        <v>1</v>
      </c>
      <c r="E655" s="33">
        <v>10</v>
      </c>
      <c r="F655" s="33">
        <v>15</v>
      </c>
      <c r="G655" s="33">
        <v>9</v>
      </c>
      <c r="H655" s="34">
        <v>19.99</v>
      </c>
      <c r="I655">
        <v>0</v>
      </c>
      <c r="J655" s="35">
        <v>0</v>
      </c>
      <c r="K655" s="35">
        <v>0</v>
      </c>
      <c r="L655" s="35">
        <v>0</v>
      </c>
      <c r="M655">
        <v>0</v>
      </c>
      <c r="N655">
        <v>7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5</v>
      </c>
      <c r="AK655">
        <v>31</v>
      </c>
      <c r="AL655">
        <v>31</v>
      </c>
      <c r="AM655">
        <v>27</v>
      </c>
      <c r="AN655" s="23">
        <v>0.2</v>
      </c>
      <c r="AO655" s="23">
        <v>0.32258064516129</v>
      </c>
      <c r="AP655" s="23">
        <v>0.483870967741935</v>
      </c>
      <c r="AQ655" s="23">
        <v>0.333333333333333</v>
      </c>
      <c r="AR655" s="37">
        <v>0.142857142857143</v>
      </c>
      <c r="AS655" s="37">
        <v>8.57142857142857</v>
      </c>
      <c r="AT655" s="37">
        <v>-8.57142857142857</v>
      </c>
      <c r="AU655" s="33">
        <f t="shared" si="13"/>
        <v>0</v>
      </c>
      <c r="AV655" s="38">
        <f>IFERROR(时间!$B$4+AU655,"上周无销量")</f>
        <v>43290</v>
      </c>
    </row>
    <row r="656" spans="1:48">
      <c r="A656" s="21" t="s">
        <v>1456</v>
      </c>
      <c r="B656" t="s">
        <v>1457</v>
      </c>
      <c r="C656" t="s">
        <v>1451</v>
      </c>
      <c r="D656" s="33">
        <v>7</v>
      </c>
      <c r="E656" s="33">
        <v>11</v>
      </c>
      <c r="F656" s="33">
        <v>13</v>
      </c>
      <c r="G656" s="33">
        <v>10</v>
      </c>
      <c r="H656" s="34">
        <v>19.99</v>
      </c>
      <c r="I656">
        <v>15</v>
      </c>
      <c r="J656" s="35">
        <v>0</v>
      </c>
      <c r="K656" s="35">
        <v>0</v>
      </c>
      <c r="L656" s="35">
        <v>1</v>
      </c>
      <c r="M656">
        <v>16</v>
      </c>
      <c r="N656">
        <v>2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44</v>
      </c>
      <c r="AK656">
        <v>36</v>
      </c>
      <c r="AL656">
        <v>36</v>
      </c>
      <c r="AM656">
        <v>34</v>
      </c>
      <c r="AN656" s="23">
        <v>0.159090909090909</v>
      </c>
      <c r="AO656" s="23">
        <v>0.305555555555556</v>
      </c>
      <c r="AP656" s="23">
        <v>0.361111111111111</v>
      </c>
      <c r="AQ656" s="23">
        <v>0.294117647058824</v>
      </c>
      <c r="AR656" s="37">
        <v>1</v>
      </c>
      <c r="AS656" s="37">
        <v>60</v>
      </c>
      <c r="AT656" s="37">
        <v>-44</v>
      </c>
      <c r="AU656" s="33">
        <f t="shared" si="13"/>
        <v>16</v>
      </c>
      <c r="AV656" s="38">
        <f>IFERROR(时间!$B$4+AU656,"上周无销量")</f>
        <v>43306</v>
      </c>
    </row>
    <row r="657" spans="1:48">
      <c r="A657" s="21" t="s">
        <v>1458</v>
      </c>
      <c r="B657" t="s">
        <v>1459</v>
      </c>
      <c r="C657" t="s">
        <v>1451</v>
      </c>
      <c r="D657" s="33">
        <v>5</v>
      </c>
      <c r="E657" s="33">
        <v>5</v>
      </c>
      <c r="F657" s="33">
        <v>5</v>
      </c>
      <c r="G657" s="33">
        <v>7</v>
      </c>
      <c r="H657" s="34">
        <v>19.99</v>
      </c>
      <c r="I657">
        <v>9</v>
      </c>
      <c r="J657" s="35">
        <v>0</v>
      </c>
      <c r="K657" s="35">
        <v>0</v>
      </c>
      <c r="L657" s="35">
        <v>0</v>
      </c>
      <c r="M657">
        <v>9</v>
      </c>
      <c r="N657">
        <v>2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82</v>
      </c>
      <c r="AK657">
        <v>51</v>
      </c>
      <c r="AL657">
        <v>51</v>
      </c>
      <c r="AM657">
        <v>46</v>
      </c>
      <c r="AN657" s="23">
        <v>0.0609756097560976</v>
      </c>
      <c r="AO657" s="23">
        <v>0.0980392156862745</v>
      </c>
      <c r="AP657" s="23">
        <v>0.0980392156862745</v>
      </c>
      <c r="AQ657" s="23">
        <v>0.152173913043478</v>
      </c>
      <c r="AR657" s="37">
        <v>0.714285714285714</v>
      </c>
      <c r="AS657" s="37">
        <v>42.8571428571429</v>
      </c>
      <c r="AT657" s="37">
        <v>-33.8571428571429</v>
      </c>
      <c r="AU657" s="33">
        <f t="shared" si="13"/>
        <v>12</v>
      </c>
      <c r="AV657" s="38">
        <f>IFERROR(时间!$B$4+AU657,"上周无销量")</f>
        <v>43302</v>
      </c>
    </row>
    <row r="658" spans="1:48">
      <c r="A658" s="21" t="s">
        <v>1460</v>
      </c>
      <c r="B658" t="s">
        <v>1461</v>
      </c>
      <c r="C658" t="s">
        <v>1451</v>
      </c>
      <c r="D658" s="33">
        <v>6</v>
      </c>
      <c r="E658" s="33">
        <v>8</v>
      </c>
      <c r="F658" s="33">
        <v>0</v>
      </c>
      <c r="G658" s="33">
        <v>0</v>
      </c>
      <c r="H658" s="34">
        <v>19.99</v>
      </c>
      <c r="I658">
        <v>2</v>
      </c>
      <c r="J658" s="35">
        <v>0</v>
      </c>
      <c r="K658" s="35">
        <v>0</v>
      </c>
      <c r="L658" s="35">
        <v>1</v>
      </c>
      <c r="M658">
        <v>3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41</v>
      </c>
      <c r="AK658">
        <v>39</v>
      </c>
      <c r="AL658">
        <v>39</v>
      </c>
      <c r="AM658">
        <v>3</v>
      </c>
      <c r="AN658" s="23">
        <v>0.146341463414634</v>
      </c>
      <c r="AO658" s="23">
        <v>0.205128205128205</v>
      </c>
      <c r="AP658" s="23">
        <v>0</v>
      </c>
      <c r="AQ658" s="23">
        <v>0</v>
      </c>
      <c r="AR658" s="37">
        <v>0.857142857142857</v>
      </c>
      <c r="AS658" s="37">
        <v>51.4285714285714</v>
      </c>
      <c r="AT658" s="37">
        <v>-48.4285714285714</v>
      </c>
      <c r="AU658" s="33">
        <f t="shared" si="13"/>
        <v>3</v>
      </c>
      <c r="AV658" s="38">
        <f>IFERROR(时间!$B$4+AU658,"上周无销量")</f>
        <v>43293</v>
      </c>
    </row>
    <row r="659" spans="1:48">
      <c r="A659" s="21" t="s">
        <v>1462</v>
      </c>
      <c r="B659" t="s">
        <v>1463</v>
      </c>
      <c r="C659" t="s">
        <v>1451</v>
      </c>
      <c r="D659" s="33">
        <v>8</v>
      </c>
      <c r="E659" s="33">
        <v>12</v>
      </c>
      <c r="F659" s="33">
        <v>1</v>
      </c>
      <c r="G659" s="33">
        <v>0</v>
      </c>
      <c r="H659" s="34">
        <v>19.99</v>
      </c>
      <c r="I659">
        <v>0</v>
      </c>
      <c r="J659" s="35">
        <v>0</v>
      </c>
      <c r="K659" s="35">
        <v>0</v>
      </c>
      <c r="L659" s="35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20</v>
      </c>
      <c r="AK659">
        <v>10</v>
      </c>
      <c r="AL659">
        <v>10</v>
      </c>
      <c r="AM659">
        <v>2</v>
      </c>
      <c r="AN659" s="23">
        <v>0.4</v>
      </c>
      <c r="AO659" s="23">
        <v>1.2</v>
      </c>
      <c r="AP659" s="23">
        <v>0.1</v>
      </c>
      <c r="AQ659" s="23">
        <v>0</v>
      </c>
      <c r="AR659" s="37">
        <v>1.14285714285714</v>
      </c>
      <c r="AS659" s="37">
        <v>68.5714285714286</v>
      </c>
      <c r="AT659" s="37">
        <v>-68.5714285714286</v>
      </c>
      <c r="AU659" s="33">
        <f t="shared" si="13"/>
        <v>0</v>
      </c>
      <c r="AV659" s="38">
        <f>IFERROR(时间!$B$4+AU659,"上周无销量")</f>
        <v>43290</v>
      </c>
    </row>
    <row r="660" spans="1:48">
      <c r="A660" s="21" t="s">
        <v>1464</v>
      </c>
      <c r="B660" t="s">
        <v>1465</v>
      </c>
      <c r="C660" t="s">
        <v>1451</v>
      </c>
      <c r="D660" s="33">
        <v>7</v>
      </c>
      <c r="E660" s="33">
        <v>6</v>
      </c>
      <c r="F660" s="33">
        <v>3</v>
      </c>
      <c r="G660" s="33">
        <v>0</v>
      </c>
      <c r="H660" s="34">
        <v>19.99</v>
      </c>
      <c r="I660">
        <v>2</v>
      </c>
      <c r="J660" s="35">
        <v>5</v>
      </c>
      <c r="K660" s="35">
        <v>0</v>
      </c>
      <c r="L660" s="35">
        <v>0</v>
      </c>
      <c r="M660">
        <v>7</v>
      </c>
      <c r="N660">
        <v>1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35</v>
      </c>
      <c r="AK660">
        <v>9</v>
      </c>
      <c r="AL660">
        <v>9</v>
      </c>
      <c r="AM660">
        <v>0</v>
      </c>
      <c r="AN660" s="23">
        <v>0.2</v>
      </c>
      <c r="AO660" s="23">
        <v>0.666666666666667</v>
      </c>
      <c r="AP660" s="23">
        <v>0.333333333333333</v>
      </c>
      <c r="AQ660" s="23" t="s">
        <v>54</v>
      </c>
      <c r="AR660" s="37">
        <v>1</v>
      </c>
      <c r="AS660" s="37">
        <v>60</v>
      </c>
      <c r="AT660" s="37">
        <v>-53</v>
      </c>
      <c r="AU660" s="33">
        <f t="shared" si="13"/>
        <v>7</v>
      </c>
      <c r="AV660" s="38">
        <f>IFERROR(时间!$B$4+AU660,"上周无销量")</f>
        <v>43297</v>
      </c>
    </row>
    <row r="661" spans="1:48">
      <c r="A661" s="21" t="s">
        <v>1466</v>
      </c>
      <c r="B661" t="s">
        <v>1467</v>
      </c>
      <c r="C661" t="s">
        <v>1451</v>
      </c>
      <c r="D661" s="33">
        <v>2</v>
      </c>
      <c r="E661" s="33">
        <v>5</v>
      </c>
      <c r="F661" s="33">
        <v>1</v>
      </c>
      <c r="G661" s="33">
        <v>0</v>
      </c>
      <c r="H661" s="34">
        <v>19.99</v>
      </c>
      <c r="I661">
        <v>11</v>
      </c>
      <c r="J661" s="35">
        <v>0</v>
      </c>
      <c r="K661" s="35">
        <v>0</v>
      </c>
      <c r="L661" s="35">
        <v>0</v>
      </c>
      <c r="M661">
        <v>11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32</v>
      </c>
      <c r="AK661">
        <v>27</v>
      </c>
      <c r="AL661">
        <v>27</v>
      </c>
      <c r="AM661">
        <v>2</v>
      </c>
      <c r="AN661" s="23">
        <v>0.0625</v>
      </c>
      <c r="AO661" s="23">
        <v>0.185185185185185</v>
      </c>
      <c r="AP661" s="23">
        <v>0.037037037037037</v>
      </c>
      <c r="AQ661" s="23">
        <v>0</v>
      </c>
      <c r="AR661" s="37">
        <v>0.285714285714286</v>
      </c>
      <c r="AS661" s="37">
        <v>17.1428571428571</v>
      </c>
      <c r="AT661" s="37">
        <v>-6.14285714285714</v>
      </c>
      <c r="AU661" s="33">
        <f t="shared" si="13"/>
        <v>38</v>
      </c>
      <c r="AV661" s="38">
        <f>IFERROR(时间!$B$4+AU661,"上周无销量")</f>
        <v>43328</v>
      </c>
    </row>
    <row r="662" spans="1:48">
      <c r="A662" s="21" t="s">
        <v>1468</v>
      </c>
      <c r="B662" t="s">
        <v>1469</v>
      </c>
      <c r="C662" t="s">
        <v>1451</v>
      </c>
      <c r="D662" s="33">
        <v>2</v>
      </c>
      <c r="E662" s="33">
        <v>6</v>
      </c>
      <c r="F662" s="33">
        <v>1</v>
      </c>
      <c r="G662" s="33">
        <v>0</v>
      </c>
      <c r="H662" s="34">
        <v>17.99</v>
      </c>
      <c r="I662">
        <v>9</v>
      </c>
      <c r="J662" s="35">
        <v>0</v>
      </c>
      <c r="K662" s="35">
        <v>0</v>
      </c>
      <c r="L662" s="35">
        <v>0</v>
      </c>
      <c r="M662">
        <v>9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83</v>
      </c>
      <c r="AK662">
        <v>41</v>
      </c>
      <c r="AL662">
        <v>41</v>
      </c>
      <c r="AM662">
        <v>0</v>
      </c>
      <c r="AN662" s="23">
        <v>0.0240963855421687</v>
      </c>
      <c r="AO662" s="23">
        <v>0.146341463414634</v>
      </c>
      <c r="AP662" s="23">
        <v>0.024390243902439</v>
      </c>
      <c r="AQ662" s="23" t="s">
        <v>54</v>
      </c>
      <c r="AR662" s="37">
        <v>0.285714285714286</v>
      </c>
      <c r="AS662" s="37">
        <v>17.1428571428571</v>
      </c>
      <c r="AT662" s="37">
        <v>-8.14285714285714</v>
      </c>
      <c r="AU662" s="33">
        <f t="shared" si="13"/>
        <v>31</v>
      </c>
      <c r="AV662" s="38">
        <f>IFERROR(时间!$B$4+AU662,"上周无销量")</f>
        <v>43321</v>
      </c>
    </row>
    <row r="663" spans="1:48">
      <c r="A663" s="21" t="s">
        <v>1470</v>
      </c>
      <c r="B663" t="s">
        <v>1471</v>
      </c>
      <c r="C663" t="s">
        <v>1472</v>
      </c>
      <c r="D663" s="33">
        <v>0</v>
      </c>
      <c r="E663" s="33">
        <v>0</v>
      </c>
      <c r="F663" s="33">
        <v>0</v>
      </c>
      <c r="G663" s="33">
        <v>0</v>
      </c>
      <c r="H663" s="34">
        <v>0</v>
      </c>
      <c r="I663">
        <v>0</v>
      </c>
      <c r="J663" s="35">
        <v>0</v>
      </c>
      <c r="K663" s="35">
        <v>0</v>
      </c>
      <c r="L663" s="35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s">
        <v>54</v>
      </c>
      <c r="AO663" s="23" t="s">
        <v>54</v>
      </c>
      <c r="AP663" s="23" t="s">
        <v>54</v>
      </c>
      <c r="AQ663" s="23" t="s">
        <v>54</v>
      </c>
      <c r="AR663" s="37">
        <v>0</v>
      </c>
      <c r="AS663" s="37">
        <v>0</v>
      </c>
      <c r="AT663" s="37">
        <v>0</v>
      </c>
      <c r="AU663" s="33" t="str">
        <f t="shared" si="13"/>
        <v>库存为0</v>
      </c>
      <c r="AV663" s="38" t="str">
        <f>IFERROR(时间!$B$4+AU663,"上周无销量")</f>
        <v>上周无销量</v>
      </c>
    </row>
    <row r="664" spans="1:48">
      <c r="A664" s="21" t="s">
        <v>1473</v>
      </c>
      <c r="B664" t="s">
        <v>1474</v>
      </c>
      <c r="C664" t="s">
        <v>1472</v>
      </c>
      <c r="D664" s="33">
        <v>1</v>
      </c>
      <c r="E664" s="33">
        <v>0</v>
      </c>
      <c r="F664" s="33">
        <v>2</v>
      </c>
      <c r="G664" s="33">
        <v>3</v>
      </c>
      <c r="H664" s="34">
        <v>19.99</v>
      </c>
      <c r="I664">
        <v>0</v>
      </c>
      <c r="J664" s="35">
        <v>0</v>
      </c>
      <c r="K664" s="35">
        <v>0</v>
      </c>
      <c r="L664" s="35">
        <v>0</v>
      </c>
      <c r="M664">
        <v>0</v>
      </c>
      <c r="N664">
        <v>2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17</v>
      </c>
      <c r="AK664">
        <v>10</v>
      </c>
      <c r="AL664">
        <v>10</v>
      </c>
      <c r="AM664">
        <v>22</v>
      </c>
      <c r="AN664" s="23">
        <v>0.0588235294117647</v>
      </c>
      <c r="AO664" s="23">
        <v>0</v>
      </c>
      <c r="AP664" s="23">
        <v>0.2</v>
      </c>
      <c r="AQ664" s="23">
        <v>0.136363636363636</v>
      </c>
      <c r="AR664" s="37">
        <v>0.142857142857143</v>
      </c>
      <c r="AS664" s="37">
        <v>8.57142857142857</v>
      </c>
      <c r="AT664" s="37">
        <v>-8.57142857142857</v>
      </c>
      <c r="AU664" s="33">
        <f t="shared" si="13"/>
        <v>0</v>
      </c>
      <c r="AV664" s="38">
        <f>IFERROR(时间!$B$4+AU664,"上周无销量")</f>
        <v>43290</v>
      </c>
    </row>
    <row r="665" spans="1:48">
      <c r="A665" s="21" t="s">
        <v>1475</v>
      </c>
      <c r="B665" t="s">
        <v>1476</v>
      </c>
      <c r="C665" t="s">
        <v>1472</v>
      </c>
      <c r="D665" s="33">
        <v>0</v>
      </c>
      <c r="E665" s="33">
        <v>0</v>
      </c>
      <c r="F665" s="33">
        <v>0</v>
      </c>
      <c r="G665" s="33">
        <v>0</v>
      </c>
      <c r="H665" s="34">
        <v>0</v>
      </c>
      <c r="I665">
        <v>0</v>
      </c>
      <c r="J665" s="35">
        <v>0</v>
      </c>
      <c r="K665" s="35">
        <v>0</v>
      </c>
      <c r="L665" s="35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s">
        <v>54</v>
      </c>
      <c r="AO665" s="23" t="s">
        <v>54</v>
      </c>
      <c r="AP665" s="23" t="s">
        <v>54</v>
      </c>
      <c r="AQ665" s="23" t="s">
        <v>54</v>
      </c>
      <c r="AR665" s="37">
        <v>0</v>
      </c>
      <c r="AS665" s="37">
        <v>0</v>
      </c>
      <c r="AT665" s="37">
        <v>0</v>
      </c>
      <c r="AU665" s="33" t="str">
        <f t="shared" si="13"/>
        <v>库存为0</v>
      </c>
      <c r="AV665" s="38" t="str">
        <f>IFERROR(时间!$B$4+AU665,"上周无销量")</f>
        <v>上周无销量</v>
      </c>
    </row>
    <row r="666" spans="1:48">
      <c r="A666" s="21" t="s">
        <v>1477</v>
      </c>
      <c r="B666" t="s">
        <v>1478</v>
      </c>
      <c r="C666" t="s">
        <v>1472</v>
      </c>
      <c r="D666" s="33">
        <v>0</v>
      </c>
      <c r="E666" s="33">
        <v>1</v>
      </c>
      <c r="F666" s="33">
        <v>0</v>
      </c>
      <c r="G666" s="33">
        <v>0</v>
      </c>
      <c r="H666" s="34">
        <v>19.99</v>
      </c>
      <c r="I666">
        <v>0</v>
      </c>
      <c r="J666" s="35">
        <v>0</v>
      </c>
      <c r="K666" s="35">
        <v>0</v>
      </c>
      <c r="L666" s="35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s">
        <v>54</v>
      </c>
      <c r="AO666" s="23" t="s">
        <v>54</v>
      </c>
      <c r="AP666" s="23" t="s">
        <v>54</v>
      </c>
      <c r="AQ666" s="23" t="s">
        <v>54</v>
      </c>
      <c r="AR666" s="37">
        <v>0</v>
      </c>
      <c r="AS666" s="37">
        <v>0</v>
      </c>
      <c r="AT666" s="37">
        <v>0</v>
      </c>
      <c r="AU666" s="33" t="str">
        <f t="shared" si="13"/>
        <v>库存为0</v>
      </c>
      <c r="AV666" s="38" t="str">
        <f>IFERROR(时间!$B$4+AU666,"上周无销量")</f>
        <v>上周无销量</v>
      </c>
    </row>
    <row r="667" spans="1:48">
      <c r="A667" s="21" t="s">
        <v>1479</v>
      </c>
      <c r="B667" t="s">
        <v>1480</v>
      </c>
      <c r="C667" t="s">
        <v>1472</v>
      </c>
      <c r="D667" s="33">
        <v>0</v>
      </c>
      <c r="E667" s="33">
        <v>0</v>
      </c>
      <c r="F667" s="33">
        <v>0</v>
      </c>
      <c r="G667" s="33">
        <v>1</v>
      </c>
      <c r="H667" s="34">
        <v>19.99</v>
      </c>
      <c r="I667">
        <v>0</v>
      </c>
      <c r="J667" s="35">
        <v>0</v>
      </c>
      <c r="K667" s="35">
        <v>0</v>
      </c>
      <c r="L667" s="35">
        <v>0</v>
      </c>
      <c r="M667">
        <v>0</v>
      </c>
      <c r="N667">
        <v>2</v>
      </c>
      <c r="O667">
        <v>0</v>
      </c>
      <c r="P667">
        <v>0</v>
      </c>
      <c r="Q667">
        <v>0</v>
      </c>
      <c r="R667">
        <v>12481</v>
      </c>
      <c r="S667">
        <v>21448</v>
      </c>
      <c r="T667">
        <v>0</v>
      </c>
      <c r="U667">
        <v>0</v>
      </c>
      <c r="V667">
        <v>62</v>
      </c>
      <c r="W667">
        <v>103</v>
      </c>
      <c r="X667" s="23" t="s">
        <v>54</v>
      </c>
      <c r="Y667" s="23" t="s">
        <v>54</v>
      </c>
      <c r="Z667" s="23">
        <v>0.00496755067702908</v>
      </c>
      <c r="AA667" s="23">
        <v>0.00480231256993659</v>
      </c>
      <c r="AB667">
        <v>0</v>
      </c>
      <c r="AC667">
        <v>0</v>
      </c>
      <c r="AD667">
        <v>17.85</v>
      </c>
      <c r="AE667">
        <v>31.1</v>
      </c>
      <c r="AF667" s="23" t="s">
        <v>54</v>
      </c>
      <c r="AG667" s="23" t="s">
        <v>54</v>
      </c>
      <c r="AH667" s="23">
        <v>0</v>
      </c>
      <c r="AI667" s="23">
        <v>1.55577788894447</v>
      </c>
      <c r="AJ667">
        <v>0</v>
      </c>
      <c r="AK667">
        <v>0</v>
      </c>
      <c r="AL667">
        <v>0</v>
      </c>
      <c r="AM667">
        <v>34</v>
      </c>
      <c r="AN667" s="23" t="s">
        <v>54</v>
      </c>
      <c r="AO667" s="23" t="s">
        <v>54</v>
      </c>
      <c r="AP667" s="23" t="s">
        <v>54</v>
      </c>
      <c r="AQ667" s="23">
        <v>0.0294117647058824</v>
      </c>
      <c r="AR667" s="37">
        <v>0</v>
      </c>
      <c r="AS667" s="37">
        <v>0</v>
      </c>
      <c r="AT667" s="37">
        <v>0</v>
      </c>
      <c r="AU667" s="33" t="str">
        <f t="shared" si="13"/>
        <v>库存为0</v>
      </c>
      <c r="AV667" s="38" t="str">
        <f>IFERROR(时间!$B$4+AU667,"上周无销量")</f>
        <v>上周无销量</v>
      </c>
    </row>
    <row r="668" spans="1:48">
      <c r="A668" s="21" t="s">
        <v>1481</v>
      </c>
      <c r="B668" t="s">
        <v>1482</v>
      </c>
      <c r="C668" t="s">
        <v>1483</v>
      </c>
      <c r="D668" s="33">
        <v>0</v>
      </c>
      <c r="E668" s="33">
        <v>0</v>
      </c>
      <c r="F668" s="33">
        <v>0</v>
      </c>
      <c r="G668" s="33">
        <v>0</v>
      </c>
      <c r="H668" s="34">
        <v>0</v>
      </c>
      <c r="I668">
        <v>0</v>
      </c>
      <c r="J668" s="35">
        <v>0</v>
      </c>
      <c r="K668" s="35">
        <v>0</v>
      </c>
      <c r="L668" s="35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s">
        <v>54</v>
      </c>
      <c r="AO668" s="23" t="s">
        <v>54</v>
      </c>
      <c r="AP668" s="23" t="s">
        <v>54</v>
      </c>
      <c r="AQ668" s="23" t="s">
        <v>54</v>
      </c>
      <c r="AR668" s="37">
        <v>0</v>
      </c>
      <c r="AS668" s="37">
        <v>0</v>
      </c>
      <c r="AT668" s="37">
        <v>0</v>
      </c>
      <c r="AU668" s="33" t="str">
        <f t="shared" si="13"/>
        <v>库存为0</v>
      </c>
      <c r="AV668" s="38" t="str">
        <f>IFERROR(时间!$B$4+AU668,"上周无销量")</f>
        <v>上周无销量</v>
      </c>
    </row>
    <row r="669" spans="1:48">
      <c r="A669" s="21" t="s">
        <v>1484</v>
      </c>
      <c r="B669" t="s">
        <v>1485</v>
      </c>
      <c r="C669" t="s">
        <v>1483</v>
      </c>
      <c r="D669" s="33">
        <v>0</v>
      </c>
      <c r="E669" s="33">
        <v>0</v>
      </c>
      <c r="F669" s="33">
        <v>0</v>
      </c>
      <c r="G669" s="33">
        <v>0</v>
      </c>
      <c r="H669" s="34">
        <v>0</v>
      </c>
      <c r="I669">
        <v>0</v>
      </c>
      <c r="J669" s="35">
        <v>0</v>
      </c>
      <c r="K669" s="35">
        <v>0</v>
      </c>
      <c r="L669" s="35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s">
        <v>54</v>
      </c>
      <c r="AO669" s="23" t="s">
        <v>54</v>
      </c>
      <c r="AP669" s="23" t="s">
        <v>54</v>
      </c>
      <c r="AQ669" s="23" t="s">
        <v>54</v>
      </c>
      <c r="AR669" s="37">
        <v>0</v>
      </c>
      <c r="AS669" s="37">
        <v>0</v>
      </c>
      <c r="AT669" s="37">
        <v>0</v>
      </c>
      <c r="AU669" s="33" t="str">
        <f t="shared" si="13"/>
        <v>库存为0</v>
      </c>
      <c r="AV669" s="38" t="str">
        <f>IFERROR(时间!$B$4+AU669,"上周无销量")</f>
        <v>上周无销量</v>
      </c>
    </row>
    <row r="670" spans="1:48">
      <c r="A670" s="21" t="s">
        <v>1486</v>
      </c>
      <c r="B670" t="s">
        <v>1487</v>
      </c>
      <c r="C670" t="s">
        <v>1483</v>
      </c>
      <c r="D670" s="33">
        <v>0</v>
      </c>
      <c r="E670" s="33">
        <v>0</v>
      </c>
      <c r="F670" s="33">
        <v>0</v>
      </c>
      <c r="G670" s="33">
        <v>0</v>
      </c>
      <c r="H670" s="34">
        <v>0</v>
      </c>
      <c r="I670">
        <v>0</v>
      </c>
      <c r="J670" s="35">
        <v>0</v>
      </c>
      <c r="K670" s="35">
        <v>0</v>
      </c>
      <c r="L670" s="35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s">
        <v>54</v>
      </c>
      <c r="AO670" s="23" t="s">
        <v>54</v>
      </c>
      <c r="AP670" s="23" t="s">
        <v>54</v>
      </c>
      <c r="AQ670" s="23" t="s">
        <v>54</v>
      </c>
      <c r="AR670" s="37">
        <v>0</v>
      </c>
      <c r="AS670" s="37">
        <v>0</v>
      </c>
      <c r="AT670" s="37">
        <v>0</v>
      </c>
      <c r="AU670" s="33" t="str">
        <f t="shared" si="13"/>
        <v>库存为0</v>
      </c>
      <c r="AV670" s="38" t="str">
        <f>IFERROR(时间!$B$4+AU670,"上周无销量")</f>
        <v>上周无销量</v>
      </c>
    </row>
    <row r="671" spans="1:48">
      <c r="A671" s="21" t="s">
        <v>1488</v>
      </c>
      <c r="B671" t="s">
        <v>1489</v>
      </c>
      <c r="C671" t="s">
        <v>1483</v>
      </c>
      <c r="D671" s="33">
        <v>0</v>
      </c>
      <c r="E671" s="33">
        <v>0</v>
      </c>
      <c r="F671" s="33">
        <v>0</v>
      </c>
      <c r="G671" s="33">
        <v>0</v>
      </c>
      <c r="H671" s="34">
        <v>0</v>
      </c>
      <c r="I671">
        <v>0</v>
      </c>
      <c r="J671" s="35">
        <v>0</v>
      </c>
      <c r="K671" s="35">
        <v>0</v>
      </c>
      <c r="L671" s="35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s">
        <v>54</v>
      </c>
      <c r="AO671" s="23" t="s">
        <v>54</v>
      </c>
      <c r="AP671" s="23" t="s">
        <v>54</v>
      </c>
      <c r="AQ671" s="23" t="s">
        <v>54</v>
      </c>
      <c r="AR671" s="37">
        <v>0</v>
      </c>
      <c r="AS671" s="37">
        <v>0</v>
      </c>
      <c r="AT671" s="37">
        <v>0</v>
      </c>
      <c r="AU671" s="33" t="str">
        <f t="shared" si="13"/>
        <v>库存为0</v>
      </c>
      <c r="AV671" s="38" t="str">
        <f>IFERROR(时间!$B$4+AU671,"上周无销量")</f>
        <v>上周无销量</v>
      </c>
    </row>
    <row r="672" spans="1:48">
      <c r="A672" s="21" t="s">
        <v>1490</v>
      </c>
      <c r="B672" t="s">
        <v>1491</v>
      </c>
      <c r="C672" t="s">
        <v>1483</v>
      </c>
      <c r="D672" s="33">
        <v>0</v>
      </c>
      <c r="E672" s="33">
        <v>0</v>
      </c>
      <c r="F672" s="33">
        <v>0</v>
      </c>
      <c r="G672" s="33">
        <v>0</v>
      </c>
      <c r="H672" s="34">
        <v>0</v>
      </c>
      <c r="I672">
        <v>0</v>
      </c>
      <c r="J672" s="35">
        <v>0</v>
      </c>
      <c r="K672" s="35">
        <v>0</v>
      </c>
      <c r="L672" s="35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s">
        <v>54</v>
      </c>
      <c r="AO672" s="23" t="s">
        <v>54</v>
      </c>
      <c r="AP672" s="23" t="s">
        <v>54</v>
      </c>
      <c r="AQ672" s="23" t="s">
        <v>54</v>
      </c>
      <c r="AR672" s="37">
        <v>0</v>
      </c>
      <c r="AS672" s="37">
        <v>0</v>
      </c>
      <c r="AT672" s="37">
        <v>0</v>
      </c>
      <c r="AU672" s="33" t="str">
        <f t="shared" si="13"/>
        <v>库存为0</v>
      </c>
      <c r="AV672" s="38" t="str">
        <f>IFERROR(时间!$B$4+AU672,"上周无销量")</f>
        <v>上周无销量</v>
      </c>
    </row>
    <row r="673" spans="1:48">
      <c r="A673" s="21" t="s">
        <v>1492</v>
      </c>
      <c r="B673" t="s">
        <v>1493</v>
      </c>
      <c r="C673" t="s">
        <v>1483</v>
      </c>
      <c r="D673" s="33">
        <v>0</v>
      </c>
      <c r="E673" s="33">
        <v>0</v>
      </c>
      <c r="F673" s="33">
        <v>0</v>
      </c>
      <c r="G673" s="33">
        <v>0</v>
      </c>
      <c r="H673" s="34">
        <v>0</v>
      </c>
      <c r="I673">
        <v>0</v>
      </c>
      <c r="J673" s="35">
        <v>0</v>
      </c>
      <c r="K673" s="35">
        <v>0</v>
      </c>
      <c r="L673" s="35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s">
        <v>54</v>
      </c>
      <c r="AO673" s="23" t="s">
        <v>54</v>
      </c>
      <c r="AP673" s="23" t="s">
        <v>54</v>
      </c>
      <c r="AQ673" s="23" t="s">
        <v>54</v>
      </c>
      <c r="AR673" s="37">
        <v>0</v>
      </c>
      <c r="AS673" s="37">
        <v>0</v>
      </c>
      <c r="AT673" s="37">
        <v>0</v>
      </c>
      <c r="AU673" s="33" t="str">
        <f t="shared" si="13"/>
        <v>库存为0</v>
      </c>
      <c r="AV673" s="38" t="str">
        <f>IFERROR(时间!$B$4+AU673,"上周无销量")</f>
        <v>上周无销量</v>
      </c>
    </row>
    <row r="674" spans="1:48">
      <c r="A674" s="21" t="s">
        <v>1494</v>
      </c>
      <c r="B674" t="s">
        <v>1495</v>
      </c>
      <c r="C674" t="s">
        <v>1483</v>
      </c>
      <c r="D674" s="33">
        <v>0</v>
      </c>
      <c r="E674" s="33">
        <v>0</v>
      </c>
      <c r="F674" s="33">
        <v>0</v>
      </c>
      <c r="G674" s="33">
        <v>0</v>
      </c>
      <c r="H674" s="34">
        <v>0</v>
      </c>
      <c r="I674">
        <v>0</v>
      </c>
      <c r="J674" s="35">
        <v>0</v>
      </c>
      <c r="K674" s="35">
        <v>0</v>
      </c>
      <c r="L674" s="35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s">
        <v>54</v>
      </c>
      <c r="AO674" s="23" t="s">
        <v>54</v>
      </c>
      <c r="AP674" s="23" t="s">
        <v>54</v>
      </c>
      <c r="AQ674" s="23" t="s">
        <v>54</v>
      </c>
      <c r="AR674" s="37">
        <v>0</v>
      </c>
      <c r="AS674" s="37">
        <v>0</v>
      </c>
      <c r="AT674" s="37">
        <v>0</v>
      </c>
      <c r="AU674" s="33" t="str">
        <f t="shared" si="13"/>
        <v>库存为0</v>
      </c>
      <c r="AV674" s="38" t="str">
        <f>IFERROR(时间!$B$4+AU674,"上周无销量")</f>
        <v>上周无销量</v>
      </c>
    </row>
    <row r="675" spans="1:48">
      <c r="A675" s="21" t="s">
        <v>1496</v>
      </c>
      <c r="B675" t="s">
        <v>1497</v>
      </c>
      <c r="C675" t="s">
        <v>1483</v>
      </c>
      <c r="D675" s="33">
        <v>0</v>
      </c>
      <c r="E675" s="33">
        <v>0</v>
      </c>
      <c r="F675" s="33">
        <v>0</v>
      </c>
      <c r="G675" s="33">
        <v>0</v>
      </c>
      <c r="H675" s="34">
        <v>0</v>
      </c>
      <c r="I675">
        <v>0</v>
      </c>
      <c r="J675" s="35">
        <v>0</v>
      </c>
      <c r="K675" s="35">
        <v>0</v>
      </c>
      <c r="L675" s="35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s">
        <v>54</v>
      </c>
      <c r="AO675" s="23" t="s">
        <v>54</v>
      </c>
      <c r="AP675" s="23" t="s">
        <v>54</v>
      </c>
      <c r="AQ675" s="23" t="s">
        <v>54</v>
      </c>
      <c r="AR675" s="37">
        <v>0</v>
      </c>
      <c r="AS675" s="37">
        <v>0</v>
      </c>
      <c r="AT675" s="37">
        <v>0</v>
      </c>
      <c r="AU675" s="33" t="str">
        <f t="shared" si="13"/>
        <v>库存为0</v>
      </c>
      <c r="AV675" s="38" t="str">
        <f>IFERROR(时间!$B$4+AU675,"上周无销量")</f>
        <v>上周无销量</v>
      </c>
    </row>
    <row r="676" spans="1:48">
      <c r="A676" s="21" t="s">
        <v>1498</v>
      </c>
      <c r="B676" t="s">
        <v>1499</v>
      </c>
      <c r="C676" t="s">
        <v>1483</v>
      </c>
      <c r="D676" s="33">
        <v>0</v>
      </c>
      <c r="E676" s="33">
        <v>0</v>
      </c>
      <c r="F676" s="33">
        <v>0</v>
      </c>
      <c r="G676" s="33">
        <v>0</v>
      </c>
      <c r="H676" s="34">
        <v>0</v>
      </c>
      <c r="I676">
        <v>0</v>
      </c>
      <c r="J676" s="35">
        <v>0</v>
      </c>
      <c r="K676" s="35">
        <v>0</v>
      </c>
      <c r="L676" s="35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s">
        <v>54</v>
      </c>
      <c r="AO676" s="23" t="s">
        <v>54</v>
      </c>
      <c r="AP676" s="23" t="s">
        <v>54</v>
      </c>
      <c r="AQ676" s="23" t="s">
        <v>54</v>
      </c>
      <c r="AR676" s="37">
        <v>0</v>
      </c>
      <c r="AS676" s="37">
        <v>0</v>
      </c>
      <c r="AT676" s="37">
        <v>0</v>
      </c>
      <c r="AU676" s="33" t="str">
        <f t="shared" si="13"/>
        <v>库存为0</v>
      </c>
      <c r="AV676" s="38" t="str">
        <f>IFERROR(时间!$B$4+AU676,"上周无销量")</f>
        <v>上周无销量</v>
      </c>
    </row>
    <row r="677" spans="1:48">
      <c r="A677" s="21" t="s">
        <v>1500</v>
      </c>
      <c r="B677" t="s">
        <v>1501</v>
      </c>
      <c r="C677" t="s">
        <v>1483</v>
      </c>
      <c r="D677" s="33">
        <v>0</v>
      </c>
      <c r="E677" s="33">
        <v>0</v>
      </c>
      <c r="F677" s="33">
        <v>0</v>
      </c>
      <c r="G677" s="33">
        <v>0</v>
      </c>
      <c r="H677" s="34">
        <v>0</v>
      </c>
      <c r="I677">
        <v>0</v>
      </c>
      <c r="J677" s="35">
        <v>0</v>
      </c>
      <c r="K677" s="35">
        <v>0</v>
      </c>
      <c r="L677" s="35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s">
        <v>54</v>
      </c>
      <c r="AO677" s="23" t="s">
        <v>54</v>
      </c>
      <c r="AP677" s="23" t="s">
        <v>54</v>
      </c>
      <c r="AQ677" s="23" t="s">
        <v>54</v>
      </c>
      <c r="AR677" s="37">
        <v>0</v>
      </c>
      <c r="AS677" s="37">
        <v>0</v>
      </c>
      <c r="AT677" s="37">
        <v>0</v>
      </c>
      <c r="AU677" s="33" t="str">
        <f t="shared" si="13"/>
        <v>库存为0</v>
      </c>
      <c r="AV677" s="38" t="str">
        <f>IFERROR(时间!$B$4+AU677,"上周无销量")</f>
        <v>上周无销量</v>
      </c>
    </row>
    <row r="678" spans="1:48">
      <c r="A678" s="21" t="s">
        <v>1502</v>
      </c>
      <c r="B678" t="s">
        <v>1503</v>
      </c>
      <c r="C678" t="s">
        <v>1483</v>
      </c>
      <c r="D678" s="33">
        <v>0</v>
      </c>
      <c r="E678" s="33">
        <v>0</v>
      </c>
      <c r="F678" s="33">
        <v>0</v>
      </c>
      <c r="G678" s="33">
        <v>0</v>
      </c>
      <c r="H678" s="34">
        <v>0</v>
      </c>
      <c r="I678">
        <v>0</v>
      </c>
      <c r="J678" s="35">
        <v>0</v>
      </c>
      <c r="K678" s="35">
        <v>0</v>
      </c>
      <c r="L678" s="35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s">
        <v>54</v>
      </c>
      <c r="AO678" s="23" t="s">
        <v>54</v>
      </c>
      <c r="AP678" s="23" t="s">
        <v>54</v>
      </c>
      <c r="AQ678" s="23" t="s">
        <v>54</v>
      </c>
      <c r="AR678" s="37">
        <v>0</v>
      </c>
      <c r="AS678" s="37">
        <v>0</v>
      </c>
      <c r="AT678" s="37">
        <v>0</v>
      </c>
      <c r="AU678" s="33" t="str">
        <f t="shared" si="13"/>
        <v>库存为0</v>
      </c>
      <c r="AV678" s="38" t="str">
        <f>IFERROR(时间!$B$4+AU678,"上周无销量")</f>
        <v>上周无销量</v>
      </c>
    </row>
    <row r="679" spans="1:48">
      <c r="A679" s="21" t="s">
        <v>1504</v>
      </c>
      <c r="B679" t="s">
        <v>1505</v>
      </c>
      <c r="C679" t="s">
        <v>1483</v>
      </c>
      <c r="D679" s="33">
        <v>0</v>
      </c>
      <c r="E679" s="33">
        <v>0</v>
      </c>
      <c r="F679" s="33">
        <v>0</v>
      </c>
      <c r="G679" s="33">
        <v>0</v>
      </c>
      <c r="H679" s="34">
        <v>0</v>
      </c>
      <c r="I679">
        <v>0</v>
      </c>
      <c r="J679" s="35">
        <v>0</v>
      </c>
      <c r="K679" s="35">
        <v>0</v>
      </c>
      <c r="L679" s="35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s">
        <v>54</v>
      </c>
      <c r="AO679" s="23" t="s">
        <v>54</v>
      </c>
      <c r="AP679" s="23" t="s">
        <v>54</v>
      </c>
      <c r="AQ679" s="23" t="s">
        <v>54</v>
      </c>
      <c r="AR679" s="37">
        <v>0</v>
      </c>
      <c r="AS679" s="37">
        <v>0</v>
      </c>
      <c r="AT679" s="37">
        <v>0</v>
      </c>
      <c r="AU679" s="33" t="str">
        <f t="shared" si="13"/>
        <v>库存为0</v>
      </c>
      <c r="AV679" s="38" t="str">
        <f>IFERROR(时间!$B$4+AU679,"上周无销量")</f>
        <v>上周无销量</v>
      </c>
    </row>
    <row r="680" spans="1:48">
      <c r="A680" s="21" t="s">
        <v>1506</v>
      </c>
      <c r="B680" t="s">
        <v>1507</v>
      </c>
      <c r="C680" t="s">
        <v>1483</v>
      </c>
      <c r="D680" s="33">
        <v>0</v>
      </c>
      <c r="E680" s="33">
        <v>0</v>
      </c>
      <c r="F680" s="33">
        <v>0</v>
      </c>
      <c r="G680" s="33">
        <v>0</v>
      </c>
      <c r="H680" s="34">
        <v>0</v>
      </c>
      <c r="I680">
        <v>0</v>
      </c>
      <c r="J680" s="35">
        <v>0</v>
      </c>
      <c r="K680" s="35">
        <v>0</v>
      </c>
      <c r="L680" s="35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s">
        <v>54</v>
      </c>
      <c r="AO680" s="23" t="s">
        <v>54</v>
      </c>
      <c r="AP680" s="23" t="s">
        <v>54</v>
      </c>
      <c r="AQ680" s="23" t="s">
        <v>54</v>
      </c>
      <c r="AR680" s="37">
        <v>0</v>
      </c>
      <c r="AS680" s="37">
        <v>0</v>
      </c>
      <c r="AT680" s="37">
        <v>0</v>
      </c>
      <c r="AU680" s="33" t="str">
        <f t="shared" si="13"/>
        <v>库存为0</v>
      </c>
      <c r="AV680" s="38" t="str">
        <f>IFERROR(时间!$B$4+AU680,"上周无销量")</f>
        <v>上周无销量</v>
      </c>
    </row>
    <row r="681" spans="1:48">
      <c r="A681" s="21" t="s">
        <v>1508</v>
      </c>
      <c r="B681" t="s">
        <v>1509</v>
      </c>
      <c r="C681" t="s">
        <v>1483</v>
      </c>
      <c r="D681" s="33">
        <v>0</v>
      </c>
      <c r="E681" s="33">
        <v>0</v>
      </c>
      <c r="F681" s="33">
        <v>0</v>
      </c>
      <c r="G681" s="33">
        <v>0</v>
      </c>
      <c r="H681" s="34">
        <v>0</v>
      </c>
      <c r="I681">
        <v>0</v>
      </c>
      <c r="J681" s="35">
        <v>0</v>
      </c>
      <c r="K681" s="35">
        <v>0</v>
      </c>
      <c r="L681" s="35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s">
        <v>54</v>
      </c>
      <c r="AO681" s="23" t="s">
        <v>54</v>
      </c>
      <c r="AP681" s="23" t="s">
        <v>54</v>
      </c>
      <c r="AQ681" s="23" t="s">
        <v>54</v>
      </c>
      <c r="AR681" s="37">
        <v>0</v>
      </c>
      <c r="AS681" s="37">
        <v>0</v>
      </c>
      <c r="AT681" s="37">
        <v>0</v>
      </c>
      <c r="AU681" s="33" t="str">
        <f t="shared" si="13"/>
        <v>库存为0</v>
      </c>
      <c r="AV681" s="38" t="str">
        <f>IFERROR(时间!$B$4+AU681,"上周无销量")</f>
        <v>上周无销量</v>
      </c>
    </row>
    <row r="682" spans="1:48">
      <c r="A682" s="21" t="s">
        <v>1510</v>
      </c>
      <c r="B682" t="s">
        <v>1511</v>
      </c>
      <c r="C682" t="s">
        <v>1483</v>
      </c>
      <c r="D682" s="33">
        <v>0</v>
      </c>
      <c r="E682" s="33">
        <v>0</v>
      </c>
      <c r="F682" s="33">
        <v>0</v>
      </c>
      <c r="G682" s="33">
        <v>0</v>
      </c>
      <c r="H682" s="34">
        <v>0</v>
      </c>
      <c r="I682">
        <v>0</v>
      </c>
      <c r="J682" s="35">
        <v>0</v>
      </c>
      <c r="K682" s="35">
        <v>0</v>
      </c>
      <c r="L682" s="35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s">
        <v>54</v>
      </c>
      <c r="AO682" s="23" t="s">
        <v>54</v>
      </c>
      <c r="AP682" s="23" t="s">
        <v>54</v>
      </c>
      <c r="AQ682" s="23" t="s">
        <v>54</v>
      </c>
      <c r="AR682" s="37">
        <v>0</v>
      </c>
      <c r="AS682" s="37">
        <v>0</v>
      </c>
      <c r="AT682" s="37">
        <v>0</v>
      </c>
      <c r="AU682" s="33" t="str">
        <f t="shared" si="13"/>
        <v>库存为0</v>
      </c>
      <c r="AV682" s="38" t="str">
        <f>IFERROR(时间!$B$4+AU682,"上周无销量")</f>
        <v>上周无销量</v>
      </c>
    </row>
    <row r="683" spans="1:48">
      <c r="A683" s="21" t="s">
        <v>1512</v>
      </c>
      <c r="B683" t="s">
        <v>1513</v>
      </c>
      <c r="C683" t="s">
        <v>1483</v>
      </c>
      <c r="D683" s="33">
        <v>0</v>
      </c>
      <c r="E683" s="33">
        <v>0</v>
      </c>
      <c r="F683" s="33">
        <v>0</v>
      </c>
      <c r="G683" s="33">
        <v>0</v>
      </c>
      <c r="H683" s="34">
        <v>0</v>
      </c>
      <c r="I683">
        <v>0</v>
      </c>
      <c r="J683" s="35">
        <v>0</v>
      </c>
      <c r="K683" s="35">
        <v>0</v>
      </c>
      <c r="L683" s="35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s">
        <v>54</v>
      </c>
      <c r="AO683" s="23" t="s">
        <v>54</v>
      </c>
      <c r="AP683" s="23" t="s">
        <v>54</v>
      </c>
      <c r="AQ683" s="23" t="s">
        <v>54</v>
      </c>
      <c r="AR683" s="37">
        <v>0</v>
      </c>
      <c r="AS683" s="37">
        <v>0</v>
      </c>
      <c r="AT683" s="37">
        <v>0</v>
      </c>
      <c r="AU683" s="33" t="str">
        <f t="shared" si="13"/>
        <v>库存为0</v>
      </c>
      <c r="AV683" s="38" t="str">
        <f>IFERROR(时间!$B$4+AU683,"上周无销量")</f>
        <v>上周无销量</v>
      </c>
    </row>
    <row r="684" spans="1:48">
      <c r="A684" s="21" t="s">
        <v>1514</v>
      </c>
      <c r="B684" t="s">
        <v>1515</v>
      </c>
      <c r="C684" t="s">
        <v>1483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0</v>
      </c>
      <c r="J684" s="35">
        <v>0</v>
      </c>
      <c r="K684" s="35">
        <v>0</v>
      </c>
      <c r="L684" s="35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s">
        <v>54</v>
      </c>
      <c r="AO684" s="23" t="s">
        <v>54</v>
      </c>
      <c r="AP684" s="23" t="s">
        <v>54</v>
      </c>
      <c r="AQ684" s="23" t="s">
        <v>54</v>
      </c>
      <c r="AR684" s="37">
        <v>0</v>
      </c>
      <c r="AS684" s="37">
        <v>0</v>
      </c>
      <c r="AT684" s="37">
        <v>0</v>
      </c>
      <c r="AU684" s="33" t="str">
        <f t="shared" si="13"/>
        <v>库存为0</v>
      </c>
      <c r="AV684" s="38" t="str">
        <f>IFERROR(时间!$B$4+AU684,"上周无销量")</f>
        <v>上周无销量</v>
      </c>
    </row>
    <row r="685" spans="1:48">
      <c r="A685" s="21" t="s">
        <v>1516</v>
      </c>
      <c r="B685" t="s">
        <v>1517</v>
      </c>
      <c r="C685" t="s">
        <v>1483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0</v>
      </c>
      <c r="J685" s="35">
        <v>0</v>
      </c>
      <c r="K685" s="35">
        <v>0</v>
      </c>
      <c r="L685" s="35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s">
        <v>54</v>
      </c>
      <c r="AO685" s="23" t="s">
        <v>54</v>
      </c>
      <c r="AP685" s="23" t="s">
        <v>54</v>
      </c>
      <c r="AQ685" s="23" t="s">
        <v>54</v>
      </c>
      <c r="AR685" s="37">
        <v>0</v>
      </c>
      <c r="AS685" s="37">
        <v>0</v>
      </c>
      <c r="AT685" s="37">
        <v>0</v>
      </c>
      <c r="AU685" s="33" t="str">
        <f t="shared" si="13"/>
        <v>库存为0</v>
      </c>
      <c r="AV685" s="38" t="str">
        <f>IFERROR(时间!$B$4+AU685,"上周无销量")</f>
        <v>上周无销量</v>
      </c>
    </row>
    <row r="686" spans="1:48">
      <c r="A686" s="21" t="s">
        <v>1518</v>
      </c>
      <c r="B686" t="s">
        <v>1519</v>
      </c>
      <c r="C686" t="s">
        <v>1483</v>
      </c>
      <c r="D686" s="33">
        <v>0</v>
      </c>
      <c r="E686" s="33">
        <v>0</v>
      </c>
      <c r="F686" s="33">
        <v>0</v>
      </c>
      <c r="G686" s="33">
        <v>0</v>
      </c>
      <c r="H686" s="34">
        <v>0</v>
      </c>
      <c r="I686">
        <v>0</v>
      </c>
      <c r="J686" s="35">
        <v>0</v>
      </c>
      <c r="K686" s="35">
        <v>0</v>
      </c>
      <c r="L686" s="35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s">
        <v>54</v>
      </c>
      <c r="AO686" s="23" t="s">
        <v>54</v>
      </c>
      <c r="AP686" s="23" t="s">
        <v>54</v>
      </c>
      <c r="AQ686" s="23" t="s">
        <v>54</v>
      </c>
      <c r="AR686" s="37">
        <v>0</v>
      </c>
      <c r="AS686" s="37">
        <v>0</v>
      </c>
      <c r="AT686" s="37">
        <v>0</v>
      </c>
      <c r="AU686" s="33" t="str">
        <f t="shared" si="13"/>
        <v>库存为0</v>
      </c>
      <c r="AV686" s="38" t="str">
        <f>IFERROR(时间!$B$4+AU686,"上周无销量")</f>
        <v>上周无销量</v>
      </c>
    </row>
    <row r="687" spans="1:48">
      <c r="A687" s="21" t="s">
        <v>1520</v>
      </c>
      <c r="B687" t="s">
        <v>1521</v>
      </c>
      <c r="C687" t="s">
        <v>1483</v>
      </c>
      <c r="D687" s="33">
        <v>0</v>
      </c>
      <c r="E687" s="33">
        <v>0</v>
      </c>
      <c r="F687" s="33">
        <v>0</v>
      </c>
      <c r="G687" s="33">
        <v>0</v>
      </c>
      <c r="H687" s="34">
        <v>0</v>
      </c>
      <c r="I687">
        <v>0</v>
      </c>
      <c r="J687" s="35">
        <v>0</v>
      </c>
      <c r="K687" s="35">
        <v>0</v>
      </c>
      <c r="L687" s="35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s">
        <v>54</v>
      </c>
      <c r="AO687" s="23" t="s">
        <v>54</v>
      </c>
      <c r="AP687" s="23" t="s">
        <v>54</v>
      </c>
      <c r="AQ687" s="23" t="s">
        <v>54</v>
      </c>
      <c r="AR687" s="37">
        <v>0</v>
      </c>
      <c r="AS687" s="37">
        <v>0</v>
      </c>
      <c r="AT687" s="37">
        <v>0</v>
      </c>
      <c r="AU687" s="33" t="str">
        <f t="shared" si="13"/>
        <v>库存为0</v>
      </c>
      <c r="AV687" s="38" t="str">
        <f>IFERROR(时间!$B$4+AU687,"上周无销量")</f>
        <v>上周无销量</v>
      </c>
    </row>
    <row r="688" spans="1:48">
      <c r="A688" s="21" t="s">
        <v>1522</v>
      </c>
      <c r="B688" t="s">
        <v>1523</v>
      </c>
      <c r="C688" t="s">
        <v>1483</v>
      </c>
      <c r="D688" s="33">
        <v>0</v>
      </c>
      <c r="E688" s="33">
        <v>0</v>
      </c>
      <c r="F688" s="33">
        <v>0</v>
      </c>
      <c r="G688" s="33">
        <v>0</v>
      </c>
      <c r="H688" s="34">
        <v>0</v>
      </c>
      <c r="I688">
        <v>0</v>
      </c>
      <c r="J688" s="35">
        <v>0</v>
      </c>
      <c r="K688" s="35">
        <v>0</v>
      </c>
      <c r="L688" s="35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s">
        <v>54</v>
      </c>
      <c r="AO688" s="23" t="s">
        <v>54</v>
      </c>
      <c r="AP688" s="23" t="s">
        <v>54</v>
      </c>
      <c r="AQ688" s="23" t="s">
        <v>54</v>
      </c>
      <c r="AR688" s="37">
        <v>0</v>
      </c>
      <c r="AS688" s="37">
        <v>0</v>
      </c>
      <c r="AT688" s="37">
        <v>0</v>
      </c>
      <c r="AU688" s="33" t="str">
        <f t="shared" si="13"/>
        <v>库存为0</v>
      </c>
      <c r="AV688" s="38" t="str">
        <f>IFERROR(时间!$B$4+AU688,"上周无销量")</f>
        <v>上周无销量</v>
      </c>
    </row>
    <row r="689" spans="1:48">
      <c r="A689" s="21" t="s">
        <v>1524</v>
      </c>
      <c r="B689" t="s">
        <v>1525</v>
      </c>
      <c r="C689" t="s">
        <v>1483</v>
      </c>
      <c r="D689" s="33">
        <v>0</v>
      </c>
      <c r="E689" s="33">
        <v>0</v>
      </c>
      <c r="F689" s="33">
        <v>0</v>
      </c>
      <c r="G689" s="33">
        <v>0</v>
      </c>
      <c r="H689" s="34">
        <v>0</v>
      </c>
      <c r="I689">
        <v>0</v>
      </c>
      <c r="J689" s="35">
        <v>0</v>
      </c>
      <c r="K689" s="35">
        <v>0</v>
      </c>
      <c r="L689" s="35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s">
        <v>54</v>
      </c>
      <c r="AO689" s="23" t="s">
        <v>54</v>
      </c>
      <c r="AP689" s="23" t="s">
        <v>54</v>
      </c>
      <c r="AQ689" s="23" t="s">
        <v>54</v>
      </c>
      <c r="AR689" s="37">
        <v>0</v>
      </c>
      <c r="AS689" s="37">
        <v>0</v>
      </c>
      <c r="AT689" s="37">
        <v>0</v>
      </c>
      <c r="AU689" s="33" t="str">
        <f t="shared" si="13"/>
        <v>库存为0</v>
      </c>
      <c r="AV689" s="38" t="str">
        <f>IFERROR(时间!$B$4+AU689,"上周无销量")</f>
        <v>上周无销量</v>
      </c>
    </row>
    <row r="690" spans="1:48">
      <c r="A690" s="21" t="s">
        <v>1526</v>
      </c>
      <c r="B690" t="s">
        <v>1527</v>
      </c>
      <c r="C690" t="s">
        <v>1483</v>
      </c>
      <c r="D690" s="33">
        <v>0</v>
      </c>
      <c r="E690" s="33">
        <v>0</v>
      </c>
      <c r="F690" s="33">
        <v>0</v>
      </c>
      <c r="G690" s="33">
        <v>0</v>
      </c>
      <c r="H690" s="34">
        <v>0</v>
      </c>
      <c r="I690">
        <v>0</v>
      </c>
      <c r="J690" s="35">
        <v>0</v>
      </c>
      <c r="K690" s="35">
        <v>0</v>
      </c>
      <c r="L690" s="35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s">
        <v>54</v>
      </c>
      <c r="AO690" s="23" t="s">
        <v>54</v>
      </c>
      <c r="AP690" s="23" t="s">
        <v>54</v>
      </c>
      <c r="AQ690" s="23" t="s">
        <v>54</v>
      </c>
      <c r="AR690" s="37">
        <v>0</v>
      </c>
      <c r="AS690" s="37">
        <v>0</v>
      </c>
      <c r="AT690" s="37">
        <v>0</v>
      </c>
      <c r="AU690" s="33" t="str">
        <f t="shared" si="13"/>
        <v>库存为0</v>
      </c>
      <c r="AV690" s="38" t="str">
        <f>IFERROR(时间!$B$4+AU690,"上周无销量")</f>
        <v>上周无销量</v>
      </c>
    </row>
    <row r="691" spans="1:48">
      <c r="A691" s="21" t="s">
        <v>1528</v>
      </c>
      <c r="B691" t="s">
        <v>1529</v>
      </c>
      <c r="C691" t="s">
        <v>1483</v>
      </c>
      <c r="D691" s="33">
        <v>0</v>
      </c>
      <c r="E691" s="33">
        <v>0</v>
      </c>
      <c r="F691" s="33">
        <v>0</v>
      </c>
      <c r="G691" s="33">
        <v>0</v>
      </c>
      <c r="H691" s="34">
        <v>0</v>
      </c>
      <c r="I691">
        <v>0</v>
      </c>
      <c r="J691" s="35">
        <v>0</v>
      </c>
      <c r="K691" s="35">
        <v>0</v>
      </c>
      <c r="L691" s="35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s">
        <v>54</v>
      </c>
      <c r="AO691" s="23" t="s">
        <v>54</v>
      </c>
      <c r="AP691" s="23" t="s">
        <v>54</v>
      </c>
      <c r="AQ691" s="23" t="s">
        <v>54</v>
      </c>
      <c r="AR691" s="37">
        <v>0</v>
      </c>
      <c r="AS691" s="37">
        <v>0</v>
      </c>
      <c r="AT691" s="37">
        <v>0</v>
      </c>
      <c r="AU691" s="33" t="str">
        <f t="shared" si="13"/>
        <v>库存为0</v>
      </c>
      <c r="AV691" s="38" t="str">
        <f>IFERROR(时间!$B$4+AU691,"上周无销量")</f>
        <v>上周无销量</v>
      </c>
    </row>
    <row r="692" spans="1:48">
      <c r="A692" s="21" t="s">
        <v>1530</v>
      </c>
      <c r="B692" t="s">
        <v>1531</v>
      </c>
      <c r="C692" t="s">
        <v>1532</v>
      </c>
      <c r="D692" s="33">
        <v>0</v>
      </c>
      <c r="E692" s="33">
        <v>0</v>
      </c>
      <c r="F692" s="33">
        <v>0</v>
      </c>
      <c r="G692" s="33">
        <v>0</v>
      </c>
      <c r="H692" s="34">
        <v>0</v>
      </c>
      <c r="I692">
        <v>5</v>
      </c>
      <c r="J692" s="35">
        <v>0</v>
      </c>
      <c r="K692" s="35">
        <v>0</v>
      </c>
      <c r="L692" s="35">
        <v>0</v>
      </c>
      <c r="M692">
        <v>5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4</v>
      </c>
      <c r="AK692">
        <v>1</v>
      </c>
      <c r="AL692">
        <v>1</v>
      </c>
      <c r="AM692">
        <v>1</v>
      </c>
      <c r="AN692" s="23">
        <v>0</v>
      </c>
      <c r="AO692" s="23">
        <v>0</v>
      </c>
      <c r="AP692" s="23">
        <v>0</v>
      </c>
      <c r="AQ692" s="23">
        <v>0</v>
      </c>
      <c r="AR692" s="37">
        <v>0</v>
      </c>
      <c r="AS692" s="37">
        <v>0</v>
      </c>
      <c r="AT692" s="37">
        <v>5</v>
      </c>
      <c r="AU692" s="33" t="str">
        <f t="shared" si="13"/>
        <v>库存为5</v>
      </c>
      <c r="AV692" s="38" t="str">
        <f>IFERROR(时间!$B$4+AU692,"上周无销量")</f>
        <v>上周无销量</v>
      </c>
    </row>
    <row r="693" spans="1:48">
      <c r="A693" s="21" t="s">
        <v>1533</v>
      </c>
      <c r="B693" t="s">
        <v>1534</v>
      </c>
      <c r="C693" t="s">
        <v>1532</v>
      </c>
      <c r="D693" s="33">
        <v>0</v>
      </c>
      <c r="E693" s="33">
        <v>0</v>
      </c>
      <c r="F693" s="33">
        <v>0</v>
      </c>
      <c r="G693" s="33">
        <v>0</v>
      </c>
      <c r="H693" s="34">
        <v>0</v>
      </c>
      <c r="I693">
        <v>3</v>
      </c>
      <c r="J693" s="35">
        <v>0</v>
      </c>
      <c r="K693" s="35">
        <v>0</v>
      </c>
      <c r="L693" s="35">
        <v>0</v>
      </c>
      <c r="M693">
        <v>3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4</v>
      </c>
      <c r="AK693">
        <v>1</v>
      </c>
      <c r="AL693">
        <v>1</v>
      </c>
      <c r="AM693">
        <v>1</v>
      </c>
      <c r="AN693" s="23">
        <v>0</v>
      </c>
      <c r="AO693" s="23">
        <v>0</v>
      </c>
      <c r="AP693" s="23">
        <v>0</v>
      </c>
      <c r="AQ693" s="23">
        <v>0</v>
      </c>
      <c r="AR693" s="37">
        <v>0</v>
      </c>
      <c r="AS693" s="37">
        <v>0</v>
      </c>
      <c r="AT693" s="37">
        <v>3</v>
      </c>
      <c r="AU693" s="33" t="str">
        <f t="shared" si="13"/>
        <v>库存为3</v>
      </c>
      <c r="AV693" s="38" t="str">
        <f>IFERROR(时间!$B$4+AU693,"上周无销量")</f>
        <v>上周无销量</v>
      </c>
    </row>
    <row r="694" spans="1:48">
      <c r="A694" s="21" t="s">
        <v>1535</v>
      </c>
      <c r="B694" t="s">
        <v>1536</v>
      </c>
      <c r="C694" t="s">
        <v>1532</v>
      </c>
      <c r="D694" s="33">
        <v>0</v>
      </c>
      <c r="E694" s="33">
        <v>0</v>
      </c>
      <c r="F694" s="33">
        <v>0</v>
      </c>
      <c r="G694" s="33">
        <v>2</v>
      </c>
      <c r="H694" s="34">
        <v>19.99</v>
      </c>
      <c r="I694">
        <v>0</v>
      </c>
      <c r="J694" s="35">
        <v>0</v>
      </c>
      <c r="K694" s="35">
        <v>0</v>
      </c>
      <c r="L694" s="35">
        <v>0</v>
      </c>
      <c r="M694">
        <v>0</v>
      </c>
      <c r="N694">
        <v>1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7</v>
      </c>
      <c r="AN694" s="23" t="s">
        <v>54</v>
      </c>
      <c r="AO694" s="23" t="s">
        <v>54</v>
      </c>
      <c r="AP694" s="23" t="s">
        <v>54</v>
      </c>
      <c r="AQ694" s="23">
        <v>0.285714285714286</v>
      </c>
      <c r="AR694" s="37">
        <v>0</v>
      </c>
      <c r="AS694" s="37">
        <v>0</v>
      </c>
      <c r="AT694" s="37">
        <v>0</v>
      </c>
      <c r="AU694" s="33" t="str">
        <f t="shared" si="13"/>
        <v>库存为0</v>
      </c>
      <c r="AV694" s="38" t="str">
        <f>IFERROR(时间!$B$4+AU694,"上周无销量")</f>
        <v>上周无销量</v>
      </c>
    </row>
    <row r="695" spans="1:48">
      <c r="A695" s="21" t="s">
        <v>1537</v>
      </c>
      <c r="B695" t="s">
        <v>1538</v>
      </c>
      <c r="C695" t="s">
        <v>1532</v>
      </c>
      <c r="D695" s="33">
        <v>0</v>
      </c>
      <c r="E695" s="33">
        <v>0</v>
      </c>
      <c r="F695" s="33">
        <v>0</v>
      </c>
      <c r="G695" s="33">
        <v>0</v>
      </c>
      <c r="H695" s="34">
        <v>0</v>
      </c>
      <c r="I695">
        <v>3</v>
      </c>
      <c r="J695" s="35">
        <v>0</v>
      </c>
      <c r="K695" s="35">
        <v>0</v>
      </c>
      <c r="L695" s="35">
        <v>0</v>
      </c>
      <c r="M695">
        <v>3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4</v>
      </c>
      <c r="AK695">
        <v>1</v>
      </c>
      <c r="AL695">
        <v>1</v>
      </c>
      <c r="AM695">
        <v>1</v>
      </c>
      <c r="AN695" s="23">
        <v>0</v>
      </c>
      <c r="AO695" s="23">
        <v>0</v>
      </c>
      <c r="AP695" s="23">
        <v>0</v>
      </c>
      <c r="AQ695" s="23">
        <v>0</v>
      </c>
      <c r="AR695" s="37">
        <v>0</v>
      </c>
      <c r="AS695" s="37">
        <v>0</v>
      </c>
      <c r="AT695" s="37">
        <v>3</v>
      </c>
      <c r="AU695" s="33" t="str">
        <f t="shared" si="13"/>
        <v>库存为3</v>
      </c>
      <c r="AV695" s="38" t="str">
        <f>IFERROR(时间!$B$4+AU695,"上周无销量")</f>
        <v>上周无销量</v>
      </c>
    </row>
    <row r="696" spans="1:48">
      <c r="A696" s="21" t="s">
        <v>1539</v>
      </c>
      <c r="B696" t="s">
        <v>1540</v>
      </c>
      <c r="C696" t="s">
        <v>1532</v>
      </c>
      <c r="D696" s="33">
        <v>0</v>
      </c>
      <c r="E696" s="33">
        <v>0</v>
      </c>
      <c r="F696" s="33">
        <v>1</v>
      </c>
      <c r="G696" s="33">
        <v>0</v>
      </c>
      <c r="H696" s="34">
        <v>19.99</v>
      </c>
      <c r="I696">
        <v>1</v>
      </c>
      <c r="J696" s="35">
        <v>0</v>
      </c>
      <c r="K696" s="35">
        <v>0</v>
      </c>
      <c r="L696" s="35">
        <v>0</v>
      </c>
      <c r="M696">
        <v>1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1</v>
      </c>
      <c r="AK696">
        <v>0</v>
      </c>
      <c r="AL696">
        <v>0</v>
      </c>
      <c r="AM696">
        <v>1</v>
      </c>
      <c r="AN696" s="23">
        <v>0</v>
      </c>
      <c r="AO696" s="23" t="s">
        <v>54</v>
      </c>
      <c r="AP696" s="23" t="s">
        <v>54</v>
      </c>
      <c r="AQ696" s="23">
        <v>0</v>
      </c>
      <c r="AR696" s="37">
        <v>0</v>
      </c>
      <c r="AS696" s="37">
        <v>0</v>
      </c>
      <c r="AT696" s="37">
        <v>1</v>
      </c>
      <c r="AU696" s="33" t="str">
        <f t="shared" si="13"/>
        <v>库存为1</v>
      </c>
      <c r="AV696" s="38" t="str">
        <f>IFERROR(时间!$B$4+AU696,"上周无销量")</f>
        <v>上周无销量</v>
      </c>
    </row>
    <row r="697" spans="1:48">
      <c r="A697" s="21" t="s">
        <v>1541</v>
      </c>
      <c r="B697" t="s">
        <v>1542</v>
      </c>
      <c r="C697" t="s">
        <v>1532</v>
      </c>
      <c r="D697" s="33">
        <v>0</v>
      </c>
      <c r="E697" s="33">
        <v>0</v>
      </c>
      <c r="F697" s="33">
        <v>0</v>
      </c>
      <c r="G697" s="33">
        <v>0</v>
      </c>
      <c r="H697" s="34">
        <v>0</v>
      </c>
      <c r="I697">
        <v>0</v>
      </c>
      <c r="J697" s="35">
        <v>0</v>
      </c>
      <c r="K697" s="35">
        <v>0</v>
      </c>
      <c r="L697" s="35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s">
        <v>54</v>
      </c>
      <c r="AO697" s="23" t="s">
        <v>54</v>
      </c>
      <c r="AP697" s="23" t="s">
        <v>54</v>
      </c>
      <c r="AQ697" s="23" t="s">
        <v>54</v>
      </c>
      <c r="AR697" s="37">
        <v>0</v>
      </c>
      <c r="AS697" s="37">
        <v>0</v>
      </c>
      <c r="AT697" s="37">
        <v>0</v>
      </c>
      <c r="AU697" s="33" t="str">
        <f t="shared" si="13"/>
        <v>库存为0</v>
      </c>
      <c r="AV697" s="38" t="str">
        <f>IFERROR(时间!$B$4+AU697,"上周无销量")</f>
        <v>上周无销量</v>
      </c>
    </row>
    <row r="698" spans="1:48">
      <c r="A698" s="21" t="s">
        <v>1543</v>
      </c>
      <c r="B698" t="s">
        <v>1544</v>
      </c>
      <c r="C698" t="s">
        <v>1545</v>
      </c>
      <c r="D698" s="33">
        <v>0</v>
      </c>
      <c r="E698" s="33">
        <v>0</v>
      </c>
      <c r="F698" s="33">
        <v>4</v>
      </c>
      <c r="G698" s="33">
        <v>2</v>
      </c>
      <c r="H698" s="34">
        <v>19.99</v>
      </c>
      <c r="I698">
        <v>0</v>
      </c>
      <c r="J698" s="35">
        <v>0</v>
      </c>
      <c r="K698" s="35">
        <v>0</v>
      </c>
      <c r="L698" s="35">
        <v>0</v>
      </c>
      <c r="M698">
        <v>0</v>
      </c>
      <c r="N698">
        <v>1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28</v>
      </c>
      <c r="AK698">
        <v>5</v>
      </c>
      <c r="AL698">
        <v>5</v>
      </c>
      <c r="AM698">
        <v>3</v>
      </c>
      <c r="AN698" s="23">
        <v>0</v>
      </c>
      <c r="AO698" s="23">
        <v>0</v>
      </c>
      <c r="AP698" s="23">
        <v>0.8</v>
      </c>
      <c r="AQ698" s="23">
        <v>0.666666666666667</v>
      </c>
      <c r="AR698" s="37">
        <v>0</v>
      </c>
      <c r="AS698" s="37">
        <v>0</v>
      </c>
      <c r="AT698" s="37">
        <v>0</v>
      </c>
      <c r="AU698" s="33" t="str">
        <f t="shared" si="13"/>
        <v>库存为0</v>
      </c>
      <c r="AV698" s="38" t="str">
        <f>IFERROR(时间!$B$4+AU698,"上周无销量")</f>
        <v>上周无销量</v>
      </c>
    </row>
    <row r="699" spans="1:48">
      <c r="A699" s="21" t="s">
        <v>1546</v>
      </c>
      <c r="B699" t="s">
        <v>1547</v>
      </c>
      <c r="C699" t="s">
        <v>1545</v>
      </c>
      <c r="D699" s="33">
        <v>1</v>
      </c>
      <c r="E699" s="33">
        <v>1</v>
      </c>
      <c r="F699" s="33">
        <v>1</v>
      </c>
      <c r="G699" s="33">
        <v>0</v>
      </c>
      <c r="H699" s="34">
        <v>19.99</v>
      </c>
      <c r="I699">
        <v>2</v>
      </c>
      <c r="J699" s="35">
        <v>0</v>
      </c>
      <c r="K699" s="35">
        <v>0</v>
      </c>
      <c r="L699" s="35">
        <v>0</v>
      </c>
      <c r="M699">
        <v>2</v>
      </c>
      <c r="N699">
        <v>1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14</v>
      </c>
      <c r="AK699">
        <v>4</v>
      </c>
      <c r="AL699">
        <v>4</v>
      </c>
      <c r="AM699">
        <v>11</v>
      </c>
      <c r="AN699" s="23">
        <v>0.0714285714285714</v>
      </c>
      <c r="AO699" s="23">
        <v>0.25</v>
      </c>
      <c r="AP699" s="23">
        <v>0.25</v>
      </c>
      <c r="AQ699" s="23">
        <v>0</v>
      </c>
      <c r="AR699" s="37">
        <v>0.142857142857143</v>
      </c>
      <c r="AS699" s="37">
        <v>8.57142857142857</v>
      </c>
      <c r="AT699" s="37">
        <v>-6.57142857142857</v>
      </c>
      <c r="AU699" s="33">
        <f t="shared" si="13"/>
        <v>14</v>
      </c>
      <c r="AV699" s="38">
        <f>IFERROR(时间!$B$4+AU699,"上周无销量")</f>
        <v>43304</v>
      </c>
    </row>
    <row r="700" spans="1:48">
      <c r="A700" s="21" t="s">
        <v>1548</v>
      </c>
      <c r="B700" t="s">
        <v>1549</v>
      </c>
      <c r="C700" t="s">
        <v>1545</v>
      </c>
      <c r="D700" s="33">
        <v>0</v>
      </c>
      <c r="E700" s="33">
        <v>4</v>
      </c>
      <c r="F700" s="33">
        <v>1</v>
      </c>
      <c r="G700" s="33">
        <v>3</v>
      </c>
      <c r="H700" s="34">
        <v>19.99</v>
      </c>
      <c r="I700">
        <v>1</v>
      </c>
      <c r="J700" s="35">
        <v>0</v>
      </c>
      <c r="K700" s="35">
        <v>0</v>
      </c>
      <c r="L700" s="35">
        <v>0</v>
      </c>
      <c r="M700">
        <v>1</v>
      </c>
      <c r="N700">
        <v>2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5</v>
      </c>
      <c r="AL700">
        <v>5</v>
      </c>
      <c r="AM700">
        <v>11</v>
      </c>
      <c r="AN700" s="23" t="s">
        <v>54</v>
      </c>
      <c r="AO700" s="23">
        <v>0.8</v>
      </c>
      <c r="AP700" s="23">
        <v>0.2</v>
      </c>
      <c r="AQ700" s="23">
        <v>0.272727272727273</v>
      </c>
      <c r="AR700" s="37">
        <v>0</v>
      </c>
      <c r="AS700" s="37">
        <v>0</v>
      </c>
      <c r="AT700" s="37">
        <v>1</v>
      </c>
      <c r="AU700" s="33" t="str">
        <f t="shared" si="13"/>
        <v>库存为1</v>
      </c>
      <c r="AV700" s="38" t="str">
        <f>IFERROR(时间!$B$4+AU700,"上周无销量")</f>
        <v>上周无销量</v>
      </c>
    </row>
    <row r="701" spans="1:48">
      <c r="A701" s="21" t="s">
        <v>1550</v>
      </c>
      <c r="B701" t="s">
        <v>1551</v>
      </c>
      <c r="C701" t="s">
        <v>1545</v>
      </c>
      <c r="D701" s="33">
        <v>1</v>
      </c>
      <c r="E701" s="33">
        <v>2</v>
      </c>
      <c r="F701" s="33">
        <v>3</v>
      </c>
      <c r="G701" s="33">
        <v>3</v>
      </c>
      <c r="H701" s="34">
        <v>19.99</v>
      </c>
      <c r="I701">
        <v>0</v>
      </c>
      <c r="J701" s="35">
        <v>0</v>
      </c>
      <c r="K701" s="35">
        <v>0</v>
      </c>
      <c r="L701" s="35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5</v>
      </c>
      <c r="AK701">
        <v>7</v>
      </c>
      <c r="AL701">
        <v>7</v>
      </c>
      <c r="AM701">
        <v>6</v>
      </c>
      <c r="AN701" s="23">
        <v>0.2</v>
      </c>
      <c r="AO701" s="23">
        <v>0.285714285714286</v>
      </c>
      <c r="AP701" s="23">
        <v>0.428571428571429</v>
      </c>
      <c r="AQ701" s="23">
        <v>0.5</v>
      </c>
      <c r="AR701" s="37">
        <v>0.142857142857143</v>
      </c>
      <c r="AS701" s="37">
        <v>8.57142857142857</v>
      </c>
      <c r="AT701" s="37">
        <v>-8.57142857142857</v>
      </c>
      <c r="AU701" s="33">
        <f t="shared" si="13"/>
        <v>0</v>
      </c>
      <c r="AV701" s="38">
        <f>IFERROR(时间!$B$4+AU701,"上周无销量")</f>
        <v>43290</v>
      </c>
    </row>
    <row r="702" spans="1:48">
      <c r="A702" s="21" t="s">
        <v>1552</v>
      </c>
      <c r="B702" t="s">
        <v>1553</v>
      </c>
      <c r="C702" t="s">
        <v>1545</v>
      </c>
      <c r="D702" s="33">
        <v>0</v>
      </c>
      <c r="E702" s="33">
        <v>2</v>
      </c>
      <c r="F702" s="33">
        <v>5</v>
      </c>
      <c r="G702" s="33">
        <v>1</v>
      </c>
      <c r="H702" s="34">
        <v>19.99</v>
      </c>
      <c r="I702">
        <v>0</v>
      </c>
      <c r="J702" s="35">
        <v>0</v>
      </c>
      <c r="K702" s="35">
        <v>0</v>
      </c>
      <c r="L702" s="35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23</v>
      </c>
      <c r="AL702">
        <v>23</v>
      </c>
      <c r="AM702">
        <v>13</v>
      </c>
      <c r="AN702" s="23" t="s">
        <v>54</v>
      </c>
      <c r="AO702" s="23">
        <v>0.0869565217391304</v>
      </c>
      <c r="AP702" s="23">
        <v>0.217391304347826</v>
      </c>
      <c r="AQ702" s="23">
        <v>0.0769230769230769</v>
      </c>
      <c r="AR702" s="37">
        <v>0</v>
      </c>
      <c r="AS702" s="37">
        <v>0</v>
      </c>
      <c r="AT702" s="37">
        <v>0</v>
      </c>
      <c r="AU702" s="33" t="str">
        <f t="shared" si="13"/>
        <v>库存为0</v>
      </c>
      <c r="AV702" s="38" t="str">
        <f>IFERROR(时间!$B$4+AU702,"上周无销量")</f>
        <v>上周无销量</v>
      </c>
    </row>
    <row r="703" spans="1:48">
      <c r="A703" s="21" t="s">
        <v>1554</v>
      </c>
      <c r="B703" t="s">
        <v>1555</v>
      </c>
      <c r="C703" t="s">
        <v>1545</v>
      </c>
      <c r="D703" s="33">
        <v>2</v>
      </c>
      <c r="E703" s="33">
        <v>7</v>
      </c>
      <c r="F703" s="33">
        <v>2</v>
      </c>
      <c r="G703" s="33">
        <v>2</v>
      </c>
      <c r="H703" s="34">
        <v>19.99</v>
      </c>
      <c r="I703">
        <v>0</v>
      </c>
      <c r="J703" s="35">
        <v>0</v>
      </c>
      <c r="K703" s="35">
        <v>0</v>
      </c>
      <c r="L703" s="35">
        <v>0</v>
      </c>
      <c r="M703">
        <v>0</v>
      </c>
      <c r="N703">
        <v>2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17</v>
      </c>
      <c r="AK703">
        <v>8</v>
      </c>
      <c r="AL703">
        <v>8</v>
      </c>
      <c r="AM703">
        <v>6</v>
      </c>
      <c r="AN703" s="23">
        <v>0.117647058823529</v>
      </c>
      <c r="AO703" s="23">
        <v>0.875</v>
      </c>
      <c r="AP703" s="23">
        <v>0.25</v>
      </c>
      <c r="AQ703" s="23">
        <v>0.333333333333333</v>
      </c>
      <c r="AR703" s="37">
        <v>0.285714285714286</v>
      </c>
      <c r="AS703" s="37">
        <v>17.1428571428571</v>
      </c>
      <c r="AT703" s="37">
        <v>-17.1428571428571</v>
      </c>
      <c r="AU703" s="33">
        <f t="shared" si="13"/>
        <v>0</v>
      </c>
      <c r="AV703" s="38">
        <f>IFERROR(时间!$B$4+AU703,"上周无销量")</f>
        <v>43290</v>
      </c>
    </row>
    <row r="704" spans="1:48">
      <c r="A704" s="21" t="s">
        <v>1556</v>
      </c>
      <c r="B704" t="s">
        <v>1557</v>
      </c>
      <c r="C704" t="s">
        <v>1545</v>
      </c>
      <c r="D704" s="33">
        <v>0</v>
      </c>
      <c r="E704" s="33">
        <v>0</v>
      </c>
      <c r="F704" s="33">
        <v>1</v>
      </c>
      <c r="G704" s="33">
        <v>3</v>
      </c>
      <c r="H704" s="34">
        <v>19.99</v>
      </c>
      <c r="I704">
        <v>0</v>
      </c>
      <c r="J704" s="35">
        <v>0</v>
      </c>
      <c r="K704" s="35">
        <v>0</v>
      </c>
      <c r="L704" s="35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2</v>
      </c>
      <c r="AN704" s="23" t="s">
        <v>54</v>
      </c>
      <c r="AO704" s="23" t="s">
        <v>54</v>
      </c>
      <c r="AP704" s="23" t="s">
        <v>54</v>
      </c>
      <c r="AQ704" s="23">
        <v>1.5</v>
      </c>
      <c r="AR704" s="37">
        <v>0</v>
      </c>
      <c r="AS704" s="37">
        <v>0</v>
      </c>
      <c r="AT704" s="37">
        <v>0</v>
      </c>
      <c r="AU704" s="33" t="str">
        <f t="shared" si="13"/>
        <v>库存为0</v>
      </c>
      <c r="AV704" s="38" t="str">
        <f>IFERROR(时间!$B$4+AU704,"上周无销量")</f>
        <v>上周无销量</v>
      </c>
    </row>
    <row r="705" spans="1:48">
      <c r="A705" s="21" t="s">
        <v>1558</v>
      </c>
      <c r="B705" t="s">
        <v>1559</v>
      </c>
      <c r="C705" t="s">
        <v>1545</v>
      </c>
      <c r="D705" s="33">
        <v>2</v>
      </c>
      <c r="E705" s="33">
        <v>0</v>
      </c>
      <c r="F705" s="33">
        <v>0</v>
      </c>
      <c r="G705" s="33">
        <v>0</v>
      </c>
      <c r="H705" s="34">
        <v>19.99</v>
      </c>
      <c r="I705">
        <v>0</v>
      </c>
      <c r="J705" s="35">
        <v>0</v>
      </c>
      <c r="K705" s="35">
        <v>0</v>
      </c>
      <c r="L705" s="35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12</v>
      </c>
      <c r="AK705">
        <v>5</v>
      </c>
      <c r="AL705">
        <v>5</v>
      </c>
      <c r="AM705">
        <v>0</v>
      </c>
      <c r="AN705" s="23">
        <v>0.166666666666667</v>
      </c>
      <c r="AO705" s="23">
        <v>0</v>
      </c>
      <c r="AP705" s="23">
        <v>0</v>
      </c>
      <c r="AQ705" s="23" t="s">
        <v>54</v>
      </c>
      <c r="AR705" s="37">
        <v>0.285714285714286</v>
      </c>
      <c r="AS705" s="37">
        <v>17.1428571428571</v>
      </c>
      <c r="AT705" s="37">
        <v>-17.1428571428571</v>
      </c>
      <c r="AU705" s="33">
        <f t="shared" si="13"/>
        <v>0</v>
      </c>
      <c r="AV705" s="38">
        <f>IFERROR(时间!$B$4+AU705,"上周无销量")</f>
        <v>43290</v>
      </c>
    </row>
    <row r="706" spans="1:48">
      <c r="A706" s="21" t="s">
        <v>1560</v>
      </c>
      <c r="B706" t="s">
        <v>1561</v>
      </c>
      <c r="C706" t="s">
        <v>1545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0</v>
      </c>
      <c r="J706" s="35">
        <v>0</v>
      </c>
      <c r="K706" s="35">
        <v>0</v>
      </c>
      <c r="L706" s="35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s">
        <v>54</v>
      </c>
      <c r="AO706" s="23" t="s">
        <v>54</v>
      </c>
      <c r="AP706" s="23" t="s">
        <v>54</v>
      </c>
      <c r="AQ706" s="23" t="s">
        <v>54</v>
      </c>
      <c r="AR706" s="37">
        <v>0</v>
      </c>
      <c r="AS706" s="37">
        <v>0</v>
      </c>
      <c r="AT706" s="37">
        <v>0</v>
      </c>
      <c r="AU706" s="33" t="str">
        <f t="shared" si="13"/>
        <v>库存为0</v>
      </c>
      <c r="AV706" s="38" t="str">
        <f>IFERROR(时间!$B$4+AU706,"上周无销量")</f>
        <v>上周无销量</v>
      </c>
    </row>
    <row r="707" spans="1:48">
      <c r="A707" s="21" t="s">
        <v>1562</v>
      </c>
      <c r="B707" t="s">
        <v>1563</v>
      </c>
      <c r="C707" t="s">
        <v>1545</v>
      </c>
      <c r="D707" s="33">
        <v>0</v>
      </c>
      <c r="E707" s="33">
        <v>0</v>
      </c>
      <c r="F707" s="33">
        <v>0</v>
      </c>
      <c r="G707" s="33">
        <v>1</v>
      </c>
      <c r="H707" s="34">
        <v>19.99</v>
      </c>
      <c r="I707">
        <v>0</v>
      </c>
      <c r="J707" s="35">
        <v>0</v>
      </c>
      <c r="K707" s="35">
        <v>0</v>
      </c>
      <c r="L707" s="35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727</v>
      </c>
      <c r="S707">
        <v>77292</v>
      </c>
      <c r="T707">
        <v>0</v>
      </c>
      <c r="U707">
        <v>0</v>
      </c>
      <c r="V707">
        <v>6</v>
      </c>
      <c r="W707">
        <v>320</v>
      </c>
      <c r="X707" s="23" t="s">
        <v>54</v>
      </c>
      <c r="Y707" s="23" t="s">
        <v>54</v>
      </c>
      <c r="Z707" s="23">
        <v>0.00825309491059147</v>
      </c>
      <c r="AA707" s="23">
        <v>0.00414014386999948</v>
      </c>
      <c r="AB707">
        <v>0</v>
      </c>
      <c r="AC707">
        <v>0</v>
      </c>
      <c r="AD707">
        <v>1.46</v>
      </c>
      <c r="AE707">
        <v>92.72</v>
      </c>
      <c r="AF707" s="23" t="s">
        <v>54</v>
      </c>
      <c r="AG707" s="23" t="s">
        <v>54</v>
      </c>
      <c r="AH707" s="23">
        <v>0</v>
      </c>
      <c r="AI707" s="23">
        <v>4.63831915957979</v>
      </c>
      <c r="AJ707">
        <v>0</v>
      </c>
      <c r="AK707">
        <v>0</v>
      </c>
      <c r="AL707">
        <v>0</v>
      </c>
      <c r="AM707">
        <v>2</v>
      </c>
      <c r="AN707" s="23" t="s">
        <v>54</v>
      </c>
      <c r="AO707" s="23" t="s">
        <v>54</v>
      </c>
      <c r="AP707" s="23" t="s">
        <v>54</v>
      </c>
      <c r="AQ707" s="23">
        <v>0.5</v>
      </c>
      <c r="AR707" s="37">
        <v>0</v>
      </c>
      <c r="AS707" s="37">
        <v>0</v>
      </c>
      <c r="AT707" s="37">
        <v>0</v>
      </c>
      <c r="AU707" s="33" t="str">
        <f t="shared" si="13"/>
        <v>库存为0</v>
      </c>
      <c r="AV707" s="38" t="str">
        <f>IFERROR(时间!$B$4+AU707,"上周无销量")</f>
        <v>上周无销量</v>
      </c>
    </row>
    <row r="708" spans="1:48">
      <c r="A708" s="21" t="s">
        <v>1564</v>
      </c>
      <c r="B708" t="s">
        <v>1565</v>
      </c>
      <c r="C708" t="s">
        <v>1545</v>
      </c>
      <c r="D708" s="33">
        <v>1</v>
      </c>
      <c r="E708" s="33">
        <v>6</v>
      </c>
      <c r="F708" s="33">
        <v>1</v>
      </c>
      <c r="G708" s="33">
        <v>1</v>
      </c>
      <c r="H708" s="34">
        <v>17.1011111111111</v>
      </c>
      <c r="I708">
        <v>0</v>
      </c>
      <c r="J708" s="35">
        <v>0</v>
      </c>
      <c r="K708" s="35">
        <v>0</v>
      </c>
      <c r="L708" s="35">
        <v>0</v>
      </c>
      <c r="M708">
        <v>0</v>
      </c>
      <c r="N708">
        <v>1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2</v>
      </c>
      <c r="AK708">
        <v>16</v>
      </c>
      <c r="AL708">
        <v>16</v>
      </c>
      <c r="AM708">
        <v>11</v>
      </c>
      <c r="AN708" s="23">
        <v>0.5</v>
      </c>
      <c r="AO708" s="23">
        <v>0.375</v>
      </c>
      <c r="AP708" s="23">
        <v>0.0625</v>
      </c>
      <c r="AQ708" s="23">
        <v>0.0909090909090909</v>
      </c>
      <c r="AR708" s="37">
        <v>0.142857142857143</v>
      </c>
      <c r="AS708" s="37">
        <v>8.57142857142857</v>
      </c>
      <c r="AT708" s="37">
        <v>-8.57142857142857</v>
      </c>
      <c r="AU708" s="33">
        <f t="shared" si="13"/>
        <v>0</v>
      </c>
      <c r="AV708" s="38">
        <f>IFERROR(时间!$B$4+AU708,"上周无销量")</f>
        <v>43290</v>
      </c>
    </row>
    <row r="709" spans="1:48">
      <c r="A709" s="21" t="s">
        <v>1566</v>
      </c>
      <c r="B709" t="s">
        <v>1567</v>
      </c>
      <c r="C709" t="s">
        <v>1545</v>
      </c>
      <c r="D709" s="33">
        <v>0</v>
      </c>
      <c r="E709" s="33">
        <v>1</v>
      </c>
      <c r="F709" s="33">
        <v>1</v>
      </c>
      <c r="G709" s="33">
        <v>0</v>
      </c>
      <c r="H709" s="34">
        <v>19.99</v>
      </c>
      <c r="I709">
        <v>0</v>
      </c>
      <c r="J709" s="35">
        <v>0</v>
      </c>
      <c r="K709" s="35">
        <v>0</v>
      </c>
      <c r="L709" s="35">
        <v>0</v>
      </c>
      <c r="M709">
        <v>0</v>
      </c>
      <c r="N709">
        <v>3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1</v>
      </c>
      <c r="AL709">
        <v>1</v>
      </c>
      <c r="AM709">
        <v>0</v>
      </c>
      <c r="AN709" s="23" t="s">
        <v>54</v>
      </c>
      <c r="AO709" s="23">
        <v>1</v>
      </c>
      <c r="AP709" s="23">
        <v>1</v>
      </c>
      <c r="AQ709" s="23" t="s">
        <v>54</v>
      </c>
      <c r="AR709" s="37">
        <v>0</v>
      </c>
      <c r="AS709" s="37">
        <v>0</v>
      </c>
      <c r="AT709" s="37">
        <v>0</v>
      </c>
      <c r="AU709" s="33" t="str">
        <f t="shared" ref="AU709:AU772" si="14">IF(AR709="","库存为"&amp;M709,IF(AS709=0,"库存为"&amp;M709,INT(M709/AR709)))</f>
        <v>库存为0</v>
      </c>
      <c r="AV709" s="38" t="str">
        <f>IFERROR(时间!$B$4+AU709,"上周无销量")</f>
        <v>上周无销量</v>
      </c>
    </row>
    <row r="710" spans="1:48">
      <c r="A710" s="21" t="s">
        <v>1568</v>
      </c>
      <c r="B710" t="s">
        <v>1569</v>
      </c>
      <c r="C710" t="s">
        <v>1545</v>
      </c>
      <c r="D710" s="33">
        <v>4</v>
      </c>
      <c r="E710" s="33">
        <v>1</v>
      </c>
      <c r="F710" s="33">
        <v>0</v>
      </c>
      <c r="G710" s="33">
        <v>1</v>
      </c>
      <c r="H710" s="34">
        <v>19.99</v>
      </c>
      <c r="I710">
        <v>0</v>
      </c>
      <c r="J710" s="35">
        <v>0</v>
      </c>
      <c r="K710" s="35">
        <v>0</v>
      </c>
      <c r="L710" s="35">
        <v>0</v>
      </c>
      <c r="M710">
        <v>0</v>
      </c>
      <c r="N710">
        <v>2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11</v>
      </c>
      <c r="AK710">
        <v>3</v>
      </c>
      <c r="AL710">
        <v>3</v>
      </c>
      <c r="AM710">
        <v>6</v>
      </c>
      <c r="AN710" s="23">
        <v>0.363636363636364</v>
      </c>
      <c r="AO710" s="23">
        <v>0.333333333333333</v>
      </c>
      <c r="AP710" s="23">
        <v>0</v>
      </c>
      <c r="AQ710" s="23">
        <v>0.166666666666667</v>
      </c>
      <c r="AR710" s="37">
        <v>0.571428571428571</v>
      </c>
      <c r="AS710" s="37">
        <v>34.2857142857143</v>
      </c>
      <c r="AT710" s="37">
        <v>-34.2857142857143</v>
      </c>
      <c r="AU710" s="33">
        <f t="shared" si="14"/>
        <v>0</v>
      </c>
      <c r="AV710" s="38">
        <f>IFERROR(时间!$B$4+AU710,"上周无销量")</f>
        <v>43290</v>
      </c>
    </row>
    <row r="711" spans="1:48">
      <c r="A711" s="21" t="s">
        <v>1570</v>
      </c>
      <c r="B711" t="s">
        <v>1571</v>
      </c>
      <c r="C711" t="s">
        <v>1545</v>
      </c>
      <c r="D711" s="33">
        <v>2</v>
      </c>
      <c r="E711" s="33">
        <v>1</v>
      </c>
      <c r="F711" s="33">
        <v>1</v>
      </c>
      <c r="G711" s="33">
        <v>1</v>
      </c>
      <c r="H711" s="34">
        <v>19.99</v>
      </c>
      <c r="I711">
        <v>0</v>
      </c>
      <c r="J711" s="35">
        <v>0</v>
      </c>
      <c r="K711" s="35">
        <v>0</v>
      </c>
      <c r="L711" s="35">
        <v>0</v>
      </c>
      <c r="M711">
        <v>0</v>
      </c>
      <c r="N711">
        <v>1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11</v>
      </c>
      <c r="AK711">
        <v>1</v>
      </c>
      <c r="AL711">
        <v>1</v>
      </c>
      <c r="AM711">
        <v>3</v>
      </c>
      <c r="AN711" s="23">
        <v>0.181818181818182</v>
      </c>
      <c r="AO711" s="23">
        <v>1</v>
      </c>
      <c r="AP711" s="23">
        <v>1</v>
      </c>
      <c r="AQ711" s="23">
        <v>0.333333333333333</v>
      </c>
      <c r="AR711" s="37">
        <v>0.285714285714286</v>
      </c>
      <c r="AS711" s="37">
        <v>17.1428571428571</v>
      </c>
      <c r="AT711" s="37">
        <v>-17.1428571428571</v>
      </c>
      <c r="AU711" s="33">
        <f t="shared" si="14"/>
        <v>0</v>
      </c>
      <c r="AV711" s="38">
        <f>IFERROR(时间!$B$4+AU711,"上周无销量")</f>
        <v>43290</v>
      </c>
    </row>
    <row r="712" spans="1:48">
      <c r="A712" s="21" t="s">
        <v>1572</v>
      </c>
      <c r="B712" t="s">
        <v>1573</v>
      </c>
      <c r="C712" t="s">
        <v>1545</v>
      </c>
      <c r="D712" s="33">
        <v>0</v>
      </c>
      <c r="E712" s="33">
        <v>0</v>
      </c>
      <c r="F712" s="33">
        <v>2</v>
      </c>
      <c r="G712" s="33">
        <v>1</v>
      </c>
      <c r="H712" s="34">
        <v>19.99</v>
      </c>
      <c r="I712">
        <v>0</v>
      </c>
      <c r="J712" s="35">
        <v>0</v>
      </c>
      <c r="K712" s="35">
        <v>0</v>
      </c>
      <c r="L712" s="35">
        <v>0</v>
      </c>
      <c r="M712">
        <v>0</v>
      </c>
      <c r="N712">
        <v>1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11</v>
      </c>
      <c r="AL712">
        <v>11</v>
      </c>
      <c r="AM712">
        <v>7</v>
      </c>
      <c r="AN712" s="23" t="s">
        <v>54</v>
      </c>
      <c r="AO712" s="23">
        <v>0</v>
      </c>
      <c r="AP712" s="23">
        <v>0.181818181818182</v>
      </c>
      <c r="AQ712" s="23">
        <v>0.142857142857143</v>
      </c>
      <c r="AR712" s="37">
        <v>0</v>
      </c>
      <c r="AS712" s="37">
        <v>0</v>
      </c>
      <c r="AT712" s="37">
        <v>0</v>
      </c>
      <c r="AU712" s="33" t="str">
        <f t="shared" si="14"/>
        <v>库存为0</v>
      </c>
      <c r="AV712" s="38" t="str">
        <f>IFERROR(时间!$B$4+AU712,"上周无销量")</f>
        <v>上周无销量</v>
      </c>
    </row>
    <row r="713" spans="1:48">
      <c r="A713" s="21" t="s">
        <v>1574</v>
      </c>
      <c r="B713" t="s">
        <v>1575</v>
      </c>
      <c r="C713" t="s">
        <v>1545</v>
      </c>
      <c r="D713" s="33">
        <v>0</v>
      </c>
      <c r="E713" s="33">
        <v>0</v>
      </c>
      <c r="F713" s="33">
        <v>2</v>
      </c>
      <c r="G713" s="33">
        <v>4</v>
      </c>
      <c r="H713" s="34">
        <v>19.99</v>
      </c>
      <c r="I713">
        <v>0</v>
      </c>
      <c r="J713" s="35">
        <v>0</v>
      </c>
      <c r="K713" s="35">
        <v>0</v>
      </c>
      <c r="L713" s="35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9</v>
      </c>
      <c r="AN713" s="23" t="s">
        <v>54</v>
      </c>
      <c r="AO713" s="23" t="s">
        <v>54</v>
      </c>
      <c r="AP713" s="23" t="s">
        <v>54</v>
      </c>
      <c r="AQ713" s="23">
        <v>0.444444444444444</v>
      </c>
      <c r="AR713" s="37">
        <v>0</v>
      </c>
      <c r="AS713" s="37">
        <v>0</v>
      </c>
      <c r="AT713" s="37">
        <v>0</v>
      </c>
      <c r="AU713" s="33" t="str">
        <f t="shared" si="14"/>
        <v>库存为0</v>
      </c>
      <c r="AV713" s="38" t="str">
        <f>IFERROR(时间!$B$4+AU713,"上周无销量")</f>
        <v>上周无销量</v>
      </c>
    </row>
    <row r="714" spans="1:48">
      <c r="A714" s="21" t="s">
        <v>1576</v>
      </c>
      <c r="B714" t="s">
        <v>1577</v>
      </c>
      <c r="C714" t="s">
        <v>1545</v>
      </c>
      <c r="D714" s="33">
        <v>0</v>
      </c>
      <c r="E714" s="33">
        <v>2</v>
      </c>
      <c r="F714" s="33">
        <v>2</v>
      </c>
      <c r="G714" s="33">
        <v>1</v>
      </c>
      <c r="H714" s="34">
        <v>19.99</v>
      </c>
      <c r="I714">
        <v>0</v>
      </c>
      <c r="J714" s="35">
        <v>0</v>
      </c>
      <c r="K714" s="35">
        <v>0</v>
      </c>
      <c r="L714" s="35">
        <v>0</v>
      </c>
      <c r="M714">
        <v>0</v>
      </c>
      <c r="N714">
        <v>1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14</v>
      </c>
      <c r="AL714">
        <v>14</v>
      </c>
      <c r="AM714">
        <v>11</v>
      </c>
      <c r="AN714" s="23" t="s">
        <v>54</v>
      </c>
      <c r="AO714" s="23">
        <v>0.142857142857143</v>
      </c>
      <c r="AP714" s="23">
        <v>0.142857142857143</v>
      </c>
      <c r="AQ714" s="23">
        <v>0.0909090909090909</v>
      </c>
      <c r="AR714" s="37">
        <v>0</v>
      </c>
      <c r="AS714" s="37">
        <v>0</v>
      </c>
      <c r="AT714" s="37">
        <v>0</v>
      </c>
      <c r="AU714" s="33" t="str">
        <f t="shared" si="14"/>
        <v>库存为0</v>
      </c>
      <c r="AV714" s="38" t="str">
        <f>IFERROR(时间!$B$4+AU714,"上周无销量")</f>
        <v>上周无销量</v>
      </c>
    </row>
    <row r="715" spans="1:48">
      <c r="A715" s="21" t="s">
        <v>1578</v>
      </c>
      <c r="B715" t="s">
        <v>1579</v>
      </c>
      <c r="C715" t="s">
        <v>1545</v>
      </c>
      <c r="D715" s="33">
        <v>0</v>
      </c>
      <c r="E715" s="33">
        <v>3</v>
      </c>
      <c r="F715" s="33">
        <v>2</v>
      </c>
      <c r="G715" s="33">
        <v>3</v>
      </c>
      <c r="H715" s="34">
        <v>19.99</v>
      </c>
      <c r="I715">
        <v>0</v>
      </c>
      <c r="J715" s="35">
        <v>0</v>
      </c>
      <c r="K715" s="35">
        <v>0</v>
      </c>
      <c r="L715" s="35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4</v>
      </c>
      <c r="AL715">
        <v>4</v>
      </c>
      <c r="AM715">
        <v>6</v>
      </c>
      <c r="AN715" s="23" t="s">
        <v>54</v>
      </c>
      <c r="AO715" s="23">
        <v>0.75</v>
      </c>
      <c r="AP715" s="23">
        <v>0.5</v>
      </c>
      <c r="AQ715" s="23">
        <v>0.5</v>
      </c>
      <c r="AR715" s="37">
        <v>0</v>
      </c>
      <c r="AS715" s="37">
        <v>0</v>
      </c>
      <c r="AT715" s="37">
        <v>0</v>
      </c>
      <c r="AU715" s="33" t="str">
        <f t="shared" si="14"/>
        <v>库存为0</v>
      </c>
      <c r="AV715" s="38" t="str">
        <f>IFERROR(时间!$B$4+AU715,"上周无销量")</f>
        <v>上周无销量</v>
      </c>
    </row>
    <row r="716" spans="1:48">
      <c r="A716" s="21" t="s">
        <v>1580</v>
      </c>
      <c r="B716" t="s">
        <v>1581</v>
      </c>
      <c r="C716" t="s">
        <v>1582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7">
        <v>0</v>
      </c>
      <c r="AS716" s="37">
        <v>0</v>
      </c>
      <c r="AT716" s="37">
        <v>0</v>
      </c>
      <c r="AU716" s="33" t="str">
        <f t="shared" si="14"/>
        <v>库存为0</v>
      </c>
      <c r="AV716" s="38" t="str">
        <f>IFERROR(时间!$B$4+AU716,"上周无销量")</f>
        <v>上周无销量</v>
      </c>
    </row>
    <row r="717" spans="1:48">
      <c r="A717" s="21" t="s">
        <v>1583</v>
      </c>
      <c r="B717" t="s">
        <v>1584</v>
      </c>
      <c r="C717" t="s">
        <v>1582</v>
      </c>
      <c r="D717" s="33">
        <v>0</v>
      </c>
      <c r="E717" s="33">
        <v>0</v>
      </c>
      <c r="F717" s="33">
        <v>0</v>
      </c>
      <c r="G717" s="33">
        <v>0</v>
      </c>
      <c r="H717" s="34">
        <v>0</v>
      </c>
      <c r="I717">
        <v>0</v>
      </c>
      <c r="J717" s="35">
        <v>0</v>
      </c>
      <c r="K717" s="35">
        <v>0</v>
      </c>
      <c r="L717" s="35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s">
        <v>54</v>
      </c>
      <c r="AO717" s="23" t="s">
        <v>54</v>
      </c>
      <c r="AP717" s="23" t="s">
        <v>54</v>
      </c>
      <c r="AQ717" s="23" t="s">
        <v>54</v>
      </c>
      <c r="AR717" s="37">
        <v>0</v>
      </c>
      <c r="AS717" s="37">
        <v>0</v>
      </c>
      <c r="AT717" s="37">
        <v>0</v>
      </c>
      <c r="AU717" s="33" t="str">
        <f t="shared" si="14"/>
        <v>库存为0</v>
      </c>
      <c r="AV717" s="38" t="str">
        <f>IFERROR(时间!$B$4+AU717,"上周无销量")</f>
        <v>上周无销量</v>
      </c>
    </row>
    <row r="718" spans="1:48">
      <c r="A718" s="21" t="s">
        <v>1585</v>
      </c>
      <c r="B718" t="s">
        <v>1586</v>
      </c>
      <c r="C718" t="s">
        <v>1587</v>
      </c>
      <c r="D718" s="33">
        <v>0</v>
      </c>
      <c r="E718" s="33">
        <v>0</v>
      </c>
      <c r="F718" s="33">
        <v>0</v>
      </c>
      <c r="G718" s="33">
        <v>0</v>
      </c>
      <c r="H718" s="34">
        <v>0</v>
      </c>
      <c r="I718">
        <v>0</v>
      </c>
      <c r="J718" s="35">
        <v>0</v>
      </c>
      <c r="K718" s="35">
        <v>0</v>
      </c>
      <c r="L718" s="35">
        <v>0</v>
      </c>
      <c r="M718">
        <v>0</v>
      </c>
      <c r="N718">
        <v>1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s">
        <v>54</v>
      </c>
      <c r="AO718" s="23" t="s">
        <v>54</v>
      </c>
      <c r="AP718" s="23" t="s">
        <v>54</v>
      </c>
      <c r="AQ718" s="23" t="s">
        <v>54</v>
      </c>
      <c r="AR718" s="37">
        <v>0</v>
      </c>
      <c r="AS718" s="37">
        <v>0</v>
      </c>
      <c r="AT718" s="37">
        <v>0</v>
      </c>
      <c r="AU718" s="33" t="str">
        <f t="shared" si="14"/>
        <v>库存为0</v>
      </c>
      <c r="AV718" s="38" t="str">
        <f>IFERROR(时间!$B$4+AU718,"上周无销量")</f>
        <v>上周无销量</v>
      </c>
    </row>
    <row r="719" spans="1:48">
      <c r="A719" s="21" t="s">
        <v>1588</v>
      </c>
      <c r="B719" t="s">
        <v>1589</v>
      </c>
      <c r="C719" t="s">
        <v>1590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4</v>
      </c>
      <c r="J719" s="35">
        <v>0</v>
      </c>
      <c r="K719" s="35">
        <v>0</v>
      </c>
      <c r="L719" s="35">
        <v>0</v>
      </c>
      <c r="M719">
        <v>4</v>
      </c>
      <c r="N719">
        <v>0</v>
      </c>
      <c r="O719">
        <v>4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5</v>
      </c>
      <c r="AK719">
        <v>2</v>
      </c>
      <c r="AL719">
        <v>2</v>
      </c>
      <c r="AM719">
        <v>0</v>
      </c>
      <c r="AN719" s="23">
        <v>0</v>
      </c>
      <c r="AO719" s="23">
        <v>0</v>
      </c>
      <c r="AP719" s="23">
        <v>0</v>
      </c>
      <c r="AQ719" s="23" t="s">
        <v>54</v>
      </c>
      <c r="AR719" s="37">
        <v>0</v>
      </c>
      <c r="AS719" s="37">
        <v>0</v>
      </c>
      <c r="AT719" s="37">
        <v>4</v>
      </c>
      <c r="AU719" s="33" t="str">
        <f t="shared" si="14"/>
        <v>库存为4</v>
      </c>
      <c r="AV719" s="38" t="str">
        <f>IFERROR(时间!$B$4+AU719,"上周无销量")</f>
        <v>上周无销量</v>
      </c>
    </row>
    <row r="720" spans="1:48">
      <c r="A720" s="21" t="s">
        <v>1591</v>
      </c>
      <c r="B720" t="s">
        <v>1592</v>
      </c>
      <c r="C720" t="s">
        <v>1590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0</v>
      </c>
      <c r="J720" s="35">
        <v>0</v>
      </c>
      <c r="K720" s="35">
        <v>0</v>
      </c>
      <c r="L720" s="35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s">
        <v>54</v>
      </c>
      <c r="AO720" s="23" t="s">
        <v>54</v>
      </c>
      <c r="AP720" s="23" t="s">
        <v>54</v>
      </c>
      <c r="AQ720" s="23" t="s">
        <v>54</v>
      </c>
      <c r="AR720" s="37">
        <v>0</v>
      </c>
      <c r="AS720" s="37">
        <v>0</v>
      </c>
      <c r="AT720" s="37">
        <v>0</v>
      </c>
      <c r="AU720" s="33" t="str">
        <f t="shared" si="14"/>
        <v>库存为0</v>
      </c>
      <c r="AV720" s="38" t="str">
        <f>IFERROR(时间!$B$4+AU720,"上周无销量")</f>
        <v>上周无销量</v>
      </c>
    </row>
    <row r="721" spans="1:48">
      <c r="A721" s="21" t="s">
        <v>1593</v>
      </c>
      <c r="B721" t="s">
        <v>1594</v>
      </c>
      <c r="C721" t="s">
        <v>1590</v>
      </c>
      <c r="D721" s="33">
        <v>0</v>
      </c>
      <c r="E721" s="33">
        <v>0</v>
      </c>
      <c r="F721" s="33">
        <v>0</v>
      </c>
      <c r="G721" s="33">
        <v>0</v>
      </c>
      <c r="H721" s="34">
        <v>0</v>
      </c>
      <c r="I721">
        <v>1</v>
      </c>
      <c r="J721" s="35">
        <v>0</v>
      </c>
      <c r="K721" s="35">
        <v>0</v>
      </c>
      <c r="L721" s="35">
        <v>0</v>
      </c>
      <c r="M721">
        <v>1</v>
      </c>
      <c r="N721">
        <v>0</v>
      </c>
      <c r="O721">
        <v>1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5</v>
      </c>
      <c r="AK721">
        <v>1</v>
      </c>
      <c r="AL721">
        <v>1</v>
      </c>
      <c r="AM721">
        <v>0</v>
      </c>
      <c r="AN721" s="23">
        <v>0</v>
      </c>
      <c r="AO721" s="23">
        <v>0</v>
      </c>
      <c r="AP721" s="23">
        <v>0</v>
      </c>
      <c r="AQ721" s="23" t="s">
        <v>54</v>
      </c>
      <c r="AR721" s="37">
        <v>0</v>
      </c>
      <c r="AS721" s="37">
        <v>0</v>
      </c>
      <c r="AT721" s="37">
        <v>1</v>
      </c>
      <c r="AU721" s="33" t="str">
        <f t="shared" si="14"/>
        <v>库存为1</v>
      </c>
      <c r="AV721" s="38" t="str">
        <f>IFERROR(时间!$B$4+AU721,"上周无销量")</f>
        <v>上周无销量</v>
      </c>
    </row>
    <row r="722" spans="1:48">
      <c r="A722" s="21" t="s">
        <v>1595</v>
      </c>
      <c r="B722" t="s">
        <v>1596</v>
      </c>
      <c r="C722" t="s">
        <v>1590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0</v>
      </c>
      <c r="J722" s="35">
        <v>0</v>
      </c>
      <c r="K722" s="35">
        <v>0</v>
      </c>
      <c r="L722" s="35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s">
        <v>54</v>
      </c>
      <c r="AO722" s="23" t="s">
        <v>54</v>
      </c>
      <c r="AP722" s="23" t="s">
        <v>54</v>
      </c>
      <c r="AQ722" s="23" t="s">
        <v>54</v>
      </c>
      <c r="AR722" s="37">
        <v>0</v>
      </c>
      <c r="AS722" s="37">
        <v>0</v>
      </c>
      <c r="AT722" s="37">
        <v>0</v>
      </c>
      <c r="AU722" s="33" t="str">
        <f t="shared" si="14"/>
        <v>库存为0</v>
      </c>
      <c r="AV722" s="38" t="str">
        <f>IFERROR(时间!$B$4+AU722,"上周无销量")</f>
        <v>上周无销量</v>
      </c>
    </row>
    <row r="723" spans="1:48">
      <c r="A723" s="21" t="s">
        <v>1597</v>
      </c>
      <c r="B723" t="s">
        <v>1598</v>
      </c>
      <c r="C723" t="s">
        <v>1590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1</v>
      </c>
      <c r="J723" s="35">
        <v>0</v>
      </c>
      <c r="K723" s="35">
        <v>0</v>
      </c>
      <c r="L723" s="35">
        <v>0</v>
      </c>
      <c r="M723">
        <v>1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4</v>
      </c>
      <c r="AK723">
        <v>2</v>
      </c>
      <c r="AL723">
        <v>2</v>
      </c>
      <c r="AM723">
        <v>0</v>
      </c>
      <c r="AN723" s="23">
        <v>0</v>
      </c>
      <c r="AO723" s="23">
        <v>0</v>
      </c>
      <c r="AP723" s="23">
        <v>0</v>
      </c>
      <c r="AQ723" s="23" t="s">
        <v>54</v>
      </c>
      <c r="AR723" s="37">
        <v>0</v>
      </c>
      <c r="AS723" s="37">
        <v>0</v>
      </c>
      <c r="AT723" s="37">
        <v>1</v>
      </c>
      <c r="AU723" s="33" t="str">
        <f t="shared" si="14"/>
        <v>库存为1</v>
      </c>
      <c r="AV723" s="38" t="str">
        <f>IFERROR(时间!$B$4+AU723,"上周无销量")</f>
        <v>上周无销量</v>
      </c>
    </row>
    <row r="724" spans="1:48">
      <c r="A724" s="21" t="s">
        <v>1599</v>
      </c>
      <c r="B724" t="s">
        <v>1600</v>
      </c>
      <c r="C724" t="s">
        <v>1601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1</v>
      </c>
      <c r="J724" s="35">
        <v>0</v>
      </c>
      <c r="K724" s="35">
        <v>0</v>
      </c>
      <c r="L724" s="35">
        <v>0</v>
      </c>
      <c r="M724">
        <v>1</v>
      </c>
      <c r="N724">
        <v>1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3</v>
      </c>
      <c r="AK724">
        <v>1</v>
      </c>
      <c r="AL724">
        <v>1</v>
      </c>
      <c r="AM724">
        <v>0</v>
      </c>
      <c r="AN724" s="23">
        <v>0</v>
      </c>
      <c r="AO724" s="23">
        <v>0</v>
      </c>
      <c r="AP724" s="23">
        <v>0</v>
      </c>
      <c r="AQ724" s="23" t="s">
        <v>54</v>
      </c>
      <c r="AR724" s="37">
        <v>0</v>
      </c>
      <c r="AS724" s="37">
        <v>0</v>
      </c>
      <c r="AT724" s="37">
        <v>1</v>
      </c>
      <c r="AU724" s="33" t="str">
        <f t="shared" si="14"/>
        <v>库存为1</v>
      </c>
      <c r="AV724" s="38" t="str">
        <f>IFERROR(时间!$B$4+AU724,"上周无销量")</f>
        <v>上周无销量</v>
      </c>
    </row>
    <row r="725" spans="1:48">
      <c r="A725" s="21" t="s">
        <v>1602</v>
      </c>
      <c r="B725" t="s">
        <v>1603</v>
      </c>
      <c r="C725" t="s">
        <v>1604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13</v>
      </c>
      <c r="J725" s="35">
        <v>0</v>
      </c>
      <c r="K725" s="35">
        <v>0</v>
      </c>
      <c r="L725" s="35">
        <v>0</v>
      </c>
      <c r="M725">
        <v>13</v>
      </c>
      <c r="N725">
        <v>0</v>
      </c>
      <c r="O725">
        <v>10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7">
        <v>0</v>
      </c>
      <c r="AS725" s="37">
        <v>0</v>
      </c>
      <c r="AT725" s="37">
        <v>13</v>
      </c>
      <c r="AU725" s="33" t="str">
        <f t="shared" si="14"/>
        <v>库存为13</v>
      </c>
      <c r="AV725" s="38" t="str">
        <f>IFERROR(时间!$B$4+AU725,"上周无销量")</f>
        <v>上周无销量</v>
      </c>
    </row>
    <row r="726" spans="1:48">
      <c r="A726" s="21" t="s">
        <v>1605</v>
      </c>
      <c r="B726" t="s">
        <v>1606</v>
      </c>
      <c r="C726" t="s">
        <v>1604</v>
      </c>
      <c r="D726" s="33">
        <v>3</v>
      </c>
      <c r="E726" s="33">
        <v>0</v>
      </c>
      <c r="F726" s="33">
        <v>2</v>
      </c>
      <c r="G726" s="33">
        <v>0</v>
      </c>
      <c r="H726" s="34">
        <v>13.99</v>
      </c>
      <c r="I726">
        <v>9</v>
      </c>
      <c r="J726" s="35">
        <v>0</v>
      </c>
      <c r="K726" s="35">
        <v>0</v>
      </c>
      <c r="L726" s="35">
        <v>0</v>
      </c>
      <c r="M726">
        <v>9</v>
      </c>
      <c r="N726">
        <v>0</v>
      </c>
      <c r="O726">
        <v>2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16</v>
      </c>
      <c r="AK726">
        <v>10</v>
      </c>
      <c r="AL726">
        <v>10</v>
      </c>
      <c r="AM726">
        <v>0</v>
      </c>
      <c r="AN726" s="23">
        <v>0.1875</v>
      </c>
      <c r="AO726" s="23">
        <v>0</v>
      </c>
      <c r="AP726" s="23">
        <v>0.2</v>
      </c>
      <c r="AQ726" s="23" t="s">
        <v>54</v>
      </c>
      <c r="AR726" s="37">
        <v>0.428571428571429</v>
      </c>
      <c r="AS726" s="37">
        <v>25.7142857142857</v>
      </c>
      <c r="AT726" s="37">
        <v>-16.7142857142857</v>
      </c>
      <c r="AU726" s="33">
        <f t="shared" si="14"/>
        <v>21</v>
      </c>
      <c r="AV726" s="38">
        <f>IFERROR(时间!$B$4+AU726,"上周无销量")</f>
        <v>43311</v>
      </c>
    </row>
    <row r="727" spans="1:48">
      <c r="A727" s="21" t="s">
        <v>1607</v>
      </c>
      <c r="B727" t="s">
        <v>1608</v>
      </c>
      <c r="C727" t="s">
        <v>1604</v>
      </c>
      <c r="D727" s="33">
        <v>1</v>
      </c>
      <c r="E727" s="33">
        <v>1</v>
      </c>
      <c r="F727" s="33">
        <v>1</v>
      </c>
      <c r="G727" s="33">
        <v>2</v>
      </c>
      <c r="H727" s="34">
        <v>15.99</v>
      </c>
      <c r="I727">
        <v>0</v>
      </c>
      <c r="J727" s="35">
        <v>0</v>
      </c>
      <c r="K727" s="35">
        <v>0</v>
      </c>
      <c r="L727" s="35">
        <v>0</v>
      </c>
      <c r="M727">
        <v>0</v>
      </c>
      <c r="N727">
        <v>3</v>
      </c>
      <c r="O727">
        <v>0</v>
      </c>
      <c r="P727">
        <v>484</v>
      </c>
      <c r="Q727">
        <v>2883</v>
      </c>
      <c r="R727">
        <v>9196</v>
      </c>
      <c r="S727">
        <v>9956</v>
      </c>
      <c r="T727">
        <v>5</v>
      </c>
      <c r="U727">
        <v>43</v>
      </c>
      <c r="V727">
        <v>56</v>
      </c>
      <c r="W727">
        <v>43</v>
      </c>
      <c r="X727" s="23">
        <v>0.0103305785123967</v>
      </c>
      <c r="Y727" s="23">
        <v>0.01491501907735</v>
      </c>
      <c r="Z727" s="23">
        <v>0.00608960417572858</v>
      </c>
      <c r="AA727" s="23">
        <v>0.00431900361591</v>
      </c>
      <c r="AB727">
        <v>0.68</v>
      </c>
      <c r="AC727">
        <v>7.66</v>
      </c>
      <c r="AD727">
        <v>10.4</v>
      </c>
      <c r="AE727">
        <v>8.51</v>
      </c>
      <c r="AF727" s="23">
        <v>0.042526579111945</v>
      </c>
      <c r="AG727" s="23">
        <v>0.479049405878674</v>
      </c>
      <c r="AH727" s="23">
        <v>0.650406504065041</v>
      </c>
      <c r="AI727" s="23">
        <v>0.266103814884303</v>
      </c>
      <c r="AJ727">
        <v>0</v>
      </c>
      <c r="AK727">
        <v>23</v>
      </c>
      <c r="AL727">
        <v>23</v>
      </c>
      <c r="AM727">
        <v>56</v>
      </c>
      <c r="AN727" s="23" t="s">
        <v>54</v>
      </c>
      <c r="AO727" s="23">
        <v>0.0434782608695652</v>
      </c>
      <c r="AP727" s="23">
        <v>0.0434782608695652</v>
      </c>
      <c r="AQ727" s="23">
        <v>0.0357142857142857</v>
      </c>
      <c r="AR727" s="37">
        <v>0.142857142857143</v>
      </c>
      <c r="AS727" s="37">
        <v>8.57142857142857</v>
      </c>
      <c r="AT727" s="37">
        <v>-8.57142857142857</v>
      </c>
      <c r="AU727" s="33">
        <f t="shared" si="14"/>
        <v>0</v>
      </c>
      <c r="AV727" s="38">
        <f>IFERROR(时间!$B$4+AU727,"上周无销量")</f>
        <v>43290</v>
      </c>
    </row>
    <row r="728" spans="1:48">
      <c r="A728" s="21" t="s">
        <v>1609</v>
      </c>
      <c r="B728" t="s">
        <v>1610</v>
      </c>
      <c r="C728" t="s">
        <v>1611</v>
      </c>
      <c r="D728" s="33">
        <v>0</v>
      </c>
      <c r="E728" s="33">
        <v>0</v>
      </c>
      <c r="F728" s="33">
        <v>0</v>
      </c>
      <c r="G728" s="33">
        <v>0</v>
      </c>
      <c r="H728" s="34">
        <v>0</v>
      </c>
      <c r="I728">
        <v>0</v>
      </c>
      <c r="J728" s="35">
        <v>0</v>
      </c>
      <c r="K728" s="35">
        <v>0</v>
      </c>
      <c r="L728" s="35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7">
        <v>0</v>
      </c>
      <c r="AS728" s="37">
        <v>0</v>
      </c>
      <c r="AT728" s="37">
        <v>0</v>
      </c>
      <c r="AU728" s="33" t="str">
        <f t="shared" si="14"/>
        <v>库存为0</v>
      </c>
      <c r="AV728" s="38" t="str">
        <f>IFERROR(时间!$B$4+AU728,"上周无销量")</f>
        <v>上周无销量</v>
      </c>
    </row>
    <row r="729" spans="1:48">
      <c r="A729" s="21" t="s">
        <v>1612</v>
      </c>
      <c r="B729" t="s">
        <v>1613</v>
      </c>
      <c r="C729" t="s">
        <v>1611</v>
      </c>
      <c r="D729" s="33">
        <v>0</v>
      </c>
      <c r="E729" s="33">
        <v>0</v>
      </c>
      <c r="F729" s="33">
        <v>0</v>
      </c>
      <c r="G729" s="33">
        <v>0</v>
      </c>
      <c r="H729" s="34">
        <v>0</v>
      </c>
      <c r="I729">
        <v>2</v>
      </c>
      <c r="J729" s="35">
        <v>0</v>
      </c>
      <c r="K729" s="35">
        <v>0</v>
      </c>
      <c r="L729" s="35">
        <v>0</v>
      </c>
      <c r="M729">
        <v>2</v>
      </c>
      <c r="N729">
        <v>0</v>
      </c>
      <c r="O729">
        <v>2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3</v>
      </c>
      <c r="AK729">
        <v>10</v>
      </c>
      <c r="AL729">
        <v>10</v>
      </c>
      <c r="AM729">
        <v>4</v>
      </c>
      <c r="AN729" s="23">
        <v>0</v>
      </c>
      <c r="AO729" s="23">
        <v>0</v>
      </c>
      <c r="AP729" s="23">
        <v>0</v>
      </c>
      <c r="AQ729" s="23">
        <v>0</v>
      </c>
      <c r="AR729" s="37">
        <v>0</v>
      </c>
      <c r="AS729" s="37">
        <v>0</v>
      </c>
      <c r="AT729" s="37">
        <v>2</v>
      </c>
      <c r="AU729" s="33" t="str">
        <f t="shared" si="14"/>
        <v>库存为2</v>
      </c>
      <c r="AV729" s="38" t="str">
        <f>IFERROR(时间!$B$4+AU729,"上周无销量")</f>
        <v>上周无销量</v>
      </c>
    </row>
    <row r="730" spans="1:48">
      <c r="A730" s="21" t="s">
        <v>1614</v>
      </c>
      <c r="B730" t="s">
        <v>1615</v>
      </c>
      <c r="C730" t="s">
        <v>1611</v>
      </c>
      <c r="D730" s="33">
        <v>0</v>
      </c>
      <c r="E730" s="33">
        <v>0</v>
      </c>
      <c r="F730" s="33">
        <v>0</v>
      </c>
      <c r="G730" s="33">
        <v>0</v>
      </c>
      <c r="H730" s="34">
        <v>0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1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1616</v>
      </c>
      <c r="B731" t="s">
        <v>1617</v>
      </c>
      <c r="C731" t="s">
        <v>1618</v>
      </c>
      <c r="D731" s="33">
        <v>0</v>
      </c>
      <c r="E731" s="33">
        <v>0</v>
      </c>
      <c r="F731" s="33">
        <v>0</v>
      </c>
      <c r="G731" s="33">
        <v>0</v>
      </c>
      <c r="H731" s="34">
        <v>0</v>
      </c>
      <c r="I731">
        <v>0</v>
      </c>
      <c r="J731" s="35">
        <v>0</v>
      </c>
      <c r="K731" s="35">
        <v>0</v>
      </c>
      <c r="L731" s="35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s">
        <v>54</v>
      </c>
      <c r="AO731" s="23" t="s">
        <v>54</v>
      </c>
      <c r="AP731" s="23" t="s">
        <v>54</v>
      </c>
      <c r="AQ731" s="23" t="s">
        <v>54</v>
      </c>
      <c r="AR731" s="37">
        <v>0</v>
      </c>
      <c r="AS731" s="37">
        <v>0</v>
      </c>
      <c r="AT731" s="37">
        <v>0</v>
      </c>
      <c r="AU731" s="33" t="str">
        <f t="shared" si="14"/>
        <v>库存为0</v>
      </c>
      <c r="AV731" s="38" t="str">
        <f>IFERROR(时间!$B$4+AU731,"上周无销量")</f>
        <v>上周无销量</v>
      </c>
    </row>
    <row r="732" spans="1:48">
      <c r="A732" s="21" t="s">
        <v>1619</v>
      </c>
      <c r="B732" t="s">
        <v>1620</v>
      </c>
      <c r="C732" t="s">
        <v>1621</v>
      </c>
      <c r="D732" s="33">
        <v>0</v>
      </c>
      <c r="E732" s="33">
        <v>0</v>
      </c>
      <c r="F732" s="33">
        <v>0</v>
      </c>
      <c r="G732" s="33">
        <v>0</v>
      </c>
      <c r="H732" s="34">
        <v>0</v>
      </c>
      <c r="I732">
        <v>1</v>
      </c>
      <c r="J732" s="35">
        <v>0</v>
      </c>
      <c r="K732" s="35">
        <v>0</v>
      </c>
      <c r="L732" s="35">
        <v>0</v>
      </c>
      <c r="M732">
        <v>1</v>
      </c>
      <c r="N732">
        <v>0</v>
      </c>
      <c r="O732">
        <v>1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6</v>
      </c>
      <c r="AK732">
        <v>0</v>
      </c>
      <c r="AL732">
        <v>0</v>
      </c>
      <c r="AM732">
        <v>3</v>
      </c>
      <c r="AN732" s="23">
        <v>0</v>
      </c>
      <c r="AO732" s="23" t="s">
        <v>54</v>
      </c>
      <c r="AP732" s="23" t="s">
        <v>54</v>
      </c>
      <c r="AQ732" s="23">
        <v>0</v>
      </c>
      <c r="AR732" s="37">
        <v>0</v>
      </c>
      <c r="AS732" s="37">
        <v>0</v>
      </c>
      <c r="AT732" s="37">
        <v>1</v>
      </c>
      <c r="AU732" s="33" t="str">
        <f t="shared" si="14"/>
        <v>库存为1</v>
      </c>
      <c r="AV732" s="38" t="str">
        <f>IFERROR(时间!$B$4+AU732,"上周无销量")</f>
        <v>上周无销量</v>
      </c>
    </row>
    <row r="733" spans="1:48">
      <c r="A733" s="21" t="s">
        <v>1622</v>
      </c>
      <c r="B733" t="s">
        <v>1623</v>
      </c>
      <c r="C733" t="s">
        <v>1624</v>
      </c>
      <c r="D733" s="33">
        <v>0</v>
      </c>
      <c r="E733" s="33">
        <v>0</v>
      </c>
      <c r="F733" s="33">
        <v>0</v>
      </c>
      <c r="G733" s="33">
        <v>0</v>
      </c>
      <c r="H733" s="34">
        <v>0</v>
      </c>
      <c r="I733">
        <v>0</v>
      </c>
      <c r="J733" s="35">
        <v>0</v>
      </c>
      <c r="K733" s="35">
        <v>0</v>
      </c>
      <c r="L733" s="35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s">
        <v>54</v>
      </c>
      <c r="AO733" s="23" t="s">
        <v>54</v>
      </c>
      <c r="AP733" s="23" t="s">
        <v>54</v>
      </c>
      <c r="AQ733" s="23" t="s">
        <v>54</v>
      </c>
      <c r="AR733" s="37">
        <v>0</v>
      </c>
      <c r="AS733" s="37">
        <v>0</v>
      </c>
      <c r="AT733" s="37">
        <v>0</v>
      </c>
      <c r="AU733" s="33" t="str">
        <f t="shared" si="14"/>
        <v>库存为0</v>
      </c>
      <c r="AV733" s="38" t="str">
        <f>IFERROR(时间!$B$4+AU733,"上周无销量")</f>
        <v>上周无销量</v>
      </c>
    </row>
    <row r="734" spans="1:48">
      <c r="A734" s="21" t="s">
        <v>1625</v>
      </c>
      <c r="B734" t="s">
        <v>1626</v>
      </c>
      <c r="C734" t="s">
        <v>1624</v>
      </c>
      <c r="D734" s="33">
        <v>0</v>
      </c>
      <c r="E734" s="33">
        <v>0</v>
      </c>
      <c r="F734" s="33">
        <v>0</v>
      </c>
      <c r="G734" s="33">
        <v>0</v>
      </c>
      <c r="H734" s="34">
        <v>0</v>
      </c>
      <c r="I734">
        <v>1</v>
      </c>
      <c r="J734" s="35">
        <v>0</v>
      </c>
      <c r="K734" s="35">
        <v>0</v>
      </c>
      <c r="L734" s="35">
        <v>0</v>
      </c>
      <c r="M734">
        <v>1</v>
      </c>
      <c r="N734">
        <v>0</v>
      </c>
      <c r="O734">
        <v>1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7">
        <v>0</v>
      </c>
      <c r="AS734" s="37">
        <v>0</v>
      </c>
      <c r="AT734" s="37">
        <v>1</v>
      </c>
      <c r="AU734" s="33" t="str">
        <f t="shared" si="14"/>
        <v>库存为1</v>
      </c>
      <c r="AV734" s="38" t="str">
        <f>IFERROR(时间!$B$4+AU734,"上周无销量")</f>
        <v>上周无销量</v>
      </c>
    </row>
    <row r="735" spans="1:48">
      <c r="A735" s="21" t="s">
        <v>1627</v>
      </c>
      <c r="B735" t="s">
        <v>1628</v>
      </c>
      <c r="C735" t="s">
        <v>1624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6</v>
      </c>
      <c r="J735" s="35">
        <v>0</v>
      </c>
      <c r="K735" s="35">
        <v>0</v>
      </c>
      <c r="L735" s="35">
        <v>0</v>
      </c>
      <c r="M735">
        <v>6</v>
      </c>
      <c r="N735">
        <v>0</v>
      </c>
      <c r="O735">
        <v>6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7">
        <v>0</v>
      </c>
      <c r="AS735" s="37">
        <v>0</v>
      </c>
      <c r="AT735" s="37">
        <v>6</v>
      </c>
      <c r="AU735" s="33" t="str">
        <f t="shared" si="14"/>
        <v>库存为6</v>
      </c>
      <c r="AV735" s="38" t="str">
        <f>IFERROR(时间!$B$4+AU735,"上周无销量")</f>
        <v>上周无销量</v>
      </c>
    </row>
    <row r="736" spans="1:48">
      <c r="A736" s="21" t="s">
        <v>1629</v>
      </c>
      <c r="B736" t="s">
        <v>1630</v>
      </c>
      <c r="C736" t="s">
        <v>1624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4</v>
      </c>
      <c r="J736" s="35">
        <v>0</v>
      </c>
      <c r="K736" s="35">
        <v>0</v>
      </c>
      <c r="L736" s="35">
        <v>0</v>
      </c>
      <c r="M736">
        <v>4</v>
      </c>
      <c r="N736">
        <v>0</v>
      </c>
      <c r="O736">
        <v>3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7">
        <v>0</v>
      </c>
      <c r="AS736" s="37">
        <v>0</v>
      </c>
      <c r="AT736" s="37">
        <v>4</v>
      </c>
      <c r="AU736" s="33" t="str">
        <f t="shared" si="14"/>
        <v>库存为4</v>
      </c>
      <c r="AV736" s="38" t="str">
        <f>IFERROR(时间!$B$4+AU736,"上周无销量")</f>
        <v>上周无销量</v>
      </c>
    </row>
    <row r="737" spans="1:48">
      <c r="A737" s="21" t="s">
        <v>1631</v>
      </c>
      <c r="B737" t="s">
        <v>1632</v>
      </c>
      <c r="C737" t="s">
        <v>1624</v>
      </c>
      <c r="D737" s="33">
        <v>0</v>
      </c>
      <c r="E737" s="33">
        <v>0</v>
      </c>
      <c r="F737" s="33">
        <v>0</v>
      </c>
      <c r="G737" s="33">
        <v>0</v>
      </c>
      <c r="H737" s="34">
        <v>0</v>
      </c>
      <c r="I737">
        <v>1</v>
      </c>
      <c r="J737" s="35">
        <v>0</v>
      </c>
      <c r="K737" s="35">
        <v>0</v>
      </c>
      <c r="L737" s="35">
        <v>0</v>
      </c>
      <c r="M737">
        <v>1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s">
        <v>54</v>
      </c>
      <c r="AO737" s="23" t="s">
        <v>54</v>
      </c>
      <c r="AP737" s="23" t="s">
        <v>54</v>
      </c>
      <c r="AQ737" s="23" t="s">
        <v>54</v>
      </c>
      <c r="AR737" s="37">
        <v>0</v>
      </c>
      <c r="AS737" s="37">
        <v>0</v>
      </c>
      <c r="AT737" s="37">
        <v>1</v>
      </c>
      <c r="AU737" s="33" t="str">
        <f t="shared" si="14"/>
        <v>库存为1</v>
      </c>
      <c r="AV737" s="38" t="str">
        <f>IFERROR(时间!$B$4+AU737,"上周无销量")</f>
        <v>上周无销量</v>
      </c>
    </row>
    <row r="738" spans="1:48">
      <c r="A738" s="21" t="s">
        <v>1633</v>
      </c>
      <c r="B738" t="s">
        <v>1634</v>
      </c>
      <c r="C738" t="s">
        <v>1624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6</v>
      </c>
      <c r="J738" s="35">
        <v>0</v>
      </c>
      <c r="K738" s="35">
        <v>0</v>
      </c>
      <c r="L738" s="35">
        <v>0</v>
      </c>
      <c r="M738">
        <v>6</v>
      </c>
      <c r="N738">
        <v>0</v>
      </c>
      <c r="O738">
        <v>6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7">
        <v>0</v>
      </c>
      <c r="AS738" s="37">
        <v>0</v>
      </c>
      <c r="AT738" s="37">
        <v>6</v>
      </c>
      <c r="AU738" s="33" t="str">
        <f t="shared" si="14"/>
        <v>库存为6</v>
      </c>
      <c r="AV738" s="38" t="str">
        <f>IFERROR(时间!$B$4+AU738,"上周无销量")</f>
        <v>上周无销量</v>
      </c>
    </row>
    <row r="739" spans="1:48">
      <c r="A739" s="21" t="s">
        <v>1635</v>
      </c>
      <c r="B739" t="s">
        <v>1636</v>
      </c>
      <c r="C739" t="s">
        <v>1624</v>
      </c>
      <c r="D739" s="33">
        <v>0</v>
      </c>
      <c r="E739" s="33">
        <v>0</v>
      </c>
      <c r="F739" s="33">
        <v>0</v>
      </c>
      <c r="G739" s="33">
        <v>0</v>
      </c>
      <c r="H739" s="34">
        <v>0</v>
      </c>
      <c r="I739">
        <v>11</v>
      </c>
      <c r="J739" s="35">
        <v>0</v>
      </c>
      <c r="K739" s="35">
        <v>0</v>
      </c>
      <c r="L739" s="35">
        <v>0</v>
      </c>
      <c r="M739">
        <v>11</v>
      </c>
      <c r="N739">
        <v>0</v>
      </c>
      <c r="O739">
        <v>11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s">
        <v>54</v>
      </c>
      <c r="AO739" s="23" t="s">
        <v>54</v>
      </c>
      <c r="AP739" s="23" t="s">
        <v>54</v>
      </c>
      <c r="AQ739" s="23" t="s">
        <v>54</v>
      </c>
      <c r="AR739" s="37">
        <v>0</v>
      </c>
      <c r="AS739" s="37">
        <v>0</v>
      </c>
      <c r="AT739" s="37">
        <v>11</v>
      </c>
      <c r="AU739" s="33" t="str">
        <f t="shared" si="14"/>
        <v>库存为11</v>
      </c>
      <c r="AV739" s="38" t="str">
        <f>IFERROR(时间!$B$4+AU739,"上周无销量")</f>
        <v>上周无销量</v>
      </c>
    </row>
    <row r="740" spans="1:48">
      <c r="A740" s="21" t="s">
        <v>1637</v>
      </c>
      <c r="B740" t="s">
        <v>1638</v>
      </c>
      <c r="C740" t="s">
        <v>1639</v>
      </c>
      <c r="D740" s="33">
        <v>3</v>
      </c>
      <c r="E740" s="33">
        <v>0</v>
      </c>
      <c r="F740" s="33">
        <v>2</v>
      </c>
      <c r="G740" s="33">
        <v>0</v>
      </c>
      <c r="H740" s="34">
        <v>19.99</v>
      </c>
      <c r="I740">
        <v>6</v>
      </c>
      <c r="J740" s="35">
        <v>0</v>
      </c>
      <c r="K740" s="35">
        <v>0</v>
      </c>
      <c r="L740" s="35">
        <v>0</v>
      </c>
      <c r="M740">
        <v>6</v>
      </c>
      <c r="N740">
        <v>0</v>
      </c>
      <c r="O740">
        <v>0</v>
      </c>
      <c r="P740">
        <v>6930</v>
      </c>
      <c r="Q740">
        <v>3268</v>
      </c>
      <c r="R740">
        <v>2540</v>
      </c>
      <c r="S740">
        <v>1326</v>
      </c>
      <c r="T740">
        <v>45</v>
      </c>
      <c r="U740">
        <v>19</v>
      </c>
      <c r="V740">
        <v>12</v>
      </c>
      <c r="W740">
        <v>6</v>
      </c>
      <c r="X740" s="23">
        <v>0.00649350649350649</v>
      </c>
      <c r="Y740" s="23">
        <v>0.00581395348837209</v>
      </c>
      <c r="Z740" s="23">
        <v>0.0047244094488189</v>
      </c>
      <c r="AA740" s="23">
        <v>0.00452488687782805</v>
      </c>
      <c r="AB740">
        <v>12.1</v>
      </c>
      <c r="AC740">
        <v>5.1</v>
      </c>
      <c r="AD740">
        <v>3.61</v>
      </c>
      <c r="AE740">
        <v>1.61</v>
      </c>
      <c r="AF740" s="23">
        <v>0.201767550441888</v>
      </c>
      <c r="AG740" s="23">
        <v>0</v>
      </c>
      <c r="AH740" s="23">
        <v>0.0902951475737869</v>
      </c>
      <c r="AI740" s="23">
        <v>0</v>
      </c>
      <c r="AJ740">
        <v>22</v>
      </c>
      <c r="AK740">
        <v>10</v>
      </c>
      <c r="AL740">
        <v>10</v>
      </c>
      <c r="AM740">
        <v>3</v>
      </c>
      <c r="AN740" s="23">
        <v>0.136363636363636</v>
      </c>
      <c r="AO740" s="23">
        <v>0</v>
      </c>
      <c r="AP740" s="23">
        <v>0.2</v>
      </c>
      <c r="AQ740" s="23">
        <v>0</v>
      </c>
      <c r="AR740" s="37">
        <v>0.428571428571429</v>
      </c>
      <c r="AS740" s="37">
        <v>25.7142857142857</v>
      </c>
      <c r="AT740" s="37">
        <v>-19.7142857142857</v>
      </c>
      <c r="AU740" s="33">
        <f t="shared" si="14"/>
        <v>14</v>
      </c>
      <c r="AV740" s="38">
        <f>IFERROR(时间!$B$4+AU740,"上周无销量")</f>
        <v>43304</v>
      </c>
    </row>
    <row r="741" spans="1:48">
      <c r="A741" s="21" t="s">
        <v>1640</v>
      </c>
      <c r="B741" t="s">
        <v>1641</v>
      </c>
      <c r="C741" t="s">
        <v>1639</v>
      </c>
      <c r="D741" s="33">
        <v>0</v>
      </c>
      <c r="E741" s="33">
        <v>0</v>
      </c>
      <c r="F741" s="33">
        <v>0</v>
      </c>
      <c r="G741" s="33">
        <v>0</v>
      </c>
      <c r="H741" s="34">
        <v>0</v>
      </c>
      <c r="I741">
        <v>0</v>
      </c>
      <c r="J741" s="35">
        <v>10</v>
      </c>
      <c r="K741" s="35">
        <v>0</v>
      </c>
      <c r="L741" s="35">
        <v>0</v>
      </c>
      <c r="M741">
        <v>10</v>
      </c>
      <c r="N741">
        <v>1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s">
        <v>54</v>
      </c>
      <c r="AO741" s="23" t="s">
        <v>54</v>
      </c>
      <c r="AP741" s="23" t="s">
        <v>54</v>
      </c>
      <c r="AQ741" s="23" t="s">
        <v>54</v>
      </c>
      <c r="AR741" s="37">
        <v>0</v>
      </c>
      <c r="AS741" s="37">
        <v>0</v>
      </c>
      <c r="AT741" s="37">
        <v>10</v>
      </c>
      <c r="AU741" s="33" t="str">
        <f t="shared" si="14"/>
        <v>库存为10</v>
      </c>
      <c r="AV741" s="38" t="str">
        <f>IFERROR(时间!$B$4+AU741,"上周无销量")</f>
        <v>上周无销量</v>
      </c>
    </row>
    <row r="742" spans="1:48">
      <c r="A742" s="21" t="s">
        <v>1642</v>
      </c>
      <c r="B742" t="s">
        <v>1643</v>
      </c>
      <c r="C742" t="s">
        <v>1639</v>
      </c>
      <c r="D742" s="33">
        <v>3</v>
      </c>
      <c r="E742" s="33">
        <v>2</v>
      </c>
      <c r="F742" s="33">
        <v>1</v>
      </c>
      <c r="G742" s="33">
        <v>2</v>
      </c>
      <c r="H742" s="34">
        <v>19.99</v>
      </c>
      <c r="I742">
        <v>10</v>
      </c>
      <c r="J742" s="35">
        <v>0</v>
      </c>
      <c r="K742" s="35">
        <v>0</v>
      </c>
      <c r="L742" s="35">
        <v>0</v>
      </c>
      <c r="M742">
        <v>10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12</v>
      </c>
      <c r="AK742">
        <v>2</v>
      </c>
      <c r="AL742">
        <v>2</v>
      </c>
      <c r="AM742">
        <v>2</v>
      </c>
      <c r="AN742" s="23">
        <v>0.25</v>
      </c>
      <c r="AO742" s="23">
        <v>1</v>
      </c>
      <c r="AP742" s="23">
        <v>0.5</v>
      </c>
      <c r="AQ742" s="23">
        <v>1</v>
      </c>
      <c r="AR742" s="37">
        <v>0.428571428571429</v>
      </c>
      <c r="AS742" s="37">
        <v>25.7142857142857</v>
      </c>
      <c r="AT742" s="37">
        <v>-15.7142857142857</v>
      </c>
      <c r="AU742" s="33">
        <f t="shared" si="14"/>
        <v>23</v>
      </c>
      <c r="AV742" s="38">
        <f>IFERROR(时间!$B$4+AU742,"上周无销量")</f>
        <v>43313</v>
      </c>
    </row>
    <row r="743" spans="1:48">
      <c r="A743" s="21" t="s">
        <v>1644</v>
      </c>
      <c r="B743" t="s">
        <v>1645</v>
      </c>
      <c r="C743" t="s">
        <v>1639</v>
      </c>
      <c r="D743" s="33">
        <v>8</v>
      </c>
      <c r="E743" s="33">
        <v>3</v>
      </c>
      <c r="F743" s="33">
        <v>4</v>
      </c>
      <c r="G743" s="33">
        <v>2</v>
      </c>
      <c r="H743" s="34">
        <v>19.99</v>
      </c>
      <c r="I743">
        <v>0</v>
      </c>
      <c r="J743" s="35">
        <v>0</v>
      </c>
      <c r="K743" s="35">
        <v>0</v>
      </c>
      <c r="L743" s="35">
        <v>0</v>
      </c>
      <c r="M743">
        <v>0</v>
      </c>
      <c r="N743">
        <v>1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23</v>
      </c>
      <c r="AK743">
        <v>18</v>
      </c>
      <c r="AL743">
        <v>18</v>
      </c>
      <c r="AM743">
        <v>4</v>
      </c>
      <c r="AN743" s="23">
        <v>0.347826086956522</v>
      </c>
      <c r="AO743" s="23">
        <v>0.166666666666667</v>
      </c>
      <c r="AP743" s="23">
        <v>0.222222222222222</v>
      </c>
      <c r="AQ743" s="23">
        <v>0.5</v>
      </c>
      <c r="AR743" s="37">
        <v>1.14285714285714</v>
      </c>
      <c r="AS743" s="37">
        <v>68.5714285714286</v>
      </c>
      <c r="AT743" s="37">
        <v>-68.5714285714286</v>
      </c>
      <c r="AU743" s="33">
        <f t="shared" si="14"/>
        <v>0</v>
      </c>
      <c r="AV743" s="38">
        <f>IFERROR(时间!$B$4+AU743,"上周无销量")</f>
        <v>43290</v>
      </c>
    </row>
    <row r="744" spans="1:48">
      <c r="A744" s="21" t="s">
        <v>1646</v>
      </c>
      <c r="B744" t="s">
        <v>1647</v>
      </c>
      <c r="C744" t="s">
        <v>1639</v>
      </c>
      <c r="D744" s="33">
        <v>0</v>
      </c>
      <c r="E744" s="33">
        <v>4</v>
      </c>
      <c r="F744" s="33">
        <v>3</v>
      </c>
      <c r="G744" s="33">
        <v>3</v>
      </c>
      <c r="H744" s="34">
        <v>14.99</v>
      </c>
      <c r="I744">
        <v>0</v>
      </c>
      <c r="J744" s="35">
        <v>5</v>
      </c>
      <c r="K744" s="35">
        <v>0</v>
      </c>
      <c r="L744" s="35">
        <v>1</v>
      </c>
      <c r="M744">
        <v>6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24</v>
      </c>
      <c r="AL744">
        <v>24</v>
      </c>
      <c r="AM744">
        <v>9</v>
      </c>
      <c r="AN744" s="23" t="s">
        <v>54</v>
      </c>
      <c r="AO744" s="23">
        <v>0.166666666666667</v>
      </c>
      <c r="AP744" s="23">
        <v>0.125</v>
      </c>
      <c r="AQ744" s="23">
        <v>0.333333333333333</v>
      </c>
      <c r="AR744" s="37">
        <v>0</v>
      </c>
      <c r="AS744" s="37">
        <v>0</v>
      </c>
      <c r="AT744" s="37">
        <v>6</v>
      </c>
      <c r="AU744" s="33" t="str">
        <f t="shared" si="14"/>
        <v>库存为6</v>
      </c>
      <c r="AV744" s="38" t="str">
        <f>IFERROR(时间!$B$4+AU744,"上周无销量")</f>
        <v>上周无销量</v>
      </c>
    </row>
    <row r="745" spans="1:48">
      <c r="A745" s="21" t="s">
        <v>1648</v>
      </c>
      <c r="B745" t="s">
        <v>1649</v>
      </c>
      <c r="C745" t="s">
        <v>1639</v>
      </c>
      <c r="D745" s="33">
        <v>1</v>
      </c>
      <c r="E745" s="33">
        <v>0</v>
      </c>
      <c r="F745" s="33">
        <v>1</v>
      </c>
      <c r="G745" s="33">
        <v>0</v>
      </c>
      <c r="H745" s="34">
        <v>19.38</v>
      </c>
      <c r="I745">
        <v>6</v>
      </c>
      <c r="J745" s="35">
        <v>0</v>
      </c>
      <c r="K745" s="35">
        <v>0</v>
      </c>
      <c r="L745" s="35">
        <v>0</v>
      </c>
      <c r="M745">
        <v>6</v>
      </c>
      <c r="N745">
        <v>0</v>
      </c>
      <c r="O745">
        <v>3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9</v>
      </c>
      <c r="AK745">
        <v>6</v>
      </c>
      <c r="AL745">
        <v>6</v>
      </c>
      <c r="AM745">
        <v>3</v>
      </c>
      <c r="AN745" s="23">
        <v>0.111111111111111</v>
      </c>
      <c r="AO745" s="23">
        <v>0</v>
      </c>
      <c r="AP745" s="23">
        <v>0.166666666666667</v>
      </c>
      <c r="AQ745" s="23">
        <v>0</v>
      </c>
      <c r="AR745" s="37">
        <v>0.142857142857143</v>
      </c>
      <c r="AS745" s="37">
        <v>8.57142857142857</v>
      </c>
      <c r="AT745" s="37">
        <v>-2.57142857142857</v>
      </c>
      <c r="AU745" s="33">
        <f t="shared" si="14"/>
        <v>42</v>
      </c>
      <c r="AV745" s="38">
        <f>IFERROR(时间!$B$4+AU745,"上周无销量")</f>
        <v>43332</v>
      </c>
    </row>
    <row r="746" spans="1:48">
      <c r="A746" s="21" t="s">
        <v>1650</v>
      </c>
      <c r="B746" t="s">
        <v>1651</v>
      </c>
      <c r="C746" t="s">
        <v>1639</v>
      </c>
      <c r="D746" s="33">
        <v>1</v>
      </c>
      <c r="E746" s="33">
        <v>4</v>
      </c>
      <c r="F746" s="33">
        <v>1</v>
      </c>
      <c r="G746" s="33">
        <v>0</v>
      </c>
      <c r="H746" s="34">
        <v>19.38</v>
      </c>
      <c r="I746">
        <v>2</v>
      </c>
      <c r="J746" s="35">
        <v>0</v>
      </c>
      <c r="K746" s="35">
        <v>4</v>
      </c>
      <c r="L746" s="35">
        <v>0</v>
      </c>
      <c r="M746">
        <v>6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10</v>
      </c>
      <c r="AK746">
        <v>12</v>
      </c>
      <c r="AL746">
        <v>12</v>
      </c>
      <c r="AM746">
        <v>9</v>
      </c>
      <c r="AN746" s="23">
        <v>0.1</v>
      </c>
      <c r="AO746" s="23">
        <v>0.333333333333333</v>
      </c>
      <c r="AP746" s="23">
        <v>0.0833333333333333</v>
      </c>
      <c r="AQ746" s="23">
        <v>0</v>
      </c>
      <c r="AR746" s="37">
        <v>0.142857142857143</v>
      </c>
      <c r="AS746" s="37">
        <v>8.57142857142857</v>
      </c>
      <c r="AT746" s="37">
        <v>-2.57142857142857</v>
      </c>
      <c r="AU746" s="33">
        <f t="shared" si="14"/>
        <v>42</v>
      </c>
      <c r="AV746" s="38">
        <f>IFERROR(时间!$B$4+AU746,"上周无销量")</f>
        <v>43332</v>
      </c>
    </row>
    <row r="747" spans="1:48">
      <c r="A747" s="21" t="s">
        <v>1652</v>
      </c>
      <c r="B747" t="s">
        <v>1653</v>
      </c>
      <c r="C747" t="s">
        <v>1639</v>
      </c>
      <c r="D747" s="33">
        <v>2</v>
      </c>
      <c r="E747" s="33">
        <v>2</v>
      </c>
      <c r="F747" s="33">
        <v>0</v>
      </c>
      <c r="G747" s="33">
        <v>5</v>
      </c>
      <c r="H747" s="34">
        <v>19.99</v>
      </c>
      <c r="I747">
        <v>3</v>
      </c>
      <c r="J747" s="35">
        <v>0</v>
      </c>
      <c r="K747" s="35">
        <v>3</v>
      </c>
      <c r="L747" s="35">
        <v>0</v>
      </c>
      <c r="M747">
        <v>6</v>
      </c>
      <c r="N747">
        <v>2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13</v>
      </c>
      <c r="AK747">
        <v>0</v>
      </c>
      <c r="AL747">
        <v>0</v>
      </c>
      <c r="AM747">
        <v>9</v>
      </c>
      <c r="AN747" s="23">
        <v>0.153846153846154</v>
      </c>
      <c r="AO747" s="23" t="s">
        <v>54</v>
      </c>
      <c r="AP747" s="23" t="s">
        <v>54</v>
      </c>
      <c r="AQ747" s="23">
        <v>0.555555555555556</v>
      </c>
      <c r="AR747" s="37">
        <v>0.285714285714286</v>
      </c>
      <c r="AS747" s="37">
        <v>17.1428571428571</v>
      </c>
      <c r="AT747" s="37">
        <v>-11.1428571428571</v>
      </c>
      <c r="AU747" s="33">
        <f t="shared" si="14"/>
        <v>21</v>
      </c>
      <c r="AV747" s="38">
        <f>IFERROR(时间!$B$4+AU747,"上周无销量")</f>
        <v>43311</v>
      </c>
    </row>
    <row r="748" spans="1:48">
      <c r="A748" s="21" t="s">
        <v>1654</v>
      </c>
      <c r="B748" t="s">
        <v>1655</v>
      </c>
      <c r="C748" t="s">
        <v>1639</v>
      </c>
      <c r="D748" s="33">
        <v>6</v>
      </c>
      <c r="E748" s="33">
        <v>5</v>
      </c>
      <c r="F748" s="33">
        <v>1</v>
      </c>
      <c r="G748" s="33">
        <v>4</v>
      </c>
      <c r="H748" s="34">
        <v>19.38</v>
      </c>
      <c r="I748">
        <v>0</v>
      </c>
      <c r="J748" s="35">
        <v>15</v>
      </c>
      <c r="K748" s="35">
        <v>0</v>
      </c>
      <c r="L748" s="35">
        <v>0</v>
      </c>
      <c r="M748">
        <v>15</v>
      </c>
      <c r="N748">
        <v>1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6</v>
      </c>
      <c r="AK748">
        <v>14</v>
      </c>
      <c r="AL748">
        <v>14</v>
      </c>
      <c r="AM748">
        <v>20</v>
      </c>
      <c r="AN748" s="23">
        <v>1</v>
      </c>
      <c r="AO748" s="23">
        <v>0.357142857142857</v>
      </c>
      <c r="AP748" s="23">
        <v>0.0714285714285714</v>
      </c>
      <c r="AQ748" s="23">
        <v>0.2</v>
      </c>
      <c r="AR748" s="37">
        <v>0.857142857142857</v>
      </c>
      <c r="AS748" s="37">
        <v>51.4285714285714</v>
      </c>
      <c r="AT748" s="37">
        <v>-36.4285714285714</v>
      </c>
      <c r="AU748" s="33">
        <f t="shared" si="14"/>
        <v>17</v>
      </c>
      <c r="AV748" s="38">
        <f>IFERROR(时间!$B$4+AU748,"上周无销量")</f>
        <v>43307</v>
      </c>
    </row>
    <row r="749" spans="1:48">
      <c r="A749" s="21" t="s">
        <v>1656</v>
      </c>
      <c r="B749" t="s">
        <v>1657</v>
      </c>
      <c r="C749" t="s">
        <v>1639</v>
      </c>
      <c r="D749" s="33">
        <v>1</v>
      </c>
      <c r="E749" s="33">
        <v>1</v>
      </c>
      <c r="F749" s="33">
        <v>0</v>
      </c>
      <c r="G749" s="33">
        <v>1</v>
      </c>
      <c r="H749" s="34">
        <v>19.99</v>
      </c>
      <c r="I749">
        <v>5</v>
      </c>
      <c r="J749" s="35">
        <v>0</v>
      </c>
      <c r="K749" s="35">
        <v>0</v>
      </c>
      <c r="L749" s="35">
        <v>0</v>
      </c>
      <c r="M749">
        <v>5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19</v>
      </c>
      <c r="AK749">
        <v>22</v>
      </c>
      <c r="AL749">
        <v>22</v>
      </c>
      <c r="AM749">
        <v>10</v>
      </c>
      <c r="AN749" s="23">
        <v>0.0526315789473684</v>
      </c>
      <c r="AO749" s="23">
        <v>0.0454545454545455</v>
      </c>
      <c r="AP749" s="23">
        <v>0</v>
      </c>
      <c r="AQ749" s="23">
        <v>0.1</v>
      </c>
      <c r="AR749" s="37">
        <v>0.142857142857143</v>
      </c>
      <c r="AS749" s="37">
        <v>8.57142857142857</v>
      </c>
      <c r="AT749" s="37">
        <v>-3.57142857142857</v>
      </c>
      <c r="AU749" s="33">
        <f t="shared" si="14"/>
        <v>35</v>
      </c>
      <c r="AV749" s="38">
        <f>IFERROR(时间!$B$4+AU749,"上周无销量")</f>
        <v>43325</v>
      </c>
    </row>
    <row r="750" spans="1:48">
      <c r="A750" s="21" t="s">
        <v>1658</v>
      </c>
      <c r="B750" t="s">
        <v>1659</v>
      </c>
      <c r="C750" t="s">
        <v>1639</v>
      </c>
      <c r="D750" s="33">
        <v>1</v>
      </c>
      <c r="E750" s="33">
        <v>0</v>
      </c>
      <c r="F750" s="33">
        <v>3</v>
      </c>
      <c r="G750" s="33">
        <v>1</v>
      </c>
      <c r="H750" s="34">
        <v>14.99</v>
      </c>
      <c r="I750">
        <v>3</v>
      </c>
      <c r="J750" s="35">
        <v>0</v>
      </c>
      <c r="K750" s="35">
        <v>0</v>
      </c>
      <c r="L750" s="35">
        <v>1</v>
      </c>
      <c r="M750">
        <v>4</v>
      </c>
      <c r="N750">
        <v>2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9</v>
      </c>
      <c r="AK750">
        <v>9</v>
      </c>
      <c r="AL750">
        <v>9</v>
      </c>
      <c r="AM750">
        <v>1</v>
      </c>
      <c r="AN750" s="23">
        <v>0.111111111111111</v>
      </c>
      <c r="AO750" s="23">
        <v>0</v>
      </c>
      <c r="AP750" s="23">
        <v>0.333333333333333</v>
      </c>
      <c r="AQ750" s="23">
        <v>1</v>
      </c>
      <c r="AR750" s="37">
        <v>0.142857142857143</v>
      </c>
      <c r="AS750" s="37">
        <v>8.57142857142857</v>
      </c>
      <c r="AT750" s="37">
        <v>-4.57142857142857</v>
      </c>
      <c r="AU750" s="33">
        <f t="shared" si="14"/>
        <v>28</v>
      </c>
      <c r="AV750" s="38">
        <f>IFERROR(时间!$B$4+AU750,"上周无销量")</f>
        <v>43318</v>
      </c>
    </row>
    <row r="751" spans="1:48">
      <c r="A751" s="21" t="s">
        <v>1660</v>
      </c>
      <c r="B751" t="s">
        <v>1661</v>
      </c>
      <c r="C751" t="s">
        <v>1639</v>
      </c>
      <c r="D751" s="33">
        <v>3</v>
      </c>
      <c r="E751" s="33">
        <v>0</v>
      </c>
      <c r="F751" s="33">
        <v>0</v>
      </c>
      <c r="G751" s="33">
        <v>3</v>
      </c>
      <c r="H751" s="34">
        <v>19.99</v>
      </c>
      <c r="I751">
        <v>11</v>
      </c>
      <c r="J751" s="35">
        <v>0</v>
      </c>
      <c r="K751" s="35">
        <v>0</v>
      </c>
      <c r="L751" s="35">
        <v>0</v>
      </c>
      <c r="M751">
        <v>11</v>
      </c>
      <c r="N751">
        <v>1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12</v>
      </c>
      <c r="AK751">
        <v>9</v>
      </c>
      <c r="AL751">
        <v>9</v>
      </c>
      <c r="AM751">
        <v>8</v>
      </c>
      <c r="AN751" s="23">
        <v>0.25</v>
      </c>
      <c r="AO751" s="23">
        <v>0</v>
      </c>
      <c r="AP751" s="23">
        <v>0</v>
      </c>
      <c r="AQ751" s="23">
        <v>0.375</v>
      </c>
      <c r="AR751" s="37">
        <v>0.428571428571429</v>
      </c>
      <c r="AS751" s="37">
        <v>25.7142857142857</v>
      </c>
      <c r="AT751" s="37">
        <v>-14.7142857142857</v>
      </c>
      <c r="AU751" s="33">
        <f t="shared" si="14"/>
        <v>25</v>
      </c>
      <c r="AV751" s="38">
        <f>IFERROR(时间!$B$4+AU751,"上周无销量")</f>
        <v>43315</v>
      </c>
    </row>
    <row r="752" spans="1:48">
      <c r="A752" s="21" t="s">
        <v>1662</v>
      </c>
      <c r="B752" t="s">
        <v>1663</v>
      </c>
      <c r="C752" t="s">
        <v>1639</v>
      </c>
      <c r="D752" s="33">
        <v>0</v>
      </c>
      <c r="E752" s="33">
        <v>6</v>
      </c>
      <c r="F752" s="33">
        <v>0</v>
      </c>
      <c r="G752" s="33">
        <v>0</v>
      </c>
      <c r="H752" s="34">
        <v>17.99</v>
      </c>
      <c r="I752">
        <v>0</v>
      </c>
      <c r="J752" s="35">
        <v>3</v>
      </c>
      <c r="K752" s="35">
        <v>0</v>
      </c>
      <c r="L752" s="35">
        <v>0</v>
      </c>
      <c r="M752">
        <v>3</v>
      </c>
      <c r="N752">
        <v>3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s">
        <v>54</v>
      </c>
      <c r="AO752" s="23" t="s">
        <v>54</v>
      </c>
      <c r="AP752" s="23" t="s">
        <v>54</v>
      </c>
      <c r="AQ752" s="23" t="s">
        <v>54</v>
      </c>
      <c r="AR752" s="37">
        <v>0</v>
      </c>
      <c r="AS752" s="37">
        <v>0</v>
      </c>
      <c r="AT752" s="37">
        <v>3</v>
      </c>
      <c r="AU752" s="33" t="str">
        <f t="shared" si="14"/>
        <v>库存为3</v>
      </c>
      <c r="AV752" s="38" t="str">
        <f>IFERROR(时间!$B$4+AU752,"上周无销量")</f>
        <v>上周无销量</v>
      </c>
    </row>
    <row r="753" spans="1:48">
      <c r="A753" s="21" t="s">
        <v>1664</v>
      </c>
      <c r="B753" t="s">
        <v>1665</v>
      </c>
      <c r="C753" t="s">
        <v>1639</v>
      </c>
      <c r="D753" s="33">
        <v>9</v>
      </c>
      <c r="E753" s="33">
        <v>8</v>
      </c>
      <c r="F753" s="33">
        <v>0</v>
      </c>
      <c r="G753" s="33">
        <v>2</v>
      </c>
      <c r="H753" s="34">
        <v>19.99</v>
      </c>
      <c r="I753">
        <v>0</v>
      </c>
      <c r="J753" s="35">
        <v>1</v>
      </c>
      <c r="K753" s="35">
        <v>0</v>
      </c>
      <c r="L753" s="35">
        <v>0</v>
      </c>
      <c r="M753">
        <v>1</v>
      </c>
      <c r="N753">
        <v>6</v>
      </c>
      <c r="O753">
        <v>0</v>
      </c>
      <c r="P753">
        <v>41290</v>
      </c>
      <c r="Q753">
        <v>18068</v>
      </c>
      <c r="R753">
        <v>9172</v>
      </c>
      <c r="S753">
        <v>87780</v>
      </c>
      <c r="T753">
        <v>143</v>
      </c>
      <c r="U753">
        <v>85</v>
      </c>
      <c r="V753">
        <v>20</v>
      </c>
      <c r="W753">
        <v>111</v>
      </c>
      <c r="X753" s="23">
        <v>0.00346330830709615</v>
      </c>
      <c r="Y753" s="23">
        <v>0.00470444985609918</v>
      </c>
      <c r="Z753" s="23">
        <v>0.00218054949847362</v>
      </c>
      <c r="AA753" s="23">
        <v>0.00126452494873548</v>
      </c>
      <c r="AB753">
        <v>39.63</v>
      </c>
      <c r="AC753">
        <v>23.94</v>
      </c>
      <c r="AD753">
        <v>6.75</v>
      </c>
      <c r="AE753">
        <v>36.4</v>
      </c>
      <c r="AF753" s="23">
        <v>0.220276805069201</v>
      </c>
      <c r="AG753" s="23">
        <v>0.149699849924962</v>
      </c>
      <c r="AH753" s="23">
        <v>0</v>
      </c>
      <c r="AI753" s="23">
        <v>0.910455227613807</v>
      </c>
      <c r="AJ753">
        <v>31</v>
      </c>
      <c r="AK753">
        <v>18</v>
      </c>
      <c r="AL753">
        <v>18</v>
      </c>
      <c r="AM753">
        <v>8</v>
      </c>
      <c r="AN753" s="23">
        <v>0.290322580645161</v>
      </c>
      <c r="AO753" s="23">
        <v>0.444444444444444</v>
      </c>
      <c r="AP753" s="23">
        <v>0</v>
      </c>
      <c r="AQ753" s="23">
        <v>0.25</v>
      </c>
      <c r="AR753" s="37">
        <v>1.28571428571429</v>
      </c>
      <c r="AS753" s="37">
        <v>77.1428571428572</v>
      </c>
      <c r="AT753" s="37">
        <v>-76.1428571428572</v>
      </c>
      <c r="AU753" s="33">
        <f t="shared" si="14"/>
        <v>0</v>
      </c>
      <c r="AV753" s="38">
        <f>IFERROR(时间!$B$4+AU753,"上周无销量")</f>
        <v>43290</v>
      </c>
    </row>
    <row r="754" spans="1:48">
      <c r="A754" s="21" t="s">
        <v>1666</v>
      </c>
      <c r="B754" t="s">
        <v>1667</v>
      </c>
      <c r="C754" t="s">
        <v>1639</v>
      </c>
      <c r="D754" s="33">
        <v>0</v>
      </c>
      <c r="E754" s="33">
        <v>0</v>
      </c>
      <c r="F754" s="33">
        <v>2</v>
      </c>
      <c r="G754" s="33">
        <v>1</v>
      </c>
      <c r="H754" s="34">
        <v>15.99</v>
      </c>
      <c r="I754">
        <v>7</v>
      </c>
      <c r="J754" s="35">
        <v>0</v>
      </c>
      <c r="K754" s="35">
        <v>0</v>
      </c>
      <c r="L754" s="35">
        <v>0</v>
      </c>
      <c r="M754">
        <v>7</v>
      </c>
      <c r="N754">
        <v>0</v>
      </c>
      <c r="O754">
        <v>3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16</v>
      </c>
      <c r="AK754">
        <v>31</v>
      </c>
      <c r="AL754">
        <v>31</v>
      </c>
      <c r="AM754">
        <v>11</v>
      </c>
      <c r="AN754" s="23">
        <v>0</v>
      </c>
      <c r="AO754" s="23">
        <v>0</v>
      </c>
      <c r="AP754" s="23">
        <v>0.0645161290322581</v>
      </c>
      <c r="AQ754" s="23">
        <v>0.0909090909090909</v>
      </c>
      <c r="AR754" s="37">
        <v>0</v>
      </c>
      <c r="AS754" s="37">
        <v>0</v>
      </c>
      <c r="AT754" s="37">
        <v>7</v>
      </c>
      <c r="AU754" s="33" t="str">
        <f t="shared" si="14"/>
        <v>库存为7</v>
      </c>
      <c r="AV754" s="38" t="str">
        <f>IFERROR(时间!$B$4+AU754,"上周无销量")</f>
        <v>上周无销量</v>
      </c>
    </row>
    <row r="755" spans="1:48">
      <c r="A755" s="21" t="s">
        <v>1668</v>
      </c>
      <c r="B755" t="s">
        <v>1669</v>
      </c>
      <c r="C755" t="s">
        <v>1639</v>
      </c>
      <c r="D755" s="33">
        <v>1</v>
      </c>
      <c r="E755" s="33">
        <v>0</v>
      </c>
      <c r="F755" s="33">
        <v>0</v>
      </c>
      <c r="G755" s="33">
        <v>0</v>
      </c>
      <c r="H755" s="34">
        <v>19.38</v>
      </c>
      <c r="I755">
        <v>1</v>
      </c>
      <c r="J755" s="35">
        <v>0</v>
      </c>
      <c r="K755" s="35">
        <v>0</v>
      </c>
      <c r="L755" s="35">
        <v>0</v>
      </c>
      <c r="M755">
        <v>1</v>
      </c>
      <c r="N755">
        <v>0</v>
      </c>
      <c r="O755">
        <v>1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5</v>
      </c>
      <c r="AK755">
        <v>5</v>
      </c>
      <c r="AL755">
        <v>5</v>
      </c>
      <c r="AM755">
        <v>3</v>
      </c>
      <c r="AN755" s="23">
        <v>0.2</v>
      </c>
      <c r="AO755" s="23">
        <v>0</v>
      </c>
      <c r="AP755" s="23">
        <v>0</v>
      </c>
      <c r="AQ755" s="23">
        <v>0</v>
      </c>
      <c r="AR755" s="37">
        <v>0.142857142857143</v>
      </c>
      <c r="AS755" s="37">
        <v>8.57142857142857</v>
      </c>
      <c r="AT755" s="37">
        <v>-7.57142857142857</v>
      </c>
      <c r="AU755" s="33">
        <f t="shared" si="14"/>
        <v>7</v>
      </c>
      <c r="AV755" s="38">
        <f>IFERROR(时间!$B$4+AU755,"上周无销量")</f>
        <v>43297</v>
      </c>
    </row>
    <row r="756" spans="1:48">
      <c r="A756" s="21" t="s">
        <v>1670</v>
      </c>
      <c r="B756" t="s">
        <v>1671</v>
      </c>
      <c r="C756" t="s">
        <v>1639</v>
      </c>
      <c r="D756" s="33">
        <v>0</v>
      </c>
      <c r="E756" s="33">
        <v>1</v>
      </c>
      <c r="F756" s="33">
        <v>1</v>
      </c>
      <c r="G756" s="33">
        <v>2</v>
      </c>
      <c r="H756" s="34">
        <v>19.38</v>
      </c>
      <c r="I756">
        <v>1</v>
      </c>
      <c r="J756" s="35">
        <v>0</v>
      </c>
      <c r="K756" s="35">
        <v>0</v>
      </c>
      <c r="L756" s="35">
        <v>0</v>
      </c>
      <c r="M756">
        <v>1</v>
      </c>
      <c r="N756">
        <v>0</v>
      </c>
      <c r="O756">
        <v>1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7</v>
      </c>
      <c r="AK756">
        <v>3</v>
      </c>
      <c r="AL756">
        <v>3</v>
      </c>
      <c r="AM756">
        <v>12</v>
      </c>
      <c r="AN756" s="23">
        <v>0</v>
      </c>
      <c r="AO756" s="23">
        <v>0.333333333333333</v>
      </c>
      <c r="AP756" s="23">
        <v>0.333333333333333</v>
      </c>
      <c r="AQ756" s="23">
        <v>0.166666666666667</v>
      </c>
      <c r="AR756" s="37">
        <v>0</v>
      </c>
      <c r="AS756" s="37">
        <v>0</v>
      </c>
      <c r="AT756" s="37">
        <v>1</v>
      </c>
      <c r="AU756" s="33" t="str">
        <f t="shared" si="14"/>
        <v>库存为1</v>
      </c>
      <c r="AV756" s="38" t="str">
        <f>IFERROR(时间!$B$4+AU756,"上周无销量")</f>
        <v>上周无销量</v>
      </c>
    </row>
    <row r="757" spans="1:48">
      <c r="A757" s="21" t="s">
        <v>1672</v>
      </c>
      <c r="B757" t="s">
        <v>1673</v>
      </c>
      <c r="C757" t="s">
        <v>1639</v>
      </c>
      <c r="D757" s="33">
        <v>3</v>
      </c>
      <c r="E757" s="33">
        <v>2</v>
      </c>
      <c r="F757" s="33">
        <v>1</v>
      </c>
      <c r="G757" s="33">
        <v>2</v>
      </c>
      <c r="H757" s="34">
        <v>19.38</v>
      </c>
      <c r="I757">
        <v>0</v>
      </c>
      <c r="J757" s="35">
        <v>5</v>
      </c>
      <c r="K757" s="35">
        <v>0</v>
      </c>
      <c r="L757" s="35">
        <v>0</v>
      </c>
      <c r="M757">
        <v>5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11</v>
      </c>
      <c r="AK757">
        <v>5</v>
      </c>
      <c r="AL757">
        <v>5</v>
      </c>
      <c r="AM757">
        <v>2</v>
      </c>
      <c r="AN757" s="23">
        <v>0.272727272727273</v>
      </c>
      <c r="AO757" s="23">
        <v>0.4</v>
      </c>
      <c r="AP757" s="23">
        <v>0.2</v>
      </c>
      <c r="AQ757" s="23">
        <v>1</v>
      </c>
      <c r="AR757" s="37">
        <v>0.428571428571429</v>
      </c>
      <c r="AS757" s="37">
        <v>25.7142857142857</v>
      </c>
      <c r="AT757" s="37">
        <v>-20.7142857142857</v>
      </c>
      <c r="AU757" s="33">
        <f t="shared" si="14"/>
        <v>11</v>
      </c>
      <c r="AV757" s="38">
        <f>IFERROR(时间!$B$4+AU757,"上周无销量")</f>
        <v>43301</v>
      </c>
    </row>
    <row r="758" spans="1:48">
      <c r="A758" s="21" t="s">
        <v>1674</v>
      </c>
      <c r="B758" t="s">
        <v>1675</v>
      </c>
      <c r="C758" t="s">
        <v>1639</v>
      </c>
      <c r="D758" s="33">
        <v>5</v>
      </c>
      <c r="E758" s="33">
        <v>0</v>
      </c>
      <c r="F758" s="33">
        <v>2</v>
      </c>
      <c r="G758" s="33">
        <v>4</v>
      </c>
      <c r="H758" s="34">
        <v>19.38</v>
      </c>
      <c r="I758">
        <v>0</v>
      </c>
      <c r="J758" s="35">
        <v>0</v>
      </c>
      <c r="K758" s="35">
        <v>0</v>
      </c>
      <c r="L758" s="35">
        <v>0</v>
      </c>
      <c r="M758">
        <v>0</v>
      </c>
      <c r="N758">
        <v>2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23</v>
      </c>
      <c r="AK758">
        <v>3</v>
      </c>
      <c r="AL758">
        <v>3</v>
      </c>
      <c r="AM758">
        <v>10</v>
      </c>
      <c r="AN758" s="23">
        <v>0.217391304347826</v>
      </c>
      <c r="AO758" s="23">
        <v>0</v>
      </c>
      <c r="AP758" s="23">
        <v>0.666666666666667</v>
      </c>
      <c r="AQ758" s="23">
        <v>0.4</v>
      </c>
      <c r="AR758" s="37">
        <v>0.714285714285714</v>
      </c>
      <c r="AS758" s="37">
        <v>42.8571428571429</v>
      </c>
      <c r="AT758" s="37">
        <v>-42.8571428571429</v>
      </c>
      <c r="AU758" s="33">
        <f t="shared" si="14"/>
        <v>0</v>
      </c>
      <c r="AV758" s="38">
        <f>IFERROR(时间!$B$4+AU758,"上周无销量")</f>
        <v>43290</v>
      </c>
    </row>
    <row r="759" spans="1:48">
      <c r="A759" s="21" t="s">
        <v>1676</v>
      </c>
      <c r="B759" t="s">
        <v>1677</v>
      </c>
      <c r="C759" t="s">
        <v>1639</v>
      </c>
      <c r="D759" s="33">
        <v>1</v>
      </c>
      <c r="E759" s="33">
        <v>0</v>
      </c>
      <c r="F759" s="33">
        <v>0</v>
      </c>
      <c r="G759" s="33">
        <v>0</v>
      </c>
      <c r="H759" s="34">
        <v>19.38</v>
      </c>
      <c r="I759">
        <v>21</v>
      </c>
      <c r="J759" s="35">
        <v>0</v>
      </c>
      <c r="K759" s="35">
        <v>0</v>
      </c>
      <c r="L759" s="35">
        <v>0</v>
      </c>
      <c r="M759">
        <v>21</v>
      </c>
      <c r="N759">
        <v>0</v>
      </c>
      <c r="O759">
        <v>22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10</v>
      </c>
      <c r="AK759">
        <v>14</v>
      </c>
      <c r="AL759">
        <v>14</v>
      </c>
      <c r="AM759">
        <v>3</v>
      </c>
      <c r="AN759" s="23">
        <v>0.1</v>
      </c>
      <c r="AO759" s="23">
        <v>0</v>
      </c>
      <c r="AP759" s="23">
        <v>0</v>
      </c>
      <c r="AQ759" s="23">
        <v>0</v>
      </c>
      <c r="AR759" s="37">
        <v>0.142857142857143</v>
      </c>
      <c r="AS759" s="37">
        <v>8.57142857142857</v>
      </c>
      <c r="AT759" s="37">
        <v>12.4285714285714</v>
      </c>
      <c r="AU759" s="33">
        <f t="shared" si="14"/>
        <v>147</v>
      </c>
      <c r="AV759" s="38">
        <f>IFERROR(时间!$B$4+AU759,"上周无销量")</f>
        <v>43437</v>
      </c>
    </row>
    <row r="760" spans="1:48">
      <c r="A760" s="21" t="s">
        <v>1678</v>
      </c>
      <c r="B760" t="s">
        <v>1679</v>
      </c>
      <c r="C760" t="s">
        <v>1639</v>
      </c>
      <c r="D760" s="33">
        <v>0</v>
      </c>
      <c r="E760" s="33">
        <v>2</v>
      </c>
      <c r="F760" s="33">
        <v>0</v>
      </c>
      <c r="G760" s="33">
        <v>0</v>
      </c>
      <c r="H760" s="34">
        <v>19.99</v>
      </c>
      <c r="I760">
        <v>7</v>
      </c>
      <c r="J760" s="35">
        <v>0</v>
      </c>
      <c r="K760" s="35">
        <v>0</v>
      </c>
      <c r="L760" s="35">
        <v>1</v>
      </c>
      <c r="M760">
        <v>8</v>
      </c>
      <c r="N760">
        <v>0</v>
      </c>
      <c r="O760">
        <v>5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5</v>
      </c>
      <c r="AK760">
        <v>2</v>
      </c>
      <c r="AL760">
        <v>2</v>
      </c>
      <c r="AM760">
        <v>3</v>
      </c>
      <c r="AN760" s="23">
        <v>0</v>
      </c>
      <c r="AO760" s="23">
        <v>1</v>
      </c>
      <c r="AP760" s="23">
        <v>0</v>
      </c>
      <c r="AQ760" s="23">
        <v>0</v>
      </c>
      <c r="AR760" s="37">
        <v>0</v>
      </c>
      <c r="AS760" s="37">
        <v>0</v>
      </c>
      <c r="AT760" s="37">
        <v>8</v>
      </c>
      <c r="AU760" s="33" t="str">
        <f t="shared" si="14"/>
        <v>库存为8</v>
      </c>
      <c r="AV760" s="38" t="str">
        <f>IFERROR(时间!$B$4+AU760,"上周无销量")</f>
        <v>上周无销量</v>
      </c>
    </row>
    <row r="761" spans="1:48">
      <c r="A761" s="21" t="s">
        <v>1680</v>
      </c>
      <c r="B761" t="s">
        <v>1681</v>
      </c>
      <c r="C761" t="s">
        <v>1639</v>
      </c>
      <c r="D761" s="33">
        <v>4</v>
      </c>
      <c r="E761" s="33">
        <v>0</v>
      </c>
      <c r="F761" s="33">
        <v>2</v>
      </c>
      <c r="G761" s="33">
        <v>1</v>
      </c>
      <c r="H761" s="34">
        <v>19.99</v>
      </c>
      <c r="I761">
        <v>2</v>
      </c>
      <c r="J761" s="35">
        <v>0</v>
      </c>
      <c r="K761" s="35">
        <v>5</v>
      </c>
      <c r="L761" s="35">
        <v>1</v>
      </c>
      <c r="M761">
        <v>8</v>
      </c>
      <c r="N761">
        <v>1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18</v>
      </c>
      <c r="AK761">
        <v>15</v>
      </c>
      <c r="AL761">
        <v>15</v>
      </c>
      <c r="AM761">
        <v>13</v>
      </c>
      <c r="AN761" s="23">
        <v>0.222222222222222</v>
      </c>
      <c r="AO761" s="23">
        <v>0</v>
      </c>
      <c r="AP761" s="23">
        <v>0.133333333333333</v>
      </c>
      <c r="AQ761" s="23">
        <v>0.0769230769230769</v>
      </c>
      <c r="AR761" s="37">
        <v>0.571428571428571</v>
      </c>
      <c r="AS761" s="37">
        <v>34.2857142857143</v>
      </c>
      <c r="AT761" s="37">
        <v>-26.2857142857143</v>
      </c>
      <c r="AU761" s="33">
        <f t="shared" si="14"/>
        <v>14</v>
      </c>
      <c r="AV761" s="38">
        <f>IFERROR(时间!$B$4+AU761,"上周无销量")</f>
        <v>43304</v>
      </c>
    </row>
    <row r="762" spans="1:48">
      <c r="A762" s="21" t="s">
        <v>1682</v>
      </c>
      <c r="B762" t="s">
        <v>1683</v>
      </c>
      <c r="C762" t="s">
        <v>1639</v>
      </c>
      <c r="D762" s="33">
        <v>5</v>
      </c>
      <c r="E762" s="33">
        <v>4</v>
      </c>
      <c r="F762" s="33">
        <v>4</v>
      </c>
      <c r="G762" s="33">
        <v>4</v>
      </c>
      <c r="H762" s="34">
        <v>19.99</v>
      </c>
      <c r="I762">
        <v>5</v>
      </c>
      <c r="J762" s="35">
        <v>8</v>
      </c>
      <c r="K762" s="35">
        <v>0</v>
      </c>
      <c r="L762" s="35">
        <v>0</v>
      </c>
      <c r="M762">
        <v>13</v>
      </c>
      <c r="N762">
        <v>1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25</v>
      </c>
      <c r="AK762">
        <v>17</v>
      </c>
      <c r="AL762">
        <v>17</v>
      </c>
      <c r="AM762">
        <v>16</v>
      </c>
      <c r="AN762" s="23">
        <v>0.2</v>
      </c>
      <c r="AO762" s="23">
        <v>0.235294117647059</v>
      </c>
      <c r="AP762" s="23">
        <v>0.235294117647059</v>
      </c>
      <c r="AQ762" s="23">
        <v>0.25</v>
      </c>
      <c r="AR762" s="37">
        <v>0.714285714285714</v>
      </c>
      <c r="AS762" s="37">
        <v>42.8571428571429</v>
      </c>
      <c r="AT762" s="37">
        <v>-29.8571428571429</v>
      </c>
      <c r="AU762" s="33">
        <f t="shared" si="14"/>
        <v>18</v>
      </c>
      <c r="AV762" s="38">
        <f>IFERROR(时间!$B$4+AU762,"上周无销量")</f>
        <v>43308</v>
      </c>
    </row>
    <row r="763" spans="1:48">
      <c r="A763" s="21" t="s">
        <v>1684</v>
      </c>
      <c r="B763" t="s">
        <v>1685</v>
      </c>
      <c r="C763" t="s">
        <v>1639</v>
      </c>
      <c r="D763" s="33">
        <v>6</v>
      </c>
      <c r="E763" s="33">
        <v>10</v>
      </c>
      <c r="F763" s="33">
        <v>8</v>
      </c>
      <c r="G763" s="33">
        <v>6</v>
      </c>
      <c r="H763" s="34">
        <v>19.99</v>
      </c>
      <c r="I763">
        <v>2</v>
      </c>
      <c r="J763" s="35">
        <v>16</v>
      </c>
      <c r="K763" s="35">
        <v>0</v>
      </c>
      <c r="L763" s="35">
        <v>0</v>
      </c>
      <c r="M763">
        <v>18</v>
      </c>
      <c r="N763">
        <v>5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35</v>
      </c>
      <c r="AK763">
        <v>36</v>
      </c>
      <c r="AL763">
        <v>36</v>
      </c>
      <c r="AM763">
        <v>21</v>
      </c>
      <c r="AN763" s="23">
        <v>0.171428571428571</v>
      </c>
      <c r="AO763" s="23">
        <v>0.277777777777778</v>
      </c>
      <c r="AP763" s="23">
        <v>0.222222222222222</v>
      </c>
      <c r="AQ763" s="23">
        <v>0.285714285714286</v>
      </c>
      <c r="AR763" s="37">
        <v>0.857142857142857</v>
      </c>
      <c r="AS763" s="37">
        <v>51.4285714285714</v>
      </c>
      <c r="AT763" s="37">
        <v>-33.4285714285714</v>
      </c>
      <c r="AU763" s="33">
        <f t="shared" si="14"/>
        <v>21</v>
      </c>
      <c r="AV763" s="38">
        <f>IFERROR(时间!$B$4+AU763,"上周无销量")</f>
        <v>43311</v>
      </c>
    </row>
    <row r="764" spans="1:48">
      <c r="A764" s="21" t="s">
        <v>1686</v>
      </c>
      <c r="B764" t="s">
        <v>1687</v>
      </c>
      <c r="C764" t="s">
        <v>1639</v>
      </c>
      <c r="D764" s="33">
        <v>0</v>
      </c>
      <c r="E764" s="33">
        <v>0</v>
      </c>
      <c r="F764" s="33">
        <v>1</v>
      </c>
      <c r="G764" s="33">
        <v>0</v>
      </c>
      <c r="H764" s="34">
        <v>19.99</v>
      </c>
      <c r="I764">
        <v>12</v>
      </c>
      <c r="J764" s="35">
        <v>0</v>
      </c>
      <c r="K764" s="35">
        <v>0</v>
      </c>
      <c r="L764" s="35">
        <v>0</v>
      </c>
      <c r="M764">
        <v>12</v>
      </c>
      <c r="N764">
        <v>1</v>
      </c>
      <c r="O764">
        <v>7</v>
      </c>
      <c r="P764">
        <v>26445</v>
      </c>
      <c r="Q764">
        <v>39141</v>
      </c>
      <c r="R764">
        <v>40920</v>
      </c>
      <c r="S764">
        <v>26812</v>
      </c>
      <c r="T764">
        <v>130</v>
      </c>
      <c r="U764">
        <v>135</v>
      </c>
      <c r="V764">
        <v>130</v>
      </c>
      <c r="W764">
        <v>80</v>
      </c>
      <c r="X764" s="23">
        <v>0.00491586311211949</v>
      </c>
      <c r="Y764" s="23">
        <v>0.00344906875143711</v>
      </c>
      <c r="Z764" s="23">
        <v>0.00317693059628544</v>
      </c>
      <c r="AA764" s="23">
        <v>0.00298373862449649</v>
      </c>
      <c r="AB764">
        <v>35.37</v>
      </c>
      <c r="AC764">
        <v>39.98</v>
      </c>
      <c r="AD764">
        <v>44.5</v>
      </c>
      <c r="AE764">
        <v>28.45</v>
      </c>
      <c r="AF764" s="23">
        <v>0</v>
      </c>
      <c r="AG764" s="23">
        <v>0</v>
      </c>
      <c r="AH764" s="23">
        <v>2.22611305652826</v>
      </c>
      <c r="AI764" s="23">
        <v>0</v>
      </c>
      <c r="AJ764">
        <v>45</v>
      </c>
      <c r="AK764">
        <v>79</v>
      </c>
      <c r="AL764">
        <v>79</v>
      </c>
      <c r="AM764">
        <v>48</v>
      </c>
      <c r="AN764" s="23">
        <v>0</v>
      </c>
      <c r="AO764" s="23">
        <v>0</v>
      </c>
      <c r="AP764" s="23">
        <v>0.0126582278481013</v>
      </c>
      <c r="AQ764" s="23">
        <v>0</v>
      </c>
      <c r="AR764" s="37">
        <v>0</v>
      </c>
      <c r="AS764" s="37">
        <v>0</v>
      </c>
      <c r="AT764" s="37">
        <v>12</v>
      </c>
      <c r="AU764" s="33" t="str">
        <f t="shared" si="14"/>
        <v>库存为12</v>
      </c>
      <c r="AV764" s="38" t="str">
        <f>IFERROR(时间!$B$4+AU764,"上周无销量")</f>
        <v>上周无销量</v>
      </c>
    </row>
    <row r="765" spans="1:48">
      <c r="A765" s="21" t="s">
        <v>1688</v>
      </c>
      <c r="B765" t="s">
        <v>1689</v>
      </c>
      <c r="C765" t="s">
        <v>1639</v>
      </c>
      <c r="D765" s="33">
        <v>1</v>
      </c>
      <c r="E765" s="33">
        <v>0</v>
      </c>
      <c r="F765" s="33">
        <v>0</v>
      </c>
      <c r="G765" s="33">
        <v>0</v>
      </c>
      <c r="H765" s="34">
        <v>19.99</v>
      </c>
      <c r="I765">
        <v>10</v>
      </c>
      <c r="J765" s="35">
        <v>0</v>
      </c>
      <c r="K765" s="35">
        <v>0</v>
      </c>
      <c r="L765" s="35">
        <v>1</v>
      </c>
      <c r="M765">
        <v>11</v>
      </c>
      <c r="N765">
        <v>0</v>
      </c>
      <c r="O765">
        <v>2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6</v>
      </c>
      <c r="AK765">
        <v>8</v>
      </c>
      <c r="AL765">
        <v>8</v>
      </c>
      <c r="AM765">
        <v>4</v>
      </c>
      <c r="AN765" s="23">
        <v>0.166666666666667</v>
      </c>
      <c r="AO765" s="23">
        <v>0</v>
      </c>
      <c r="AP765" s="23">
        <v>0</v>
      </c>
      <c r="AQ765" s="23">
        <v>0</v>
      </c>
      <c r="AR765" s="37">
        <v>0.142857142857143</v>
      </c>
      <c r="AS765" s="37">
        <v>8.57142857142857</v>
      </c>
      <c r="AT765" s="37">
        <v>2.42857142857143</v>
      </c>
      <c r="AU765" s="33">
        <f t="shared" si="14"/>
        <v>77</v>
      </c>
      <c r="AV765" s="38">
        <f>IFERROR(时间!$B$4+AU765,"上周无销量")</f>
        <v>43367</v>
      </c>
    </row>
    <row r="766" spans="1:48">
      <c r="A766" s="21" t="s">
        <v>1690</v>
      </c>
      <c r="B766" t="s">
        <v>1691</v>
      </c>
      <c r="C766" t="s">
        <v>1639</v>
      </c>
      <c r="D766" s="33">
        <v>2</v>
      </c>
      <c r="E766" s="33">
        <v>1</v>
      </c>
      <c r="F766" s="33">
        <v>0</v>
      </c>
      <c r="G766" s="33">
        <v>3</v>
      </c>
      <c r="H766" s="34">
        <v>19.99</v>
      </c>
      <c r="I766">
        <v>3</v>
      </c>
      <c r="J766" s="35">
        <v>6</v>
      </c>
      <c r="K766" s="35">
        <v>0</v>
      </c>
      <c r="L766" s="35">
        <v>0</v>
      </c>
      <c r="M766">
        <v>9</v>
      </c>
      <c r="N766">
        <v>1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9</v>
      </c>
      <c r="AK766">
        <v>4</v>
      </c>
      <c r="AL766">
        <v>4</v>
      </c>
      <c r="AM766">
        <v>5</v>
      </c>
      <c r="AN766" s="23">
        <v>0.222222222222222</v>
      </c>
      <c r="AO766" s="23">
        <v>0.25</v>
      </c>
      <c r="AP766" s="23">
        <v>0</v>
      </c>
      <c r="AQ766" s="23">
        <v>0.6</v>
      </c>
      <c r="AR766" s="37">
        <v>0.285714285714286</v>
      </c>
      <c r="AS766" s="37">
        <v>17.1428571428571</v>
      </c>
      <c r="AT766" s="37">
        <v>-8.14285714285714</v>
      </c>
      <c r="AU766" s="33">
        <f t="shared" si="14"/>
        <v>31</v>
      </c>
      <c r="AV766" s="38">
        <f>IFERROR(时间!$B$4+AU766,"上周无销量")</f>
        <v>43321</v>
      </c>
    </row>
    <row r="767" spans="1:48">
      <c r="A767" s="21" t="s">
        <v>1692</v>
      </c>
      <c r="B767" t="s">
        <v>1693</v>
      </c>
      <c r="C767" t="s">
        <v>1639</v>
      </c>
      <c r="D767" s="33">
        <v>2</v>
      </c>
      <c r="E767" s="33">
        <v>1</v>
      </c>
      <c r="F767" s="33">
        <v>5</v>
      </c>
      <c r="G767" s="33">
        <v>1</v>
      </c>
      <c r="H767" s="34">
        <v>19.99</v>
      </c>
      <c r="I767">
        <v>15</v>
      </c>
      <c r="J767" s="35">
        <v>0</v>
      </c>
      <c r="K767" s="35">
        <v>0</v>
      </c>
      <c r="L767" s="35">
        <v>0</v>
      </c>
      <c r="M767">
        <v>15</v>
      </c>
      <c r="N767">
        <v>1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13</v>
      </c>
      <c r="AK767">
        <v>15</v>
      </c>
      <c r="AL767">
        <v>15</v>
      </c>
      <c r="AM767">
        <v>8</v>
      </c>
      <c r="AN767" s="23">
        <v>0.153846153846154</v>
      </c>
      <c r="AO767" s="23">
        <v>0.0666666666666667</v>
      </c>
      <c r="AP767" s="23">
        <v>0.333333333333333</v>
      </c>
      <c r="AQ767" s="23">
        <v>0.125</v>
      </c>
      <c r="AR767" s="37">
        <v>0.285714285714286</v>
      </c>
      <c r="AS767" s="37">
        <v>17.1428571428571</v>
      </c>
      <c r="AT767" s="37">
        <v>-2.14285714285714</v>
      </c>
      <c r="AU767" s="33">
        <f t="shared" si="14"/>
        <v>52</v>
      </c>
      <c r="AV767" s="38">
        <f>IFERROR(时间!$B$4+AU767,"上周无销量")</f>
        <v>43342</v>
      </c>
    </row>
    <row r="768" spans="1:48">
      <c r="A768" s="21" t="s">
        <v>1694</v>
      </c>
      <c r="B768" t="s">
        <v>1695</v>
      </c>
      <c r="C768" t="s">
        <v>1639</v>
      </c>
      <c r="D768" s="33">
        <v>0</v>
      </c>
      <c r="E768" s="33">
        <v>0</v>
      </c>
      <c r="F768" s="33">
        <v>0</v>
      </c>
      <c r="G768" s="33">
        <v>0</v>
      </c>
      <c r="H768" s="34">
        <v>0</v>
      </c>
      <c r="I768">
        <v>0</v>
      </c>
      <c r="J768" s="35">
        <v>5</v>
      </c>
      <c r="K768" s="35">
        <v>0</v>
      </c>
      <c r="L768" s="35">
        <v>0</v>
      </c>
      <c r="M768">
        <v>5</v>
      </c>
      <c r="N768">
        <v>2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s">
        <v>54</v>
      </c>
      <c r="AO768" s="23" t="s">
        <v>54</v>
      </c>
      <c r="AP768" s="23" t="s">
        <v>54</v>
      </c>
      <c r="AQ768" s="23" t="s">
        <v>54</v>
      </c>
      <c r="AR768" s="37">
        <v>0</v>
      </c>
      <c r="AS768" s="37">
        <v>0</v>
      </c>
      <c r="AT768" s="37">
        <v>5</v>
      </c>
      <c r="AU768" s="33" t="str">
        <f t="shared" si="14"/>
        <v>库存为5</v>
      </c>
      <c r="AV768" s="38" t="str">
        <f>IFERROR(时间!$B$4+AU768,"上周无销量")</f>
        <v>上周无销量</v>
      </c>
    </row>
    <row r="769" spans="1:48">
      <c r="A769" s="21" t="s">
        <v>1696</v>
      </c>
      <c r="B769" t="s">
        <v>1697</v>
      </c>
      <c r="C769" t="s">
        <v>1639</v>
      </c>
      <c r="D769" s="33">
        <v>0</v>
      </c>
      <c r="E769" s="33">
        <v>1</v>
      </c>
      <c r="F769" s="33">
        <v>0</v>
      </c>
      <c r="G769" s="33">
        <v>0</v>
      </c>
      <c r="H769" s="34">
        <v>19.38</v>
      </c>
      <c r="I769">
        <v>6</v>
      </c>
      <c r="J769" s="35">
        <v>0</v>
      </c>
      <c r="K769" s="35">
        <v>0</v>
      </c>
      <c r="L769" s="35">
        <v>1</v>
      </c>
      <c r="M769">
        <v>7</v>
      </c>
      <c r="N769">
        <v>0</v>
      </c>
      <c r="O769">
        <v>5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14</v>
      </c>
      <c r="AK769">
        <v>21</v>
      </c>
      <c r="AL769">
        <v>21</v>
      </c>
      <c r="AM769">
        <v>8</v>
      </c>
      <c r="AN769" s="23">
        <v>0</v>
      </c>
      <c r="AO769" s="23">
        <v>0.0476190476190476</v>
      </c>
      <c r="AP769" s="23">
        <v>0</v>
      </c>
      <c r="AQ769" s="23">
        <v>0</v>
      </c>
      <c r="AR769" s="37">
        <v>0</v>
      </c>
      <c r="AS769" s="37">
        <v>0</v>
      </c>
      <c r="AT769" s="37">
        <v>7</v>
      </c>
      <c r="AU769" s="33" t="str">
        <f t="shared" si="14"/>
        <v>库存为7</v>
      </c>
      <c r="AV769" s="38" t="str">
        <f>IFERROR(时间!$B$4+AU769,"上周无销量")</f>
        <v>上周无销量</v>
      </c>
    </row>
    <row r="770" spans="1:48">
      <c r="A770" s="21" t="s">
        <v>1698</v>
      </c>
      <c r="B770" t="s">
        <v>1699</v>
      </c>
      <c r="C770" t="s">
        <v>1639</v>
      </c>
      <c r="D770" s="33">
        <v>0</v>
      </c>
      <c r="E770" s="33">
        <v>0</v>
      </c>
      <c r="F770" s="33">
        <v>0</v>
      </c>
      <c r="G770" s="33">
        <v>0</v>
      </c>
      <c r="H770" s="34">
        <v>0</v>
      </c>
      <c r="I770">
        <v>14</v>
      </c>
      <c r="J770" s="35">
        <v>0</v>
      </c>
      <c r="K770" s="35">
        <v>0</v>
      </c>
      <c r="L770" s="35">
        <v>0</v>
      </c>
      <c r="M770">
        <v>14</v>
      </c>
      <c r="N770">
        <v>0</v>
      </c>
      <c r="O770">
        <v>14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5</v>
      </c>
      <c r="AK770">
        <v>2</v>
      </c>
      <c r="AL770">
        <v>2</v>
      </c>
      <c r="AM770">
        <v>3</v>
      </c>
      <c r="AN770" s="23">
        <v>0</v>
      </c>
      <c r="AO770" s="23">
        <v>0</v>
      </c>
      <c r="AP770" s="23">
        <v>0</v>
      </c>
      <c r="AQ770" s="23">
        <v>0</v>
      </c>
      <c r="AR770" s="37">
        <v>0</v>
      </c>
      <c r="AS770" s="37">
        <v>0</v>
      </c>
      <c r="AT770" s="37">
        <v>14</v>
      </c>
      <c r="AU770" s="33" t="str">
        <f t="shared" si="14"/>
        <v>库存为14</v>
      </c>
      <c r="AV770" s="38" t="str">
        <f>IFERROR(时间!$B$4+AU770,"上周无销量")</f>
        <v>上周无销量</v>
      </c>
    </row>
    <row r="771" spans="1:48">
      <c r="A771" s="21" t="s">
        <v>1700</v>
      </c>
      <c r="B771" t="s">
        <v>1701</v>
      </c>
      <c r="C771" t="s">
        <v>1639</v>
      </c>
      <c r="D771" s="33">
        <v>0</v>
      </c>
      <c r="E771" s="33">
        <v>1</v>
      </c>
      <c r="F771" s="33">
        <v>0</v>
      </c>
      <c r="G771" s="33">
        <v>1</v>
      </c>
      <c r="H771" s="34">
        <v>19.38</v>
      </c>
      <c r="I771">
        <v>8</v>
      </c>
      <c r="J771" s="35">
        <v>0</v>
      </c>
      <c r="K771" s="35">
        <v>0</v>
      </c>
      <c r="L771" s="35">
        <v>0</v>
      </c>
      <c r="M771">
        <v>8</v>
      </c>
      <c r="N771">
        <v>1</v>
      </c>
      <c r="O771">
        <v>3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12</v>
      </c>
      <c r="AK771">
        <v>11</v>
      </c>
      <c r="AL771">
        <v>11</v>
      </c>
      <c r="AM771">
        <v>8</v>
      </c>
      <c r="AN771" s="23">
        <v>0</v>
      </c>
      <c r="AO771" s="23">
        <v>0.0909090909090909</v>
      </c>
      <c r="AP771" s="23">
        <v>0</v>
      </c>
      <c r="AQ771" s="23">
        <v>0.125</v>
      </c>
      <c r="AR771" s="37">
        <v>0</v>
      </c>
      <c r="AS771" s="37">
        <v>0</v>
      </c>
      <c r="AT771" s="37">
        <v>8</v>
      </c>
      <c r="AU771" s="33" t="str">
        <f t="shared" si="14"/>
        <v>库存为8</v>
      </c>
      <c r="AV771" s="38" t="str">
        <f>IFERROR(时间!$B$4+AU771,"上周无销量")</f>
        <v>上周无销量</v>
      </c>
    </row>
    <row r="772" spans="1:48">
      <c r="A772" s="21" t="s">
        <v>1702</v>
      </c>
      <c r="B772" t="s">
        <v>1703</v>
      </c>
      <c r="C772" t="s">
        <v>1639</v>
      </c>
      <c r="D772" s="33">
        <v>0</v>
      </c>
      <c r="E772" s="33">
        <v>3</v>
      </c>
      <c r="F772" s="33">
        <v>0</v>
      </c>
      <c r="G772" s="33">
        <v>1</v>
      </c>
      <c r="H772" s="34">
        <v>19.38</v>
      </c>
      <c r="I772">
        <v>10</v>
      </c>
      <c r="J772" s="35">
        <v>0</v>
      </c>
      <c r="K772" s="35">
        <v>0</v>
      </c>
      <c r="L772" s="35">
        <v>0</v>
      </c>
      <c r="M772">
        <v>10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9</v>
      </c>
      <c r="AK772">
        <v>13</v>
      </c>
      <c r="AL772">
        <v>13</v>
      </c>
      <c r="AM772">
        <v>5</v>
      </c>
      <c r="AN772" s="23">
        <v>0</v>
      </c>
      <c r="AO772" s="23">
        <v>0.230769230769231</v>
      </c>
      <c r="AP772" s="23">
        <v>0</v>
      </c>
      <c r="AQ772" s="23">
        <v>0.2</v>
      </c>
      <c r="AR772" s="37">
        <v>0</v>
      </c>
      <c r="AS772" s="37">
        <v>0</v>
      </c>
      <c r="AT772" s="37">
        <v>10</v>
      </c>
      <c r="AU772" s="33" t="str">
        <f t="shared" si="14"/>
        <v>库存为10</v>
      </c>
      <c r="AV772" s="38" t="str">
        <f>IFERROR(时间!$B$4+AU772,"上周无销量")</f>
        <v>上周无销量</v>
      </c>
    </row>
    <row r="773" spans="1:48">
      <c r="A773" s="21" t="s">
        <v>1704</v>
      </c>
      <c r="B773" t="s">
        <v>1705</v>
      </c>
      <c r="C773" t="s">
        <v>1639</v>
      </c>
      <c r="D773" s="33">
        <v>0</v>
      </c>
      <c r="E773" s="33">
        <v>0</v>
      </c>
      <c r="F773" s="33">
        <v>0</v>
      </c>
      <c r="G773" s="33">
        <v>0</v>
      </c>
      <c r="H773" s="34">
        <v>0</v>
      </c>
      <c r="I773">
        <v>0</v>
      </c>
      <c r="J773" s="35">
        <v>6</v>
      </c>
      <c r="K773" s="35">
        <v>0</v>
      </c>
      <c r="L773" s="35">
        <v>0</v>
      </c>
      <c r="M773">
        <v>6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s">
        <v>54</v>
      </c>
      <c r="AO773" s="23" t="s">
        <v>54</v>
      </c>
      <c r="AP773" s="23" t="s">
        <v>54</v>
      </c>
      <c r="AQ773" s="23" t="s">
        <v>54</v>
      </c>
      <c r="AR773" s="37">
        <v>0</v>
      </c>
      <c r="AS773" s="37">
        <v>0</v>
      </c>
      <c r="AT773" s="37">
        <v>6</v>
      </c>
      <c r="AU773" s="33" t="str">
        <f t="shared" ref="AU773:AU836" si="15">IF(AR773="","库存为"&amp;M773,IF(AS773=0,"库存为"&amp;M773,INT(M773/AR773)))</f>
        <v>库存为6</v>
      </c>
      <c r="AV773" s="38" t="str">
        <f>IFERROR(时间!$B$4+AU773,"上周无销量")</f>
        <v>上周无销量</v>
      </c>
    </row>
    <row r="774" spans="1:48">
      <c r="A774" s="21" t="s">
        <v>1706</v>
      </c>
      <c r="B774" t="s">
        <v>1707</v>
      </c>
      <c r="C774" t="s">
        <v>1639</v>
      </c>
      <c r="D774" s="33">
        <v>0</v>
      </c>
      <c r="E774" s="33">
        <v>0</v>
      </c>
      <c r="F774" s="33">
        <v>2</v>
      </c>
      <c r="G774" s="33">
        <v>1</v>
      </c>
      <c r="H774" s="34">
        <v>19.38</v>
      </c>
      <c r="I774">
        <v>11</v>
      </c>
      <c r="J774" s="35">
        <v>0</v>
      </c>
      <c r="K774" s="35">
        <v>0</v>
      </c>
      <c r="L774" s="35">
        <v>0</v>
      </c>
      <c r="M774">
        <v>11</v>
      </c>
      <c r="N774">
        <v>0</v>
      </c>
      <c r="O774">
        <v>5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14</v>
      </c>
      <c r="AK774">
        <v>20</v>
      </c>
      <c r="AL774">
        <v>20</v>
      </c>
      <c r="AM774">
        <v>6</v>
      </c>
      <c r="AN774" s="23">
        <v>0</v>
      </c>
      <c r="AO774" s="23">
        <v>0</v>
      </c>
      <c r="AP774" s="23">
        <v>0.1</v>
      </c>
      <c r="AQ774" s="23">
        <v>0.166666666666667</v>
      </c>
      <c r="AR774" s="37">
        <v>0</v>
      </c>
      <c r="AS774" s="37">
        <v>0</v>
      </c>
      <c r="AT774" s="37">
        <v>11</v>
      </c>
      <c r="AU774" s="33" t="str">
        <f t="shared" si="15"/>
        <v>库存为11</v>
      </c>
      <c r="AV774" s="38" t="str">
        <f>IFERROR(时间!$B$4+AU774,"上周无销量")</f>
        <v>上周无销量</v>
      </c>
    </row>
    <row r="775" spans="1:48">
      <c r="A775" s="21" t="s">
        <v>1708</v>
      </c>
      <c r="B775" t="s">
        <v>1709</v>
      </c>
      <c r="C775" t="s">
        <v>1639</v>
      </c>
      <c r="D775" s="33">
        <v>0</v>
      </c>
      <c r="E775" s="33">
        <v>2</v>
      </c>
      <c r="F775" s="33">
        <v>0</v>
      </c>
      <c r="G775" s="33">
        <v>1</v>
      </c>
      <c r="H775" s="34">
        <v>19.99</v>
      </c>
      <c r="I775">
        <v>9</v>
      </c>
      <c r="J775" s="35">
        <v>0</v>
      </c>
      <c r="K775" s="35">
        <v>0</v>
      </c>
      <c r="L775" s="35">
        <v>0</v>
      </c>
      <c r="M775">
        <v>9</v>
      </c>
      <c r="N775">
        <v>0</v>
      </c>
      <c r="O775">
        <v>8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6</v>
      </c>
      <c r="AK775">
        <v>6</v>
      </c>
      <c r="AL775">
        <v>6</v>
      </c>
      <c r="AM775">
        <v>2</v>
      </c>
      <c r="AN775" s="23">
        <v>0</v>
      </c>
      <c r="AO775" s="23">
        <v>0.333333333333333</v>
      </c>
      <c r="AP775" s="23">
        <v>0</v>
      </c>
      <c r="AQ775" s="23">
        <v>0.5</v>
      </c>
      <c r="AR775" s="37">
        <v>0</v>
      </c>
      <c r="AS775" s="37">
        <v>0</v>
      </c>
      <c r="AT775" s="37">
        <v>9</v>
      </c>
      <c r="AU775" s="33" t="str">
        <f t="shared" si="15"/>
        <v>库存为9</v>
      </c>
      <c r="AV775" s="38" t="str">
        <f>IFERROR(时间!$B$4+AU775,"上周无销量")</f>
        <v>上周无销量</v>
      </c>
    </row>
    <row r="776" spans="1:48">
      <c r="A776" s="21" t="s">
        <v>1710</v>
      </c>
      <c r="B776" t="s">
        <v>1711</v>
      </c>
      <c r="C776" t="s">
        <v>1639</v>
      </c>
      <c r="D776" s="33">
        <v>1</v>
      </c>
      <c r="E776" s="33">
        <v>2</v>
      </c>
      <c r="F776" s="33">
        <v>2</v>
      </c>
      <c r="G776" s="33">
        <v>0</v>
      </c>
      <c r="H776" s="34">
        <v>19.99</v>
      </c>
      <c r="I776">
        <v>9</v>
      </c>
      <c r="J776" s="35">
        <v>0</v>
      </c>
      <c r="K776" s="35">
        <v>0</v>
      </c>
      <c r="L776" s="35">
        <v>0</v>
      </c>
      <c r="M776">
        <v>9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5</v>
      </c>
      <c r="AK776">
        <v>5</v>
      </c>
      <c r="AL776">
        <v>5</v>
      </c>
      <c r="AM776">
        <v>4</v>
      </c>
      <c r="AN776" s="23">
        <v>0.2</v>
      </c>
      <c r="AO776" s="23">
        <v>0.4</v>
      </c>
      <c r="AP776" s="23">
        <v>0.4</v>
      </c>
      <c r="AQ776" s="23">
        <v>0</v>
      </c>
      <c r="AR776" s="37">
        <v>0.142857142857143</v>
      </c>
      <c r="AS776" s="37">
        <v>8.57142857142857</v>
      </c>
      <c r="AT776" s="37">
        <v>0.428571428571429</v>
      </c>
      <c r="AU776" s="33">
        <f t="shared" si="15"/>
        <v>63</v>
      </c>
      <c r="AV776" s="38">
        <f>IFERROR(时间!$B$4+AU776,"上周无销量")</f>
        <v>43353</v>
      </c>
    </row>
    <row r="777" spans="1:48">
      <c r="A777" s="21" t="s">
        <v>1712</v>
      </c>
      <c r="B777" t="s">
        <v>1713</v>
      </c>
      <c r="C777" t="s">
        <v>1639</v>
      </c>
      <c r="D777" s="33">
        <v>4</v>
      </c>
      <c r="E777" s="33">
        <v>3</v>
      </c>
      <c r="F777" s="33">
        <v>4</v>
      </c>
      <c r="G777" s="33">
        <v>0</v>
      </c>
      <c r="H777" s="34">
        <v>19.99</v>
      </c>
      <c r="I777">
        <v>6</v>
      </c>
      <c r="J777" s="35">
        <v>0</v>
      </c>
      <c r="K777" s="35">
        <v>0</v>
      </c>
      <c r="L777" s="35">
        <v>0</v>
      </c>
      <c r="M777">
        <v>6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7</v>
      </c>
      <c r="AK777">
        <v>10</v>
      </c>
      <c r="AL777">
        <v>10</v>
      </c>
      <c r="AM777">
        <v>4</v>
      </c>
      <c r="AN777" s="23">
        <v>0.571428571428571</v>
      </c>
      <c r="AO777" s="23">
        <v>0.3</v>
      </c>
      <c r="AP777" s="23">
        <v>0.4</v>
      </c>
      <c r="AQ777" s="23">
        <v>0</v>
      </c>
      <c r="AR777" s="37">
        <v>0.571428571428571</v>
      </c>
      <c r="AS777" s="37">
        <v>34.2857142857143</v>
      </c>
      <c r="AT777" s="37">
        <v>-28.2857142857143</v>
      </c>
      <c r="AU777" s="33">
        <f t="shared" si="15"/>
        <v>10</v>
      </c>
      <c r="AV777" s="38">
        <f>IFERROR(时间!$B$4+AU777,"上周无销量")</f>
        <v>43300</v>
      </c>
    </row>
    <row r="778" spans="1:48">
      <c r="A778" s="21" t="s">
        <v>1714</v>
      </c>
      <c r="B778" t="s">
        <v>1715</v>
      </c>
      <c r="C778" t="s">
        <v>1639</v>
      </c>
      <c r="D778" s="33">
        <v>2</v>
      </c>
      <c r="E778" s="33">
        <v>4</v>
      </c>
      <c r="F778" s="33">
        <v>0</v>
      </c>
      <c r="G778" s="33">
        <v>0</v>
      </c>
      <c r="H778" s="34">
        <v>19.99</v>
      </c>
      <c r="I778">
        <v>0</v>
      </c>
      <c r="J778" s="35">
        <v>3</v>
      </c>
      <c r="K778" s="35">
        <v>0</v>
      </c>
      <c r="L778" s="35">
        <v>0</v>
      </c>
      <c r="M778">
        <v>3</v>
      </c>
      <c r="N778">
        <v>3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15</v>
      </c>
      <c r="AK778">
        <v>5</v>
      </c>
      <c r="AL778">
        <v>5</v>
      </c>
      <c r="AM778">
        <v>0</v>
      </c>
      <c r="AN778" s="23">
        <v>0.133333333333333</v>
      </c>
      <c r="AO778" s="23">
        <v>0.8</v>
      </c>
      <c r="AP778" s="23">
        <v>0</v>
      </c>
      <c r="AQ778" s="23" t="s">
        <v>54</v>
      </c>
      <c r="AR778" s="37">
        <v>0.285714285714286</v>
      </c>
      <c r="AS778" s="37">
        <v>17.1428571428571</v>
      </c>
      <c r="AT778" s="37">
        <v>-14.1428571428571</v>
      </c>
      <c r="AU778" s="33">
        <f t="shared" si="15"/>
        <v>10</v>
      </c>
      <c r="AV778" s="38">
        <f>IFERROR(时间!$B$4+AU778,"上周无销量")</f>
        <v>43300</v>
      </c>
    </row>
    <row r="779" spans="1:48">
      <c r="A779" s="21" t="s">
        <v>1716</v>
      </c>
      <c r="B779" t="s">
        <v>1717</v>
      </c>
      <c r="C779" t="s">
        <v>1639</v>
      </c>
      <c r="D779" s="33">
        <v>1</v>
      </c>
      <c r="E779" s="33">
        <v>2</v>
      </c>
      <c r="F779" s="33">
        <v>0</v>
      </c>
      <c r="G779" s="33">
        <v>0</v>
      </c>
      <c r="H779" s="34">
        <v>19.99</v>
      </c>
      <c r="I779">
        <v>10</v>
      </c>
      <c r="J779" s="35">
        <v>0</v>
      </c>
      <c r="K779" s="35">
        <v>0</v>
      </c>
      <c r="L779" s="35">
        <v>0</v>
      </c>
      <c r="M779">
        <v>10</v>
      </c>
      <c r="N779">
        <v>0</v>
      </c>
      <c r="O779">
        <v>5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9</v>
      </c>
      <c r="AK779">
        <v>20</v>
      </c>
      <c r="AL779">
        <v>20</v>
      </c>
      <c r="AM779">
        <v>3</v>
      </c>
      <c r="AN779" s="23">
        <v>0.111111111111111</v>
      </c>
      <c r="AO779" s="23">
        <v>0.1</v>
      </c>
      <c r="AP779" s="23">
        <v>0</v>
      </c>
      <c r="AQ779" s="23">
        <v>0</v>
      </c>
      <c r="AR779" s="37">
        <v>0.142857142857143</v>
      </c>
      <c r="AS779" s="37">
        <v>8.57142857142857</v>
      </c>
      <c r="AT779" s="37">
        <v>1.42857142857143</v>
      </c>
      <c r="AU779" s="33">
        <f t="shared" si="15"/>
        <v>70</v>
      </c>
      <c r="AV779" s="38">
        <f>IFERROR(时间!$B$4+AU779,"上周无销量")</f>
        <v>43360</v>
      </c>
    </row>
    <row r="780" spans="1:48">
      <c r="A780" s="21" t="s">
        <v>1718</v>
      </c>
      <c r="B780" t="s">
        <v>1719</v>
      </c>
      <c r="C780" t="s">
        <v>1639</v>
      </c>
      <c r="D780" s="33">
        <v>1</v>
      </c>
      <c r="E780" s="33">
        <v>1</v>
      </c>
      <c r="F780" s="33">
        <v>0</v>
      </c>
      <c r="G780" s="33">
        <v>1</v>
      </c>
      <c r="H780" s="34">
        <v>19.38</v>
      </c>
      <c r="I780">
        <v>4</v>
      </c>
      <c r="J780" s="35">
        <v>0</v>
      </c>
      <c r="K780" s="35">
        <v>0</v>
      </c>
      <c r="L780" s="35">
        <v>0</v>
      </c>
      <c r="M780">
        <v>4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11</v>
      </c>
      <c r="AK780">
        <v>8</v>
      </c>
      <c r="AL780">
        <v>8</v>
      </c>
      <c r="AM780">
        <v>2</v>
      </c>
      <c r="AN780" s="23">
        <v>0.0909090909090909</v>
      </c>
      <c r="AO780" s="23">
        <v>0.125</v>
      </c>
      <c r="AP780" s="23">
        <v>0</v>
      </c>
      <c r="AQ780" s="23">
        <v>0.5</v>
      </c>
      <c r="AR780" s="37">
        <v>0.142857142857143</v>
      </c>
      <c r="AS780" s="37">
        <v>8.57142857142857</v>
      </c>
      <c r="AT780" s="37">
        <v>-4.57142857142857</v>
      </c>
      <c r="AU780" s="33">
        <f t="shared" si="15"/>
        <v>28</v>
      </c>
      <c r="AV780" s="38">
        <f>IFERROR(时间!$B$4+AU780,"上周无销量")</f>
        <v>43318</v>
      </c>
    </row>
    <row r="781" spans="1:48">
      <c r="A781" s="21" t="s">
        <v>1720</v>
      </c>
      <c r="B781" t="s">
        <v>1721</v>
      </c>
      <c r="C781" t="s">
        <v>1639</v>
      </c>
      <c r="D781" s="33">
        <v>2</v>
      </c>
      <c r="E781" s="33">
        <v>3</v>
      </c>
      <c r="F781" s="33">
        <v>0</v>
      </c>
      <c r="G781" s="33">
        <v>0</v>
      </c>
      <c r="H781" s="34">
        <v>19.38</v>
      </c>
      <c r="I781">
        <v>3</v>
      </c>
      <c r="J781" s="35">
        <v>0</v>
      </c>
      <c r="K781" s="35">
        <v>0</v>
      </c>
      <c r="L781" s="35">
        <v>0</v>
      </c>
      <c r="M781">
        <v>3</v>
      </c>
      <c r="N781">
        <v>1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11</v>
      </c>
      <c r="AK781">
        <v>4</v>
      </c>
      <c r="AL781">
        <v>4</v>
      </c>
      <c r="AM781">
        <v>6</v>
      </c>
      <c r="AN781" s="23">
        <v>0.181818181818182</v>
      </c>
      <c r="AO781" s="23">
        <v>0.75</v>
      </c>
      <c r="AP781" s="23">
        <v>0</v>
      </c>
      <c r="AQ781" s="23">
        <v>0</v>
      </c>
      <c r="AR781" s="37">
        <v>0.285714285714286</v>
      </c>
      <c r="AS781" s="37">
        <v>17.1428571428571</v>
      </c>
      <c r="AT781" s="37">
        <v>-14.1428571428571</v>
      </c>
      <c r="AU781" s="33">
        <f t="shared" si="15"/>
        <v>10</v>
      </c>
      <c r="AV781" s="38">
        <f>IFERROR(时间!$B$4+AU781,"上周无销量")</f>
        <v>43300</v>
      </c>
    </row>
    <row r="782" spans="1:48">
      <c r="A782" s="21" t="s">
        <v>1722</v>
      </c>
      <c r="B782" t="s">
        <v>1723</v>
      </c>
      <c r="C782" t="s">
        <v>1639</v>
      </c>
      <c r="D782" s="33">
        <v>1</v>
      </c>
      <c r="E782" s="33">
        <v>3</v>
      </c>
      <c r="F782" s="33">
        <v>0</v>
      </c>
      <c r="G782" s="33">
        <v>0</v>
      </c>
      <c r="H782" s="34">
        <v>19.38</v>
      </c>
      <c r="I782">
        <v>1</v>
      </c>
      <c r="J782" s="35">
        <v>10</v>
      </c>
      <c r="K782" s="35">
        <v>0</v>
      </c>
      <c r="L782" s="35">
        <v>0</v>
      </c>
      <c r="M782">
        <v>11</v>
      </c>
      <c r="N782">
        <v>1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9</v>
      </c>
      <c r="AK782">
        <v>0</v>
      </c>
      <c r="AL782">
        <v>0</v>
      </c>
      <c r="AM782">
        <v>0</v>
      </c>
      <c r="AN782" s="23">
        <v>0.111111111111111</v>
      </c>
      <c r="AO782" s="23" t="s">
        <v>54</v>
      </c>
      <c r="AP782" s="23" t="s">
        <v>54</v>
      </c>
      <c r="AQ782" s="23" t="s">
        <v>54</v>
      </c>
      <c r="AR782" s="37">
        <v>0.142857142857143</v>
      </c>
      <c r="AS782" s="37">
        <v>8.57142857142857</v>
      </c>
      <c r="AT782" s="37">
        <v>2.42857142857143</v>
      </c>
      <c r="AU782" s="33">
        <f t="shared" si="15"/>
        <v>77</v>
      </c>
      <c r="AV782" s="38">
        <f>IFERROR(时间!$B$4+AU782,"上周无销量")</f>
        <v>43367</v>
      </c>
    </row>
    <row r="783" spans="1:48">
      <c r="A783" s="21" t="s">
        <v>1724</v>
      </c>
      <c r="B783" t="s">
        <v>1725</v>
      </c>
      <c r="C783" t="s">
        <v>1639</v>
      </c>
      <c r="D783" s="33">
        <v>4</v>
      </c>
      <c r="E783" s="33">
        <v>4</v>
      </c>
      <c r="F783" s="33">
        <v>4</v>
      </c>
      <c r="G783" s="33">
        <v>3</v>
      </c>
      <c r="H783" s="34">
        <v>19.38</v>
      </c>
      <c r="I783">
        <v>0</v>
      </c>
      <c r="J783" s="35">
        <v>10</v>
      </c>
      <c r="K783" s="35">
        <v>0</v>
      </c>
      <c r="L783" s="35">
        <v>1</v>
      </c>
      <c r="M783">
        <v>11</v>
      </c>
      <c r="N783">
        <v>1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25</v>
      </c>
      <c r="AK783">
        <v>14</v>
      </c>
      <c r="AL783">
        <v>14</v>
      </c>
      <c r="AM783">
        <v>8</v>
      </c>
      <c r="AN783" s="23">
        <v>0.16</v>
      </c>
      <c r="AO783" s="23">
        <v>0.285714285714286</v>
      </c>
      <c r="AP783" s="23">
        <v>0.285714285714286</v>
      </c>
      <c r="AQ783" s="23">
        <v>0.375</v>
      </c>
      <c r="AR783" s="37">
        <v>0.571428571428571</v>
      </c>
      <c r="AS783" s="37">
        <v>34.2857142857143</v>
      </c>
      <c r="AT783" s="37">
        <v>-23.2857142857143</v>
      </c>
      <c r="AU783" s="33">
        <f t="shared" si="15"/>
        <v>19</v>
      </c>
      <c r="AV783" s="38">
        <f>IFERROR(时间!$B$4+AU783,"上周无销量")</f>
        <v>43309</v>
      </c>
    </row>
    <row r="784" spans="1:48">
      <c r="A784" s="21" t="s">
        <v>1726</v>
      </c>
      <c r="B784" t="s">
        <v>1727</v>
      </c>
      <c r="C784" t="s">
        <v>1639</v>
      </c>
      <c r="D784" s="33">
        <v>0</v>
      </c>
      <c r="E784" s="33">
        <v>3</v>
      </c>
      <c r="F784" s="33">
        <v>1</v>
      </c>
      <c r="G784" s="33">
        <v>1</v>
      </c>
      <c r="H784" s="34">
        <v>19.99</v>
      </c>
      <c r="I784">
        <v>4</v>
      </c>
      <c r="J784" s="35">
        <v>0</v>
      </c>
      <c r="K784" s="35">
        <v>0</v>
      </c>
      <c r="L784" s="35">
        <v>0</v>
      </c>
      <c r="M784">
        <v>4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10</v>
      </c>
      <c r="AK784">
        <v>24</v>
      </c>
      <c r="AL784">
        <v>24</v>
      </c>
      <c r="AM784">
        <v>17</v>
      </c>
      <c r="AN784" s="23">
        <v>0</v>
      </c>
      <c r="AO784" s="23">
        <v>0.125</v>
      </c>
      <c r="AP784" s="23">
        <v>0.0416666666666667</v>
      </c>
      <c r="AQ784" s="23">
        <v>0.0588235294117647</v>
      </c>
      <c r="AR784" s="37">
        <v>0</v>
      </c>
      <c r="AS784" s="37">
        <v>0</v>
      </c>
      <c r="AT784" s="37">
        <v>4</v>
      </c>
      <c r="AU784" s="33" t="str">
        <f t="shared" si="15"/>
        <v>库存为4</v>
      </c>
      <c r="AV784" s="38" t="str">
        <f>IFERROR(时间!$B$4+AU784,"上周无销量")</f>
        <v>上周无销量</v>
      </c>
    </row>
    <row r="785" spans="1:48">
      <c r="A785" s="21" t="s">
        <v>1728</v>
      </c>
      <c r="B785" t="s">
        <v>1729</v>
      </c>
      <c r="C785" t="s">
        <v>1730</v>
      </c>
      <c r="D785" s="33">
        <v>0</v>
      </c>
      <c r="E785" s="33">
        <v>1</v>
      </c>
      <c r="F785" s="33">
        <v>2</v>
      </c>
      <c r="G785" s="33">
        <v>1</v>
      </c>
      <c r="H785" s="34">
        <v>20.99</v>
      </c>
      <c r="I785">
        <v>4</v>
      </c>
      <c r="J785" s="35">
        <v>0</v>
      </c>
      <c r="K785" s="35">
        <v>0</v>
      </c>
      <c r="L785" s="35">
        <v>0</v>
      </c>
      <c r="M785">
        <v>4</v>
      </c>
      <c r="N785">
        <v>0</v>
      </c>
      <c r="O785">
        <v>1</v>
      </c>
      <c r="P785">
        <v>64</v>
      </c>
      <c r="Q785">
        <v>99</v>
      </c>
      <c r="R785">
        <v>80</v>
      </c>
      <c r="S785">
        <v>132</v>
      </c>
      <c r="T785">
        <v>0</v>
      </c>
      <c r="U785">
        <v>3</v>
      </c>
      <c r="V785">
        <v>2</v>
      </c>
      <c r="W785">
        <v>5</v>
      </c>
      <c r="X785" s="23">
        <v>0</v>
      </c>
      <c r="Y785" s="23">
        <v>0.0303030303030303</v>
      </c>
      <c r="Z785" s="23">
        <v>0.025</v>
      </c>
      <c r="AA785" s="23">
        <v>0.0378787878787879</v>
      </c>
      <c r="AB785">
        <v>0</v>
      </c>
      <c r="AC785">
        <v>0.3</v>
      </c>
      <c r="AD785">
        <v>0.2</v>
      </c>
      <c r="AE785">
        <v>0.46</v>
      </c>
      <c r="AF785" s="23" t="s">
        <v>54</v>
      </c>
      <c r="AG785" s="23">
        <v>0.014292520247737</v>
      </c>
      <c r="AH785" s="23">
        <v>0.00476417341591234</v>
      </c>
      <c r="AI785" s="23">
        <v>0.0219151977131968</v>
      </c>
      <c r="AJ785">
        <v>8</v>
      </c>
      <c r="AK785">
        <v>3</v>
      </c>
      <c r="AL785">
        <v>3</v>
      </c>
      <c r="AM785">
        <v>1</v>
      </c>
      <c r="AN785" s="23">
        <v>0</v>
      </c>
      <c r="AO785" s="23">
        <v>0.333333333333333</v>
      </c>
      <c r="AP785" s="23">
        <v>0.666666666666667</v>
      </c>
      <c r="AQ785" s="23">
        <v>1</v>
      </c>
      <c r="AR785" s="37">
        <v>0</v>
      </c>
      <c r="AS785" s="37">
        <v>0</v>
      </c>
      <c r="AT785" s="37">
        <v>4</v>
      </c>
      <c r="AU785" s="33" t="str">
        <f t="shared" si="15"/>
        <v>库存为4</v>
      </c>
      <c r="AV785" s="38" t="str">
        <f>IFERROR(时间!$B$4+AU785,"上周无销量")</f>
        <v>上周无销量</v>
      </c>
    </row>
    <row r="786" spans="1:48">
      <c r="A786" s="21" t="s">
        <v>1731</v>
      </c>
      <c r="B786" t="s">
        <v>1732</v>
      </c>
      <c r="C786" t="s">
        <v>1730</v>
      </c>
      <c r="D786" s="33">
        <v>0</v>
      </c>
      <c r="E786" s="33">
        <v>0</v>
      </c>
      <c r="F786" s="33">
        <v>0</v>
      </c>
      <c r="G786" s="33">
        <v>1</v>
      </c>
      <c r="H786" s="34">
        <v>20.99</v>
      </c>
      <c r="I786">
        <v>6</v>
      </c>
      <c r="J786" s="35">
        <v>0</v>
      </c>
      <c r="K786" s="35">
        <v>0</v>
      </c>
      <c r="L786" s="35">
        <v>0</v>
      </c>
      <c r="M786">
        <v>6</v>
      </c>
      <c r="N786">
        <v>1</v>
      </c>
      <c r="O786">
        <v>1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4</v>
      </c>
      <c r="AK786">
        <v>6</v>
      </c>
      <c r="AL786">
        <v>6</v>
      </c>
      <c r="AM786">
        <v>2</v>
      </c>
      <c r="AN786" s="23">
        <v>0</v>
      </c>
      <c r="AO786" s="23">
        <v>0</v>
      </c>
      <c r="AP786" s="23">
        <v>0</v>
      </c>
      <c r="AQ786" s="23">
        <v>0.5</v>
      </c>
      <c r="AR786" s="37">
        <v>0</v>
      </c>
      <c r="AS786" s="37">
        <v>0</v>
      </c>
      <c r="AT786" s="37">
        <v>6</v>
      </c>
      <c r="AU786" s="33" t="str">
        <f t="shared" si="15"/>
        <v>库存为6</v>
      </c>
      <c r="AV786" s="38" t="str">
        <f>IFERROR(时间!$B$4+AU786,"上周无销量")</f>
        <v>上周无销量</v>
      </c>
    </row>
    <row r="787" spans="1:48">
      <c r="A787" s="21" t="s">
        <v>1733</v>
      </c>
      <c r="B787" t="s">
        <v>1734</v>
      </c>
      <c r="C787" t="s">
        <v>1730</v>
      </c>
      <c r="D787" s="33">
        <v>0</v>
      </c>
      <c r="E787" s="33">
        <v>1</v>
      </c>
      <c r="F787" s="33">
        <v>1</v>
      </c>
      <c r="G787" s="33">
        <v>0</v>
      </c>
      <c r="H787" s="34">
        <v>20.99</v>
      </c>
      <c r="I787">
        <v>0</v>
      </c>
      <c r="J787" s="35">
        <v>0</v>
      </c>
      <c r="K787" s="35">
        <v>0</v>
      </c>
      <c r="L787" s="35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1</v>
      </c>
      <c r="AL787">
        <v>1</v>
      </c>
      <c r="AM787">
        <v>1</v>
      </c>
      <c r="AN787" s="23" t="s">
        <v>54</v>
      </c>
      <c r="AO787" s="23">
        <v>1</v>
      </c>
      <c r="AP787" s="23">
        <v>1</v>
      </c>
      <c r="AQ787" s="23">
        <v>0</v>
      </c>
      <c r="AR787" s="37">
        <v>0</v>
      </c>
      <c r="AS787" s="37">
        <v>0</v>
      </c>
      <c r="AT787" s="37">
        <v>0</v>
      </c>
      <c r="AU787" s="33" t="str">
        <f t="shared" si="15"/>
        <v>库存为0</v>
      </c>
      <c r="AV787" s="38" t="str">
        <f>IFERROR(时间!$B$4+AU787,"上周无销量")</f>
        <v>上周无销量</v>
      </c>
    </row>
    <row r="788" spans="1:48">
      <c r="A788" s="21" t="s">
        <v>1735</v>
      </c>
      <c r="B788" t="s">
        <v>1736</v>
      </c>
      <c r="C788" t="s">
        <v>1730</v>
      </c>
      <c r="D788" s="33">
        <v>1</v>
      </c>
      <c r="E788" s="33">
        <v>1</v>
      </c>
      <c r="F788" s="33">
        <v>1</v>
      </c>
      <c r="G788" s="33">
        <v>0</v>
      </c>
      <c r="H788" s="34">
        <v>19.99</v>
      </c>
      <c r="I788">
        <v>8</v>
      </c>
      <c r="J788" s="35">
        <v>0</v>
      </c>
      <c r="K788" s="35">
        <v>0</v>
      </c>
      <c r="L788" s="35">
        <v>0</v>
      </c>
      <c r="M788">
        <v>8</v>
      </c>
      <c r="N788">
        <v>1</v>
      </c>
      <c r="O788">
        <v>6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3</v>
      </c>
      <c r="AK788">
        <v>5</v>
      </c>
      <c r="AL788">
        <v>5</v>
      </c>
      <c r="AM788">
        <v>0</v>
      </c>
      <c r="AN788" s="23">
        <v>0.333333333333333</v>
      </c>
      <c r="AO788" s="23">
        <v>0.2</v>
      </c>
      <c r="AP788" s="23">
        <v>0.2</v>
      </c>
      <c r="AQ788" s="23" t="s">
        <v>54</v>
      </c>
      <c r="AR788" s="37">
        <v>0.142857142857143</v>
      </c>
      <c r="AS788" s="37">
        <v>8.57142857142857</v>
      </c>
      <c r="AT788" s="37">
        <v>-0.571428571428571</v>
      </c>
      <c r="AU788" s="33">
        <f t="shared" si="15"/>
        <v>56</v>
      </c>
      <c r="AV788" s="38">
        <f>IFERROR(时间!$B$4+AU788,"上周无销量")</f>
        <v>43346</v>
      </c>
    </row>
    <row r="789" spans="1:48">
      <c r="A789" s="21" t="s">
        <v>1737</v>
      </c>
      <c r="B789" t="s">
        <v>1738</v>
      </c>
      <c r="C789" t="s">
        <v>1730</v>
      </c>
      <c r="D789" s="33">
        <v>0</v>
      </c>
      <c r="E789" s="33">
        <v>0</v>
      </c>
      <c r="F789" s="33">
        <v>0</v>
      </c>
      <c r="G789" s="33">
        <v>0</v>
      </c>
      <c r="H789" s="34">
        <v>0</v>
      </c>
      <c r="I789">
        <v>15</v>
      </c>
      <c r="J789" s="35">
        <v>0</v>
      </c>
      <c r="K789" s="35">
        <v>0</v>
      </c>
      <c r="L789" s="35">
        <v>0</v>
      </c>
      <c r="M789">
        <v>15</v>
      </c>
      <c r="N789">
        <v>1</v>
      </c>
      <c r="O789">
        <v>14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3</v>
      </c>
      <c r="AK789">
        <v>1</v>
      </c>
      <c r="AL789">
        <v>1</v>
      </c>
      <c r="AM789">
        <v>1</v>
      </c>
      <c r="AN789" s="23">
        <v>0</v>
      </c>
      <c r="AO789" s="23">
        <v>0</v>
      </c>
      <c r="AP789" s="23">
        <v>0</v>
      </c>
      <c r="AQ789" s="23">
        <v>0</v>
      </c>
      <c r="AR789" s="37">
        <v>0</v>
      </c>
      <c r="AS789" s="37">
        <v>0</v>
      </c>
      <c r="AT789" s="37">
        <v>15</v>
      </c>
      <c r="AU789" s="33" t="str">
        <f t="shared" si="15"/>
        <v>库存为15</v>
      </c>
      <c r="AV789" s="38" t="str">
        <f>IFERROR(时间!$B$4+AU789,"上周无销量")</f>
        <v>上周无销量</v>
      </c>
    </row>
    <row r="790" spans="1:48">
      <c r="A790" s="21" t="s">
        <v>1739</v>
      </c>
      <c r="B790" t="s">
        <v>1740</v>
      </c>
      <c r="C790" t="s">
        <v>1730</v>
      </c>
      <c r="D790" s="33">
        <v>0</v>
      </c>
      <c r="E790" s="33">
        <v>0</v>
      </c>
      <c r="F790" s="33">
        <v>0</v>
      </c>
      <c r="G790" s="33">
        <v>0</v>
      </c>
      <c r="H790" s="34">
        <v>0</v>
      </c>
      <c r="I790">
        <v>11</v>
      </c>
      <c r="J790" s="35">
        <v>0</v>
      </c>
      <c r="K790" s="35">
        <v>0</v>
      </c>
      <c r="L790" s="35">
        <v>0</v>
      </c>
      <c r="M790">
        <v>11</v>
      </c>
      <c r="N790">
        <v>0</v>
      </c>
      <c r="O790">
        <v>11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5</v>
      </c>
      <c r="AK790">
        <v>9</v>
      </c>
      <c r="AL790">
        <v>9</v>
      </c>
      <c r="AM790">
        <v>7</v>
      </c>
      <c r="AN790" s="23">
        <v>0</v>
      </c>
      <c r="AO790" s="23">
        <v>0</v>
      </c>
      <c r="AP790" s="23">
        <v>0</v>
      </c>
      <c r="AQ790" s="23">
        <v>0</v>
      </c>
      <c r="AR790" s="37">
        <v>0</v>
      </c>
      <c r="AS790" s="37">
        <v>0</v>
      </c>
      <c r="AT790" s="37">
        <v>11</v>
      </c>
      <c r="AU790" s="33" t="str">
        <f t="shared" si="15"/>
        <v>库存为11</v>
      </c>
      <c r="AV790" s="38" t="str">
        <f>IFERROR(时间!$B$4+AU790,"上周无销量")</f>
        <v>上周无销量</v>
      </c>
    </row>
    <row r="791" spans="1:48">
      <c r="A791" s="21" t="s">
        <v>1741</v>
      </c>
      <c r="B791" t="s">
        <v>1742</v>
      </c>
      <c r="C791" t="s">
        <v>1730</v>
      </c>
      <c r="D791" s="33">
        <v>1</v>
      </c>
      <c r="E791" s="33">
        <v>0</v>
      </c>
      <c r="F791" s="33">
        <v>0</v>
      </c>
      <c r="G791" s="33">
        <v>1</v>
      </c>
      <c r="H791" s="34">
        <v>20.99</v>
      </c>
      <c r="I791">
        <v>4</v>
      </c>
      <c r="J791" s="35">
        <v>0</v>
      </c>
      <c r="K791" s="35">
        <v>0</v>
      </c>
      <c r="L791" s="35">
        <v>0</v>
      </c>
      <c r="M791">
        <v>4</v>
      </c>
      <c r="N791">
        <v>0</v>
      </c>
      <c r="O791">
        <v>4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6</v>
      </c>
      <c r="AK791">
        <v>6</v>
      </c>
      <c r="AL791">
        <v>6</v>
      </c>
      <c r="AM791">
        <v>5</v>
      </c>
      <c r="AN791" s="23">
        <v>0.166666666666667</v>
      </c>
      <c r="AO791" s="23">
        <v>0</v>
      </c>
      <c r="AP791" s="23">
        <v>0</v>
      </c>
      <c r="AQ791" s="23">
        <v>0.2</v>
      </c>
      <c r="AR791" s="37">
        <v>0.142857142857143</v>
      </c>
      <c r="AS791" s="37">
        <v>8.57142857142857</v>
      </c>
      <c r="AT791" s="37">
        <v>-4.57142857142857</v>
      </c>
      <c r="AU791" s="33">
        <f t="shared" si="15"/>
        <v>28</v>
      </c>
      <c r="AV791" s="38">
        <f>IFERROR(时间!$B$4+AU791,"上周无销量")</f>
        <v>43318</v>
      </c>
    </row>
    <row r="792" spans="1:48">
      <c r="A792" s="21" t="s">
        <v>1743</v>
      </c>
      <c r="B792" t="s">
        <v>1744</v>
      </c>
      <c r="C792" t="s">
        <v>1730</v>
      </c>
      <c r="D792" s="33">
        <v>0</v>
      </c>
      <c r="E792" s="33">
        <v>0</v>
      </c>
      <c r="F792" s="33">
        <v>0</v>
      </c>
      <c r="G792" s="33">
        <v>0</v>
      </c>
      <c r="H792" s="34">
        <v>0</v>
      </c>
      <c r="I792">
        <v>0</v>
      </c>
      <c r="J792" s="35">
        <v>0</v>
      </c>
      <c r="K792" s="35">
        <v>0</v>
      </c>
      <c r="L792" s="35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s">
        <v>54</v>
      </c>
      <c r="AO792" s="23" t="s">
        <v>54</v>
      </c>
      <c r="AP792" s="23" t="s">
        <v>54</v>
      </c>
      <c r="AQ792" s="23" t="s">
        <v>54</v>
      </c>
      <c r="AR792" s="37">
        <v>0</v>
      </c>
      <c r="AS792" s="37">
        <v>0</v>
      </c>
      <c r="AT792" s="37">
        <v>0</v>
      </c>
      <c r="AU792" s="33" t="str">
        <f t="shared" si="15"/>
        <v>库存为0</v>
      </c>
      <c r="AV792" s="38" t="str">
        <f>IFERROR(时间!$B$4+AU792,"上周无销量")</f>
        <v>上周无销量</v>
      </c>
    </row>
    <row r="793" spans="1:48">
      <c r="A793" s="21" t="s">
        <v>1745</v>
      </c>
      <c r="B793" t="s">
        <v>1746</v>
      </c>
      <c r="C793" t="s">
        <v>1730</v>
      </c>
      <c r="D793" s="33">
        <v>0</v>
      </c>
      <c r="E793" s="33">
        <v>0</v>
      </c>
      <c r="F793" s="33">
        <v>0</v>
      </c>
      <c r="G793" s="33">
        <v>0</v>
      </c>
      <c r="H793" s="34">
        <v>0</v>
      </c>
      <c r="I793">
        <v>0</v>
      </c>
      <c r="J793" s="35">
        <v>0</v>
      </c>
      <c r="K793" s="35">
        <v>0</v>
      </c>
      <c r="L793" s="35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s">
        <v>54</v>
      </c>
      <c r="AO793" s="23" t="s">
        <v>54</v>
      </c>
      <c r="AP793" s="23" t="s">
        <v>54</v>
      </c>
      <c r="AQ793" s="23" t="s">
        <v>54</v>
      </c>
      <c r="AR793" s="37">
        <v>0</v>
      </c>
      <c r="AS793" s="37">
        <v>0</v>
      </c>
      <c r="AT793" s="37">
        <v>0</v>
      </c>
      <c r="AU793" s="33" t="str">
        <f t="shared" si="15"/>
        <v>库存为0</v>
      </c>
      <c r="AV793" s="38" t="str">
        <f>IFERROR(时间!$B$4+AU793,"上周无销量")</f>
        <v>上周无销量</v>
      </c>
    </row>
    <row r="794" spans="1:48">
      <c r="A794" s="21" t="s">
        <v>1747</v>
      </c>
      <c r="B794" t="s">
        <v>1748</v>
      </c>
      <c r="C794" t="s">
        <v>1730</v>
      </c>
      <c r="D794" s="33">
        <v>0</v>
      </c>
      <c r="E794" s="33">
        <v>1</v>
      </c>
      <c r="F794" s="33">
        <v>0</v>
      </c>
      <c r="G794" s="33">
        <v>1</v>
      </c>
      <c r="H794" s="34">
        <v>20.99</v>
      </c>
      <c r="I794">
        <v>14</v>
      </c>
      <c r="J794" s="35">
        <v>0</v>
      </c>
      <c r="K794" s="35">
        <v>0</v>
      </c>
      <c r="L794" s="35">
        <v>0</v>
      </c>
      <c r="M794">
        <v>14</v>
      </c>
      <c r="N794">
        <v>0</v>
      </c>
      <c r="O794">
        <v>13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1</v>
      </c>
      <c r="AK794">
        <v>3</v>
      </c>
      <c r="AL794">
        <v>3</v>
      </c>
      <c r="AM794">
        <v>2</v>
      </c>
      <c r="AN794" s="23">
        <v>0</v>
      </c>
      <c r="AO794" s="23">
        <v>0.333333333333333</v>
      </c>
      <c r="AP794" s="23">
        <v>0</v>
      </c>
      <c r="AQ794" s="23">
        <v>0.5</v>
      </c>
      <c r="AR794" s="37">
        <v>0</v>
      </c>
      <c r="AS794" s="37">
        <v>0</v>
      </c>
      <c r="AT794" s="37">
        <v>14</v>
      </c>
      <c r="AU794" s="33" t="str">
        <f t="shared" si="15"/>
        <v>库存为14</v>
      </c>
      <c r="AV794" s="38" t="str">
        <f>IFERROR(时间!$B$4+AU794,"上周无销量")</f>
        <v>上周无销量</v>
      </c>
    </row>
    <row r="795" spans="1:48">
      <c r="A795" s="21" t="s">
        <v>1749</v>
      </c>
      <c r="B795" t="s">
        <v>1750</v>
      </c>
      <c r="C795" t="s">
        <v>1730</v>
      </c>
      <c r="D795" s="33">
        <v>0</v>
      </c>
      <c r="E795" s="33">
        <v>0</v>
      </c>
      <c r="F795" s="33">
        <v>1</v>
      </c>
      <c r="G795" s="33">
        <v>0</v>
      </c>
      <c r="H795" s="34">
        <v>20.99</v>
      </c>
      <c r="I795">
        <v>0</v>
      </c>
      <c r="J795" s="35">
        <v>0</v>
      </c>
      <c r="K795" s="35">
        <v>0</v>
      </c>
      <c r="L795" s="35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2</v>
      </c>
      <c r="AL795">
        <v>2</v>
      </c>
      <c r="AM795">
        <v>1</v>
      </c>
      <c r="AN795" s="23" t="s">
        <v>54</v>
      </c>
      <c r="AO795" s="23">
        <v>0</v>
      </c>
      <c r="AP795" s="23">
        <v>0.5</v>
      </c>
      <c r="AQ795" s="23">
        <v>0</v>
      </c>
      <c r="AR795" s="37">
        <v>0</v>
      </c>
      <c r="AS795" s="37">
        <v>0</v>
      </c>
      <c r="AT795" s="37">
        <v>0</v>
      </c>
      <c r="AU795" s="33" t="str">
        <f t="shared" si="15"/>
        <v>库存为0</v>
      </c>
      <c r="AV795" s="38" t="str">
        <f>IFERROR(时间!$B$4+AU795,"上周无销量")</f>
        <v>上周无销量</v>
      </c>
    </row>
    <row r="796" spans="1:48">
      <c r="A796" s="21" t="s">
        <v>1751</v>
      </c>
      <c r="B796" t="s">
        <v>1752</v>
      </c>
      <c r="C796" t="s">
        <v>1730</v>
      </c>
      <c r="D796" s="33">
        <v>0</v>
      </c>
      <c r="E796" s="33">
        <v>0</v>
      </c>
      <c r="F796" s="33">
        <v>0</v>
      </c>
      <c r="G796" s="33">
        <v>0</v>
      </c>
      <c r="H796" s="34">
        <v>0</v>
      </c>
      <c r="I796">
        <v>12</v>
      </c>
      <c r="J796" s="35">
        <v>0</v>
      </c>
      <c r="K796" s="35">
        <v>0</v>
      </c>
      <c r="L796" s="35">
        <v>0</v>
      </c>
      <c r="M796">
        <v>12</v>
      </c>
      <c r="N796">
        <v>0</v>
      </c>
      <c r="O796">
        <v>12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3</v>
      </c>
      <c r="AK796">
        <v>1</v>
      </c>
      <c r="AL796">
        <v>1</v>
      </c>
      <c r="AM796">
        <v>1</v>
      </c>
      <c r="AN796" s="23">
        <v>0</v>
      </c>
      <c r="AO796" s="23">
        <v>0</v>
      </c>
      <c r="AP796" s="23">
        <v>0</v>
      </c>
      <c r="AQ796" s="23">
        <v>0</v>
      </c>
      <c r="AR796" s="37">
        <v>0</v>
      </c>
      <c r="AS796" s="37">
        <v>0</v>
      </c>
      <c r="AT796" s="37">
        <v>12</v>
      </c>
      <c r="AU796" s="33" t="str">
        <f t="shared" si="15"/>
        <v>库存为12</v>
      </c>
      <c r="AV796" s="38" t="str">
        <f>IFERROR(时间!$B$4+AU796,"上周无销量")</f>
        <v>上周无销量</v>
      </c>
    </row>
    <row r="797" spans="1:48">
      <c r="A797" s="21" t="s">
        <v>1753</v>
      </c>
      <c r="B797" t="s">
        <v>1754</v>
      </c>
      <c r="C797" t="s">
        <v>1730</v>
      </c>
      <c r="D797" s="33">
        <v>0</v>
      </c>
      <c r="E797" s="33">
        <v>0</v>
      </c>
      <c r="F797" s="33">
        <v>0</v>
      </c>
      <c r="G797" s="33">
        <v>0</v>
      </c>
      <c r="H797" s="34">
        <v>0</v>
      </c>
      <c r="I797">
        <v>16</v>
      </c>
      <c r="J797" s="35">
        <v>0</v>
      </c>
      <c r="K797" s="35">
        <v>0</v>
      </c>
      <c r="L797" s="35">
        <v>0</v>
      </c>
      <c r="M797">
        <v>16</v>
      </c>
      <c r="N797">
        <v>0</v>
      </c>
      <c r="O797">
        <v>16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1</v>
      </c>
      <c r="AK797">
        <v>2</v>
      </c>
      <c r="AL797">
        <v>2</v>
      </c>
      <c r="AM797">
        <v>3</v>
      </c>
      <c r="AN797" s="23">
        <v>0</v>
      </c>
      <c r="AO797" s="23">
        <v>0</v>
      </c>
      <c r="AP797" s="23">
        <v>0</v>
      </c>
      <c r="AQ797" s="23">
        <v>0</v>
      </c>
      <c r="AR797" s="37">
        <v>0</v>
      </c>
      <c r="AS797" s="37">
        <v>0</v>
      </c>
      <c r="AT797" s="37">
        <v>16</v>
      </c>
      <c r="AU797" s="33" t="str">
        <f t="shared" si="15"/>
        <v>库存为16</v>
      </c>
      <c r="AV797" s="38" t="str">
        <f>IFERROR(时间!$B$4+AU797,"上周无销量")</f>
        <v>上周无销量</v>
      </c>
    </row>
    <row r="798" spans="1:48">
      <c r="A798" s="21" t="s">
        <v>1755</v>
      </c>
      <c r="B798" t="s">
        <v>1756</v>
      </c>
      <c r="C798" t="s">
        <v>1730</v>
      </c>
      <c r="D798" s="33">
        <v>0</v>
      </c>
      <c r="E798" s="33">
        <v>0</v>
      </c>
      <c r="F798" s="33">
        <v>0</v>
      </c>
      <c r="G798" s="33">
        <v>0</v>
      </c>
      <c r="H798" s="34">
        <v>0</v>
      </c>
      <c r="I798">
        <v>13</v>
      </c>
      <c r="J798" s="35">
        <v>0</v>
      </c>
      <c r="K798" s="35">
        <v>0</v>
      </c>
      <c r="L798" s="35">
        <v>0</v>
      </c>
      <c r="M798">
        <v>13</v>
      </c>
      <c r="N798">
        <v>0</v>
      </c>
      <c r="O798">
        <v>13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3</v>
      </c>
      <c r="AK798">
        <v>5</v>
      </c>
      <c r="AL798">
        <v>5</v>
      </c>
      <c r="AM798">
        <v>5</v>
      </c>
      <c r="AN798" s="23">
        <v>0</v>
      </c>
      <c r="AO798" s="23">
        <v>0</v>
      </c>
      <c r="AP798" s="23">
        <v>0</v>
      </c>
      <c r="AQ798" s="23">
        <v>0</v>
      </c>
      <c r="AR798" s="37">
        <v>0</v>
      </c>
      <c r="AS798" s="37">
        <v>0</v>
      </c>
      <c r="AT798" s="37">
        <v>13</v>
      </c>
      <c r="AU798" s="33" t="str">
        <f t="shared" si="15"/>
        <v>库存为13</v>
      </c>
      <c r="AV798" s="38" t="str">
        <f>IFERROR(时间!$B$4+AU798,"上周无销量")</f>
        <v>上周无销量</v>
      </c>
    </row>
    <row r="799" spans="1:48">
      <c r="A799" s="21" t="s">
        <v>1757</v>
      </c>
      <c r="B799" t="s">
        <v>1758</v>
      </c>
      <c r="C799" t="s">
        <v>1730</v>
      </c>
      <c r="D799" s="33">
        <v>0</v>
      </c>
      <c r="E799" s="33">
        <v>0</v>
      </c>
      <c r="F799" s="33">
        <v>0</v>
      </c>
      <c r="G799" s="33">
        <v>0</v>
      </c>
      <c r="H799" s="34">
        <v>0</v>
      </c>
      <c r="I799">
        <v>0</v>
      </c>
      <c r="J799" s="35">
        <v>0</v>
      </c>
      <c r="K799" s="35">
        <v>0</v>
      </c>
      <c r="L799" s="35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s">
        <v>54</v>
      </c>
      <c r="AO799" s="23" t="s">
        <v>54</v>
      </c>
      <c r="AP799" s="23" t="s">
        <v>54</v>
      </c>
      <c r="AQ799" s="23" t="s">
        <v>54</v>
      </c>
      <c r="AR799" s="37">
        <v>0</v>
      </c>
      <c r="AS799" s="37">
        <v>0</v>
      </c>
      <c r="AT799" s="37">
        <v>0</v>
      </c>
      <c r="AU799" s="33" t="str">
        <f t="shared" si="15"/>
        <v>库存为0</v>
      </c>
      <c r="AV799" s="38" t="str">
        <f>IFERROR(时间!$B$4+AU799,"上周无销量")</f>
        <v>上周无销量</v>
      </c>
    </row>
    <row r="800" spans="1:48">
      <c r="A800" s="21" t="s">
        <v>1759</v>
      </c>
      <c r="B800" t="s">
        <v>1760</v>
      </c>
      <c r="C800" t="s">
        <v>1730</v>
      </c>
      <c r="D800" s="33">
        <v>0</v>
      </c>
      <c r="E800" s="33">
        <v>0</v>
      </c>
      <c r="F800" s="33">
        <v>0</v>
      </c>
      <c r="G800" s="33">
        <v>0</v>
      </c>
      <c r="H800" s="34">
        <v>0</v>
      </c>
      <c r="I800">
        <v>0</v>
      </c>
      <c r="J800" s="35">
        <v>0</v>
      </c>
      <c r="K800" s="35">
        <v>0</v>
      </c>
      <c r="L800" s="35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s">
        <v>54</v>
      </c>
      <c r="AO800" s="23" t="s">
        <v>54</v>
      </c>
      <c r="AP800" s="23" t="s">
        <v>54</v>
      </c>
      <c r="AQ800" s="23" t="s">
        <v>54</v>
      </c>
      <c r="AR800" s="37">
        <v>0</v>
      </c>
      <c r="AS800" s="37">
        <v>0</v>
      </c>
      <c r="AT800" s="37">
        <v>0</v>
      </c>
      <c r="AU800" s="33" t="str">
        <f t="shared" si="15"/>
        <v>库存为0</v>
      </c>
      <c r="AV800" s="38" t="str">
        <f>IFERROR(时间!$B$4+AU800,"上周无销量")</f>
        <v>上周无销量</v>
      </c>
    </row>
    <row r="801" spans="1:48">
      <c r="A801" s="21" t="s">
        <v>1761</v>
      </c>
      <c r="B801" t="s">
        <v>1762</v>
      </c>
      <c r="C801" t="s">
        <v>1730</v>
      </c>
      <c r="D801" s="33">
        <v>0</v>
      </c>
      <c r="E801" s="33">
        <v>0</v>
      </c>
      <c r="F801" s="33">
        <v>0</v>
      </c>
      <c r="G801" s="33">
        <v>0</v>
      </c>
      <c r="H801" s="34">
        <v>0</v>
      </c>
      <c r="I801">
        <v>0</v>
      </c>
      <c r="J801" s="35">
        <v>0</v>
      </c>
      <c r="K801" s="35">
        <v>0</v>
      </c>
      <c r="L801" s="35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s">
        <v>54</v>
      </c>
      <c r="AO801" s="23" t="s">
        <v>54</v>
      </c>
      <c r="AP801" s="23" t="s">
        <v>54</v>
      </c>
      <c r="AQ801" s="23" t="s">
        <v>54</v>
      </c>
      <c r="AR801" s="37">
        <v>0</v>
      </c>
      <c r="AS801" s="37">
        <v>0</v>
      </c>
      <c r="AT801" s="37">
        <v>0</v>
      </c>
      <c r="AU801" s="33" t="str">
        <f t="shared" si="15"/>
        <v>库存为0</v>
      </c>
      <c r="AV801" s="38" t="str">
        <f>IFERROR(时间!$B$4+AU801,"上周无销量")</f>
        <v>上周无销量</v>
      </c>
    </row>
    <row r="802" spans="1:48">
      <c r="A802" s="21" t="s">
        <v>1763</v>
      </c>
      <c r="B802" t="s">
        <v>1764</v>
      </c>
      <c r="C802" t="s">
        <v>1730</v>
      </c>
      <c r="D802" s="33">
        <v>0</v>
      </c>
      <c r="E802" s="33">
        <v>0</v>
      </c>
      <c r="F802" s="33">
        <v>0</v>
      </c>
      <c r="G802" s="33">
        <v>1</v>
      </c>
      <c r="H802" s="34">
        <v>21.99</v>
      </c>
      <c r="I802">
        <v>0</v>
      </c>
      <c r="J802" s="35">
        <v>0</v>
      </c>
      <c r="K802" s="35">
        <v>0</v>
      </c>
      <c r="L802" s="35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2</v>
      </c>
      <c r="AN802" s="23" t="s">
        <v>54</v>
      </c>
      <c r="AO802" s="23" t="s">
        <v>54</v>
      </c>
      <c r="AP802" s="23" t="s">
        <v>54</v>
      </c>
      <c r="AQ802" s="23">
        <v>0.5</v>
      </c>
      <c r="AR802" s="37">
        <v>0</v>
      </c>
      <c r="AS802" s="37">
        <v>0</v>
      </c>
      <c r="AT802" s="37">
        <v>0</v>
      </c>
      <c r="AU802" s="33" t="str">
        <f t="shared" si="15"/>
        <v>库存为0</v>
      </c>
      <c r="AV802" s="38" t="str">
        <f>IFERROR(时间!$B$4+AU802,"上周无销量")</f>
        <v>上周无销量</v>
      </c>
    </row>
    <row r="803" spans="1:48">
      <c r="A803" s="21" t="s">
        <v>1765</v>
      </c>
      <c r="B803" t="s">
        <v>1766</v>
      </c>
      <c r="C803" t="s">
        <v>1730</v>
      </c>
      <c r="D803" s="33">
        <v>0</v>
      </c>
      <c r="E803" s="33">
        <v>0</v>
      </c>
      <c r="F803" s="33">
        <v>0</v>
      </c>
      <c r="G803" s="33">
        <v>0</v>
      </c>
      <c r="H803" s="34">
        <v>0</v>
      </c>
      <c r="I803">
        <v>0</v>
      </c>
      <c r="J803" s="35">
        <v>0</v>
      </c>
      <c r="K803" s="35">
        <v>0</v>
      </c>
      <c r="L803" s="35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s">
        <v>54</v>
      </c>
      <c r="AO803" s="23" t="s">
        <v>54</v>
      </c>
      <c r="AP803" s="23" t="s">
        <v>54</v>
      </c>
      <c r="AQ803" s="23" t="s">
        <v>54</v>
      </c>
      <c r="AR803" s="37">
        <v>0</v>
      </c>
      <c r="AS803" s="37">
        <v>0</v>
      </c>
      <c r="AT803" s="37">
        <v>0</v>
      </c>
      <c r="AU803" s="33" t="str">
        <f t="shared" si="15"/>
        <v>库存为0</v>
      </c>
      <c r="AV803" s="38" t="str">
        <f>IFERROR(时间!$B$4+AU803,"上周无销量")</f>
        <v>上周无销量</v>
      </c>
    </row>
    <row r="804" spans="1:48">
      <c r="A804" s="21" t="s">
        <v>1767</v>
      </c>
      <c r="B804" t="s">
        <v>1768</v>
      </c>
      <c r="C804" t="s">
        <v>1730</v>
      </c>
      <c r="D804" s="33">
        <v>0</v>
      </c>
      <c r="E804" s="33">
        <v>0</v>
      </c>
      <c r="F804" s="33">
        <v>1</v>
      </c>
      <c r="G804" s="33">
        <v>0</v>
      </c>
      <c r="H804" s="34">
        <v>19.99</v>
      </c>
      <c r="I804">
        <v>10</v>
      </c>
      <c r="J804" s="35">
        <v>0</v>
      </c>
      <c r="K804" s="35">
        <v>0</v>
      </c>
      <c r="L804" s="35">
        <v>0</v>
      </c>
      <c r="M804">
        <v>10</v>
      </c>
      <c r="N804">
        <v>0</v>
      </c>
      <c r="O804">
        <v>2</v>
      </c>
      <c r="P804">
        <v>9</v>
      </c>
      <c r="Q804">
        <v>16</v>
      </c>
      <c r="R804">
        <v>49</v>
      </c>
      <c r="S804">
        <v>86</v>
      </c>
      <c r="T804">
        <v>0</v>
      </c>
      <c r="U804">
        <v>0</v>
      </c>
      <c r="V804">
        <v>0</v>
      </c>
      <c r="W804">
        <v>1</v>
      </c>
      <c r="X804" s="23">
        <v>0</v>
      </c>
      <c r="Y804" s="23">
        <v>0</v>
      </c>
      <c r="Z804" s="23">
        <v>0</v>
      </c>
      <c r="AA804" s="23">
        <v>0.0116279069767442</v>
      </c>
      <c r="AB804">
        <v>0</v>
      </c>
      <c r="AC804">
        <v>0</v>
      </c>
      <c r="AD804">
        <v>0</v>
      </c>
      <c r="AE804">
        <v>0.04</v>
      </c>
      <c r="AF804" s="23" t="s">
        <v>54</v>
      </c>
      <c r="AG804" s="23" t="s">
        <v>54</v>
      </c>
      <c r="AH804" s="23" t="s">
        <v>54</v>
      </c>
      <c r="AI804" s="23">
        <v>0</v>
      </c>
      <c r="AJ804">
        <v>4</v>
      </c>
      <c r="AK804">
        <v>4</v>
      </c>
      <c r="AL804">
        <v>4</v>
      </c>
      <c r="AM804">
        <v>7</v>
      </c>
      <c r="AN804" s="23">
        <v>0</v>
      </c>
      <c r="AO804" s="23">
        <v>0</v>
      </c>
      <c r="AP804" s="23">
        <v>0.25</v>
      </c>
      <c r="AQ804" s="23">
        <v>0</v>
      </c>
      <c r="AR804" s="37">
        <v>0</v>
      </c>
      <c r="AS804" s="37">
        <v>0</v>
      </c>
      <c r="AT804" s="37">
        <v>10</v>
      </c>
      <c r="AU804" s="33" t="str">
        <f t="shared" si="15"/>
        <v>库存为10</v>
      </c>
      <c r="AV804" s="38" t="str">
        <f>IFERROR(时间!$B$4+AU804,"上周无销量")</f>
        <v>上周无销量</v>
      </c>
    </row>
    <row r="805" spans="1:48">
      <c r="A805" s="21" t="s">
        <v>1769</v>
      </c>
      <c r="B805" t="s">
        <v>1770</v>
      </c>
      <c r="C805" t="s">
        <v>1730</v>
      </c>
      <c r="D805" s="33">
        <v>0</v>
      </c>
      <c r="E805" s="33">
        <v>0</v>
      </c>
      <c r="F805" s="33">
        <v>0</v>
      </c>
      <c r="G805" s="33">
        <v>0</v>
      </c>
      <c r="H805" s="34">
        <v>0</v>
      </c>
      <c r="I805">
        <v>12</v>
      </c>
      <c r="J805" s="35">
        <v>0</v>
      </c>
      <c r="K805" s="35">
        <v>0</v>
      </c>
      <c r="L805" s="35">
        <v>0</v>
      </c>
      <c r="M805">
        <v>12</v>
      </c>
      <c r="N805">
        <v>1</v>
      </c>
      <c r="O805">
        <v>11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3</v>
      </c>
      <c r="AK805">
        <v>5</v>
      </c>
      <c r="AL805">
        <v>5</v>
      </c>
      <c r="AM805">
        <v>6</v>
      </c>
      <c r="AN805" s="23">
        <v>0</v>
      </c>
      <c r="AO805" s="23">
        <v>0</v>
      </c>
      <c r="AP805" s="23">
        <v>0</v>
      </c>
      <c r="AQ805" s="23">
        <v>0</v>
      </c>
      <c r="AR805" s="37">
        <v>0</v>
      </c>
      <c r="AS805" s="37">
        <v>0</v>
      </c>
      <c r="AT805" s="37">
        <v>12</v>
      </c>
      <c r="AU805" s="33" t="str">
        <f t="shared" si="15"/>
        <v>库存为12</v>
      </c>
      <c r="AV805" s="38" t="str">
        <f>IFERROR(时间!$B$4+AU805,"上周无销量")</f>
        <v>上周无销量</v>
      </c>
    </row>
    <row r="806" spans="1:48">
      <c r="A806" s="21" t="s">
        <v>1771</v>
      </c>
      <c r="B806" t="s">
        <v>1772</v>
      </c>
      <c r="C806" t="s">
        <v>1730</v>
      </c>
      <c r="D806" s="33">
        <v>0</v>
      </c>
      <c r="E806" s="33">
        <v>0</v>
      </c>
      <c r="F806" s="33">
        <v>0</v>
      </c>
      <c r="G806" s="33">
        <v>0</v>
      </c>
      <c r="H806" s="34">
        <v>0</v>
      </c>
      <c r="I806">
        <v>9</v>
      </c>
      <c r="J806" s="35">
        <v>0</v>
      </c>
      <c r="K806" s="35">
        <v>0</v>
      </c>
      <c r="L806" s="35">
        <v>0</v>
      </c>
      <c r="M806">
        <v>9</v>
      </c>
      <c r="N806">
        <v>0</v>
      </c>
      <c r="O806">
        <v>9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5</v>
      </c>
      <c r="AK806">
        <v>5</v>
      </c>
      <c r="AL806">
        <v>5</v>
      </c>
      <c r="AM806">
        <v>7</v>
      </c>
      <c r="AN806" s="23">
        <v>0</v>
      </c>
      <c r="AO806" s="23">
        <v>0</v>
      </c>
      <c r="AP806" s="23">
        <v>0</v>
      </c>
      <c r="AQ806" s="23">
        <v>0</v>
      </c>
      <c r="AR806" s="37">
        <v>0</v>
      </c>
      <c r="AS806" s="37">
        <v>0</v>
      </c>
      <c r="AT806" s="37">
        <v>9</v>
      </c>
      <c r="AU806" s="33" t="str">
        <f t="shared" si="15"/>
        <v>库存为9</v>
      </c>
      <c r="AV806" s="38" t="str">
        <f>IFERROR(时间!$B$4+AU806,"上周无销量")</f>
        <v>上周无销量</v>
      </c>
    </row>
    <row r="807" spans="1:48">
      <c r="A807" s="21" t="s">
        <v>1773</v>
      </c>
      <c r="B807" t="s">
        <v>1774</v>
      </c>
      <c r="C807" t="s">
        <v>1730</v>
      </c>
      <c r="D807" s="33">
        <v>0</v>
      </c>
      <c r="E807" s="33">
        <v>0</v>
      </c>
      <c r="F807" s="33">
        <v>0</v>
      </c>
      <c r="G807" s="33">
        <v>0</v>
      </c>
      <c r="H807" s="34">
        <v>0</v>
      </c>
      <c r="I807">
        <v>1</v>
      </c>
      <c r="J807" s="35">
        <v>0</v>
      </c>
      <c r="K807" s="35">
        <v>0</v>
      </c>
      <c r="L807" s="35">
        <v>0</v>
      </c>
      <c r="M807">
        <v>1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5</v>
      </c>
      <c r="AK807">
        <v>3</v>
      </c>
      <c r="AL807">
        <v>3</v>
      </c>
      <c r="AM807">
        <v>2</v>
      </c>
      <c r="AN807" s="23">
        <v>0</v>
      </c>
      <c r="AO807" s="23">
        <v>0</v>
      </c>
      <c r="AP807" s="23">
        <v>0</v>
      </c>
      <c r="AQ807" s="23">
        <v>0</v>
      </c>
      <c r="AR807" s="37">
        <v>0</v>
      </c>
      <c r="AS807" s="37">
        <v>0</v>
      </c>
      <c r="AT807" s="37">
        <v>1</v>
      </c>
      <c r="AU807" s="33" t="str">
        <f t="shared" si="15"/>
        <v>库存为1</v>
      </c>
      <c r="AV807" s="38" t="str">
        <f>IFERROR(时间!$B$4+AU807,"上周无销量")</f>
        <v>上周无销量</v>
      </c>
    </row>
    <row r="808" spans="1:48">
      <c r="A808" s="21" t="s">
        <v>1775</v>
      </c>
      <c r="B808" t="s">
        <v>1776</v>
      </c>
      <c r="C808" t="s">
        <v>1730</v>
      </c>
      <c r="D808" s="33">
        <v>0</v>
      </c>
      <c r="E808" s="33">
        <v>1</v>
      </c>
      <c r="F808" s="33">
        <v>1</v>
      </c>
      <c r="G808" s="33">
        <v>0</v>
      </c>
      <c r="H808" s="34">
        <v>18.59</v>
      </c>
      <c r="I808">
        <v>6</v>
      </c>
      <c r="J808" s="35">
        <v>0</v>
      </c>
      <c r="K808" s="35">
        <v>0</v>
      </c>
      <c r="L808" s="35">
        <v>0</v>
      </c>
      <c r="M808">
        <v>6</v>
      </c>
      <c r="N808">
        <v>2</v>
      </c>
      <c r="O808">
        <v>3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6</v>
      </c>
      <c r="AK808">
        <v>3</v>
      </c>
      <c r="AL808">
        <v>3</v>
      </c>
      <c r="AM808">
        <v>2</v>
      </c>
      <c r="AN808" s="23">
        <v>0</v>
      </c>
      <c r="AO808" s="23">
        <v>0.333333333333333</v>
      </c>
      <c r="AP808" s="23">
        <v>0.333333333333333</v>
      </c>
      <c r="AQ808" s="23">
        <v>0</v>
      </c>
      <c r="AR808" s="37">
        <v>0</v>
      </c>
      <c r="AS808" s="37">
        <v>0</v>
      </c>
      <c r="AT808" s="37">
        <v>6</v>
      </c>
      <c r="AU808" s="33" t="str">
        <f t="shared" si="15"/>
        <v>库存为6</v>
      </c>
      <c r="AV808" s="38" t="str">
        <f>IFERROR(时间!$B$4+AU808,"上周无销量")</f>
        <v>上周无销量</v>
      </c>
    </row>
    <row r="809" spans="1:48">
      <c r="A809" s="21" t="s">
        <v>1777</v>
      </c>
      <c r="B809" t="s">
        <v>1778</v>
      </c>
      <c r="C809" t="s">
        <v>1730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0</v>
      </c>
      <c r="J809" s="35">
        <v>0</v>
      </c>
      <c r="K809" s="35">
        <v>0</v>
      </c>
      <c r="L809" s="35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s">
        <v>54</v>
      </c>
      <c r="AO809" s="23" t="s">
        <v>54</v>
      </c>
      <c r="AP809" s="23" t="s">
        <v>54</v>
      </c>
      <c r="AQ809" s="23" t="s">
        <v>54</v>
      </c>
      <c r="AR809" s="37">
        <v>0</v>
      </c>
      <c r="AS809" s="37">
        <v>0</v>
      </c>
      <c r="AT809" s="37">
        <v>0</v>
      </c>
      <c r="AU809" s="33" t="str">
        <f t="shared" si="15"/>
        <v>库存为0</v>
      </c>
      <c r="AV809" s="38" t="str">
        <f>IFERROR(时间!$B$4+AU809,"上周无销量")</f>
        <v>上周无销量</v>
      </c>
    </row>
    <row r="810" spans="1:48">
      <c r="A810" s="21" t="s">
        <v>1779</v>
      </c>
      <c r="B810" t="s">
        <v>1780</v>
      </c>
      <c r="C810" t="s">
        <v>1730</v>
      </c>
      <c r="D810" s="33">
        <v>0</v>
      </c>
      <c r="E810" s="33">
        <v>0</v>
      </c>
      <c r="F810" s="33">
        <v>0</v>
      </c>
      <c r="G810" s="33">
        <v>0</v>
      </c>
      <c r="H810" s="34">
        <v>0</v>
      </c>
      <c r="I810">
        <v>0</v>
      </c>
      <c r="J810" s="35">
        <v>0</v>
      </c>
      <c r="K810" s="35">
        <v>0</v>
      </c>
      <c r="L810" s="35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s">
        <v>54</v>
      </c>
      <c r="AO810" s="23" t="s">
        <v>54</v>
      </c>
      <c r="AP810" s="23" t="s">
        <v>54</v>
      </c>
      <c r="AQ810" s="23" t="s">
        <v>54</v>
      </c>
      <c r="AR810" s="37">
        <v>0</v>
      </c>
      <c r="AS810" s="37">
        <v>0</v>
      </c>
      <c r="AT810" s="37">
        <v>0</v>
      </c>
      <c r="AU810" s="33" t="str">
        <f t="shared" si="15"/>
        <v>库存为0</v>
      </c>
      <c r="AV810" s="38" t="str">
        <f>IFERROR(时间!$B$4+AU810,"上周无销量")</f>
        <v>上周无销量</v>
      </c>
    </row>
    <row r="811" spans="1:48">
      <c r="A811" s="21" t="s">
        <v>1781</v>
      </c>
      <c r="B811" t="s">
        <v>1782</v>
      </c>
      <c r="C811" t="s">
        <v>1730</v>
      </c>
      <c r="D811" s="33">
        <v>0</v>
      </c>
      <c r="E811" s="33">
        <v>0</v>
      </c>
      <c r="F811" s="33">
        <v>2</v>
      </c>
      <c r="G811" s="33">
        <v>0</v>
      </c>
      <c r="H811" s="34">
        <v>20.99</v>
      </c>
      <c r="I811">
        <v>7</v>
      </c>
      <c r="J811" s="35">
        <v>0</v>
      </c>
      <c r="K811" s="35">
        <v>0</v>
      </c>
      <c r="L811" s="35">
        <v>0</v>
      </c>
      <c r="M811">
        <v>7</v>
      </c>
      <c r="N811">
        <v>0</v>
      </c>
      <c r="O811">
        <v>3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3</v>
      </c>
      <c r="AK811">
        <v>6</v>
      </c>
      <c r="AL811">
        <v>6</v>
      </c>
      <c r="AM811">
        <v>4</v>
      </c>
      <c r="AN811" s="23">
        <v>0</v>
      </c>
      <c r="AO811" s="23">
        <v>0</v>
      </c>
      <c r="AP811" s="23">
        <v>0.333333333333333</v>
      </c>
      <c r="AQ811" s="23">
        <v>0</v>
      </c>
      <c r="AR811" s="37">
        <v>0</v>
      </c>
      <c r="AS811" s="37">
        <v>0</v>
      </c>
      <c r="AT811" s="37">
        <v>7</v>
      </c>
      <c r="AU811" s="33" t="str">
        <f t="shared" si="15"/>
        <v>库存为7</v>
      </c>
      <c r="AV811" s="38" t="str">
        <f>IFERROR(时间!$B$4+AU811,"上周无销量")</f>
        <v>上周无销量</v>
      </c>
    </row>
    <row r="812" spans="1:48">
      <c r="A812" s="21" t="s">
        <v>1783</v>
      </c>
      <c r="B812" t="s">
        <v>1784</v>
      </c>
      <c r="C812" t="s">
        <v>1730</v>
      </c>
      <c r="D812" s="33">
        <v>0</v>
      </c>
      <c r="E812" s="33">
        <v>0</v>
      </c>
      <c r="F812" s="33">
        <v>1</v>
      </c>
      <c r="G812" s="33">
        <v>0</v>
      </c>
      <c r="H812" s="34">
        <v>20.99</v>
      </c>
      <c r="I812">
        <v>6</v>
      </c>
      <c r="J812" s="35">
        <v>0</v>
      </c>
      <c r="K812" s="35">
        <v>0</v>
      </c>
      <c r="L812" s="35">
        <v>0</v>
      </c>
      <c r="M812">
        <v>6</v>
      </c>
      <c r="N812">
        <v>0</v>
      </c>
      <c r="O812">
        <v>6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3</v>
      </c>
      <c r="AK812">
        <v>4</v>
      </c>
      <c r="AL812">
        <v>4</v>
      </c>
      <c r="AM812">
        <v>3</v>
      </c>
      <c r="AN812" s="23">
        <v>0</v>
      </c>
      <c r="AO812" s="23">
        <v>0</v>
      </c>
      <c r="AP812" s="23">
        <v>0.25</v>
      </c>
      <c r="AQ812" s="23">
        <v>0</v>
      </c>
      <c r="AR812" s="37">
        <v>0</v>
      </c>
      <c r="AS812" s="37">
        <v>0</v>
      </c>
      <c r="AT812" s="37">
        <v>6</v>
      </c>
      <c r="AU812" s="33" t="str">
        <f t="shared" si="15"/>
        <v>库存为6</v>
      </c>
      <c r="AV812" s="38" t="str">
        <f>IFERROR(时间!$B$4+AU812,"上周无销量")</f>
        <v>上周无销量</v>
      </c>
    </row>
    <row r="813" spans="1:48">
      <c r="A813" s="21" t="s">
        <v>1785</v>
      </c>
      <c r="B813" t="s">
        <v>1786</v>
      </c>
      <c r="C813" t="s">
        <v>1730</v>
      </c>
      <c r="D813" s="33">
        <v>0</v>
      </c>
      <c r="E813" s="33">
        <v>0</v>
      </c>
      <c r="F813" s="33">
        <v>0</v>
      </c>
      <c r="G813" s="33">
        <v>0</v>
      </c>
      <c r="H813" s="34">
        <v>0</v>
      </c>
      <c r="I813">
        <v>14</v>
      </c>
      <c r="J813" s="35">
        <v>0</v>
      </c>
      <c r="K813" s="35">
        <v>0</v>
      </c>
      <c r="L813" s="35">
        <v>0</v>
      </c>
      <c r="M813">
        <v>14</v>
      </c>
      <c r="N813">
        <v>0</v>
      </c>
      <c r="O813">
        <v>14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2</v>
      </c>
      <c r="AK813">
        <v>1</v>
      </c>
      <c r="AL813">
        <v>1</v>
      </c>
      <c r="AM813">
        <v>5</v>
      </c>
      <c r="AN813" s="23">
        <v>0</v>
      </c>
      <c r="AO813" s="23">
        <v>0</v>
      </c>
      <c r="AP813" s="23">
        <v>0</v>
      </c>
      <c r="AQ813" s="23">
        <v>0</v>
      </c>
      <c r="AR813" s="37">
        <v>0</v>
      </c>
      <c r="AS813" s="37">
        <v>0</v>
      </c>
      <c r="AT813" s="37">
        <v>14</v>
      </c>
      <c r="AU813" s="33" t="str">
        <f t="shared" si="15"/>
        <v>库存为14</v>
      </c>
      <c r="AV813" s="38" t="str">
        <f>IFERROR(时间!$B$4+AU813,"上周无销量")</f>
        <v>上周无销量</v>
      </c>
    </row>
    <row r="814" spans="1:48">
      <c r="A814" s="21" t="s">
        <v>1787</v>
      </c>
      <c r="B814" t="s">
        <v>1788</v>
      </c>
      <c r="C814" t="s">
        <v>1730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13</v>
      </c>
      <c r="J814" s="35">
        <v>0</v>
      </c>
      <c r="K814" s="35">
        <v>0</v>
      </c>
      <c r="L814" s="35">
        <v>0</v>
      </c>
      <c r="M814">
        <v>13</v>
      </c>
      <c r="N814">
        <v>0</v>
      </c>
      <c r="O814">
        <v>11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6</v>
      </c>
      <c r="AK814">
        <v>3</v>
      </c>
      <c r="AL814">
        <v>3</v>
      </c>
      <c r="AM814">
        <v>11</v>
      </c>
      <c r="AN814" s="23">
        <v>0</v>
      </c>
      <c r="AO814" s="23">
        <v>0</v>
      </c>
      <c r="AP814" s="23">
        <v>0</v>
      </c>
      <c r="AQ814" s="23">
        <v>0</v>
      </c>
      <c r="AR814" s="37">
        <v>0</v>
      </c>
      <c r="AS814" s="37">
        <v>0</v>
      </c>
      <c r="AT814" s="37">
        <v>13</v>
      </c>
      <c r="AU814" s="33" t="str">
        <f t="shared" si="15"/>
        <v>库存为13</v>
      </c>
      <c r="AV814" s="38" t="str">
        <f>IFERROR(时间!$B$4+AU814,"上周无销量")</f>
        <v>上周无销量</v>
      </c>
    </row>
    <row r="815" spans="1:48">
      <c r="A815" s="21" t="s">
        <v>1789</v>
      </c>
      <c r="B815" t="s">
        <v>1790</v>
      </c>
      <c r="C815" t="s">
        <v>1730</v>
      </c>
      <c r="D815" s="33">
        <v>0</v>
      </c>
      <c r="E815" s="33">
        <v>2</v>
      </c>
      <c r="F815" s="33">
        <v>1</v>
      </c>
      <c r="G815" s="33">
        <v>1</v>
      </c>
      <c r="H815" s="34">
        <v>20.99</v>
      </c>
      <c r="I815">
        <v>3</v>
      </c>
      <c r="J815" s="35">
        <v>0</v>
      </c>
      <c r="K815" s="35">
        <v>0</v>
      </c>
      <c r="L815" s="35">
        <v>1</v>
      </c>
      <c r="M815">
        <v>4</v>
      </c>
      <c r="N815">
        <v>0</v>
      </c>
      <c r="O815">
        <v>2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4</v>
      </c>
      <c r="AK815">
        <v>3</v>
      </c>
      <c r="AL815">
        <v>3</v>
      </c>
      <c r="AM815">
        <v>3</v>
      </c>
      <c r="AN815" s="23">
        <v>0</v>
      </c>
      <c r="AO815" s="23">
        <v>0.666666666666667</v>
      </c>
      <c r="AP815" s="23">
        <v>0.333333333333333</v>
      </c>
      <c r="AQ815" s="23">
        <v>0.333333333333333</v>
      </c>
      <c r="AR815" s="37">
        <v>0</v>
      </c>
      <c r="AS815" s="37">
        <v>0</v>
      </c>
      <c r="AT815" s="37">
        <v>4</v>
      </c>
      <c r="AU815" s="33" t="str">
        <f t="shared" si="15"/>
        <v>库存为4</v>
      </c>
      <c r="AV815" s="38" t="str">
        <f>IFERROR(时间!$B$4+AU815,"上周无销量")</f>
        <v>上周无销量</v>
      </c>
    </row>
    <row r="816" spans="1:48">
      <c r="A816" s="21" t="s">
        <v>1791</v>
      </c>
      <c r="B816" t="s">
        <v>1792</v>
      </c>
      <c r="C816" t="s">
        <v>1793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0</v>
      </c>
      <c r="J816" s="35">
        <v>0</v>
      </c>
      <c r="K816" s="35">
        <v>0</v>
      </c>
      <c r="L816" s="35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s">
        <v>54</v>
      </c>
      <c r="AO816" s="23" t="s">
        <v>54</v>
      </c>
      <c r="AP816" s="23" t="s">
        <v>54</v>
      </c>
      <c r="AQ816" s="23" t="s">
        <v>54</v>
      </c>
      <c r="AR816" s="37">
        <v>0</v>
      </c>
      <c r="AS816" s="37">
        <v>0</v>
      </c>
      <c r="AT816" s="37">
        <v>0</v>
      </c>
      <c r="AU816" s="33" t="str">
        <f t="shared" si="15"/>
        <v>库存为0</v>
      </c>
      <c r="AV816" s="38" t="str">
        <f>IFERROR(时间!$B$4+AU816,"上周无销量")</f>
        <v>上周无销量</v>
      </c>
    </row>
    <row r="817" spans="1:48">
      <c r="A817" s="21" t="s">
        <v>1794</v>
      </c>
      <c r="B817" t="s">
        <v>1795</v>
      </c>
      <c r="C817" t="s">
        <v>1793</v>
      </c>
      <c r="D817" s="33">
        <v>0</v>
      </c>
      <c r="E817" s="33">
        <v>0</v>
      </c>
      <c r="F817" s="33">
        <v>0</v>
      </c>
      <c r="G817" s="33">
        <v>0</v>
      </c>
      <c r="H817" s="34">
        <v>0</v>
      </c>
      <c r="I817">
        <v>0</v>
      </c>
      <c r="J817" s="35">
        <v>0</v>
      </c>
      <c r="K817" s="35">
        <v>0</v>
      </c>
      <c r="L817" s="35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s">
        <v>54</v>
      </c>
      <c r="AO817" s="23" t="s">
        <v>54</v>
      </c>
      <c r="AP817" s="23" t="s">
        <v>54</v>
      </c>
      <c r="AQ817" s="23" t="s">
        <v>54</v>
      </c>
      <c r="AR817" s="37">
        <v>0</v>
      </c>
      <c r="AS817" s="37">
        <v>0</v>
      </c>
      <c r="AT817" s="37">
        <v>0</v>
      </c>
      <c r="AU817" s="33" t="str">
        <f t="shared" si="15"/>
        <v>库存为0</v>
      </c>
      <c r="AV817" s="38" t="str">
        <f>IFERROR(时间!$B$4+AU817,"上周无销量")</f>
        <v>上周无销量</v>
      </c>
    </row>
    <row r="818" spans="1:48">
      <c r="A818" s="21" t="s">
        <v>1796</v>
      </c>
      <c r="B818" t="s">
        <v>1797</v>
      </c>
      <c r="C818" t="s">
        <v>1793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0</v>
      </c>
      <c r="J818" s="35">
        <v>0</v>
      </c>
      <c r="K818" s="35">
        <v>0</v>
      </c>
      <c r="L818" s="35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s">
        <v>54</v>
      </c>
      <c r="AO818" s="23" t="s">
        <v>54</v>
      </c>
      <c r="AP818" s="23" t="s">
        <v>54</v>
      </c>
      <c r="AQ818" s="23" t="s">
        <v>54</v>
      </c>
      <c r="AR818" s="37">
        <v>0</v>
      </c>
      <c r="AS818" s="37">
        <v>0</v>
      </c>
      <c r="AT818" s="37">
        <v>0</v>
      </c>
      <c r="AU818" s="33" t="str">
        <f t="shared" si="15"/>
        <v>库存为0</v>
      </c>
      <c r="AV818" s="38" t="str">
        <f>IFERROR(时间!$B$4+AU818,"上周无销量")</f>
        <v>上周无销量</v>
      </c>
    </row>
    <row r="819" spans="1:48">
      <c r="A819" s="21" t="s">
        <v>1798</v>
      </c>
      <c r="B819" t="s">
        <v>1799</v>
      </c>
      <c r="C819" t="s">
        <v>1793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0</v>
      </c>
      <c r="J819" s="35">
        <v>0</v>
      </c>
      <c r="K819" s="35">
        <v>0</v>
      </c>
      <c r="L819" s="35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s">
        <v>54</v>
      </c>
      <c r="AO819" s="23" t="s">
        <v>54</v>
      </c>
      <c r="AP819" s="23" t="s">
        <v>54</v>
      </c>
      <c r="AQ819" s="23" t="s">
        <v>54</v>
      </c>
      <c r="AR819" s="37">
        <v>0</v>
      </c>
      <c r="AS819" s="37">
        <v>0</v>
      </c>
      <c r="AT819" s="37">
        <v>0</v>
      </c>
      <c r="AU819" s="33" t="str">
        <f t="shared" si="15"/>
        <v>库存为0</v>
      </c>
      <c r="AV819" s="38" t="str">
        <f>IFERROR(时间!$B$4+AU819,"上周无销量")</f>
        <v>上周无销量</v>
      </c>
    </row>
    <row r="820" spans="1:48">
      <c r="A820" s="21" t="s">
        <v>1800</v>
      </c>
      <c r="B820" t="s">
        <v>1801</v>
      </c>
      <c r="C820" t="s">
        <v>1793</v>
      </c>
      <c r="D820" s="33">
        <v>0</v>
      </c>
      <c r="E820" s="33">
        <v>1</v>
      </c>
      <c r="F820" s="33">
        <v>0</v>
      </c>
      <c r="G820" s="33">
        <v>0</v>
      </c>
      <c r="H820" s="34">
        <v>19.99</v>
      </c>
      <c r="I820">
        <v>0</v>
      </c>
      <c r="J820" s="35">
        <v>0</v>
      </c>
      <c r="K820" s="35">
        <v>0</v>
      </c>
      <c r="L820" s="35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8</v>
      </c>
      <c r="AL820">
        <v>8</v>
      </c>
      <c r="AM820">
        <v>11</v>
      </c>
      <c r="AN820" s="23" t="s">
        <v>54</v>
      </c>
      <c r="AO820" s="23">
        <v>0.125</v>
      </c>
      <c r="AP820" s="23">
        <v>0</v>
      </c>
      <c r="AQ820" s="23">
        <v>0</v>
      </c>
      <c r="AR820" s="37">
        <v>0</v>
      </c>
      <c r="AS820" s="37">
        <v>0</v>
      </c>
      <c r="AT820" s="37">
        <v>0</v>
      </c>
      <c r="AU820" s="33" t="str">
        <f t="shared" si="15"/>
        <v>库存为0</v>
      </c>
      <c r="AV820" s="38" t="str">
        <f>IFERROR(时间!$B$4+AU820,"上周无销量")</f>
        <v>上周无销量</v>
      </c>
    </row>
    <row r="821" spans="1:48">
      <c r="A821" s="21" t="s">
        <v>1802</v>
      </c>
      <c r="B821" t="s">
        <v>1803</v>
      </c>
      <c r="C821" t="s">
        <v>1793</v>
      </c>
      <c r="D821" s="33">
        <v>2</v>
      </c>
      <c r="E821" s="33">
        <v>0</v>
      </c>
      <c r="F821" s="33">
        <v>0</v>
      </c>
      <c r="G821" s="33">
        <v>0</v>
      </c>
      <c r="H821" s="34">
        <v>19.99</v>
      </c>
      <c r="I821">
        <v>1</v>
      </c>
      <c r="J821" s="35">
        <v>0</v>
      </c>
      <c r="K821" s="35">
        <v>0</v>
      </c>
      <c r="L821" s="35">
        <v>0</v>
      </c>
      <c r="M821">
        <v>1</v>
      </c>
      <c r="N821">
        <v>1</v>
      </c>
      <c r="O821">
        <v>1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23</v>
      </c>
      <c r="AK821">
        <v>18</v>
      </c>
      <c r="AL821">
        <v>18</v>
      </c>
      <c r="AM821">
        <v>15</v>
      </c>
      <c r="AN821" s="23">
        <v>0.0869565217391304</v>
      </c>
      <c r="AO821" s="23">
        <v>0</v>
      </c>
      <c r="AP821" s="23">
        <v>0</v>
      </c>
      <c r="AQ821" s="23">
        <v>0</v>
      </c>
      <c r="AR821" s="37">
        <v>0.285714285714286</v>
      </c>
      <c r="AS821" s="37">
        <v>17.1428571428571</v>
      </c>
      <c r="AT821" s="37">
        <v>-16.1428571428571</v>
      </c>
      <c r="AU821" s="33">
        <f t="shared" si="15"/>
        <v>3</v>
      </c>
      <c r="AV821" s="38">
        <f>IFERROR(时间!$B$4+AU821,"上周无销量")</f>
        <v>43293</v>
      </c>
    </row>
    <row r="822" spans="1:48">
      <c r="A822" s="21" t="s">
        <v>1804</v>
      </c>
      <c r="B822" t="s">
        <v>1805</v>
      </c>
      <c r="C822" t="s">
        <v>1793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0</v>
      </c>
      <c r="J822" s="35">
        <v>0</v>
      </c>
      <c r="K822" s="35">
        <v>0</v>
      </c>
      <c r="L822" s="35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s">
        <v>54</v>
      </c>
      <c r="AO822" s="23" t="s">
        <v>54</v>
      </c>
      <c r="AP822" s="23" t="s">
        <v>54</v>
      </c>
      <c r="AQ822" s="23" t="s">
        <v>54</v>
      </c>
      <c r="AR822" s="37">
        <v>0</v>
      </c>
      <c r="AS822" s="37">
        <v>0</v>
      </c>
      <c r="AT822" s="37">
        <v>0</v>
      </c>
      <c r="AU822" s="33" t="str">
        <f t="shared" si="15"/>
        <v>库存为0</v>
      </c>
      <c r="AV822" s="38" t="str">
        <f>IFERROR(时间!$B$4+AU822,"上周无销量")</f>
        <v>上周无销量</v>
      </c>
    </row>
    <row r="823" spans="1:48">
      <c r="A823" s="21" t="s">
        <v>1806</v>
      </c>
      <c r="B823" t="s">
        <v>1807</v>
      </c>
      <c r="C823" t="s">
        <v>1793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0</v>
      </c>
      <c r="J823" s="35">
        <v>0</v>
      </c>
      <c r="K823" s="35">
        <v>0</v>
      </c>
      <c r="L823" s="35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s">
        <v>54</v>
      </c>
      <c r="AO823" s="23" t="s">
        <v>54</v>
      </c>
      <c r="AP823" s="23" t="s">
        <v>54</v>
      </c>
      <c r="AQ823" s="23" t="s">
        <v>54</v>
      </c>
      <c r="AR823" s="37">
        <v>0</v>
      </c>
      <c r="AS823" s="37">
        <v>0</v>
      </c>
      <c r="AT823" s="37">
        <v>0</v>
      </c>
      <c r="AU823" s="33" t="str">
        <f t="shared" si="15"/>
        <v>库存为0</v>
      </c>
      <c r="AV823" s="38" t="str">
        <f>IFERROR(时间!$B$4+AU823,"上周无销量")</f>
        <v>上周无销量</v>
      </c>
    </row>
    <row r="824" spans="1:48">
      <c r="A824" s="21" t="s">
        <v>1808</v>
      </c>
      <c r="B824" t="s">
        <v>1809</v>
      </c>
      <c r="C824" t="s">
        <v>1793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0</v>
      </c>
      <c r="J824" s="35">
        <v>0</v>
      </c>
      <c r="K824" s="35">
        <v>0</v>
      </c>
      <c r="L824" s="35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s">
        <v>54</v>
      </c>
      <c r="AO824" s="23" t="s">
        <v>54</v>
      </c>
      <c r="AP824" s="23" t="s">
        <v>54</v>
      </c>
      <c r="AQ824" s="23" t="s">
        <v>54</v>
      </c>
      <c r="AR824" s="37">
        <v>0</v>
      </c>
      <c r="AS824" s="37">
        <v>0</v>
      </c>
      <c r="AT824" s="37">
        <v>0</v>
      </c>
      <c r="AU824" s="33" t="str">
        <f t="shared" si="15"/>
        <v>库存为0</v>
      </c>
      <c r="AV824" s="38" t="str">
        <f>IFERROR(时间!$B$4+AU824,"上周无销量")</f>
        <v>上周无销量</v>
      </c>
    </row>
    <row r="825" spans="1:48">
      <c r="A825" s="21" t="s">
        <v>1810</v>
      </c>
      <c r="B825" t="s">
        <v>1811</v>
      </c>
      <c r="C825" t="s">
        <v>1793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0</v>
      </c>
      <c r="J825" s="35">
        <v>0</v>
      </c>
      <c r="K825" s="35">
        <v>0</v>
      </c>
      <c r="L825" s="35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s">
        <v>54</v>
      </c>
      <c r="AO825" s="23" t="s">
        <v>54</v>
      </c>
      <c r="AP825" s="23" t="s">
        <v>54</v>
      </c>
      <c r="AQ825" s="23" t="s">
        <v>54</v>
      </c>
      <c r="AR825" s="37">
        <v>0</v>
      </c>
      <c r="AS825" s="37">
        <v>0</v>
      </c>
      <c r="AT825" s="37">
        <v>0</v>
      </c>
      <c r="AU825" s="33" t="str">
        <f t="shared" si="15"/>
        <v>库存为0</v>
      </c>
      <c r="AV825" s="38" t="str">
        <f>IFERROR(时间!$B$4+AU825,"上周无销量")</f>
        <v>上周无销量</v>
      </c>
    </row>
    <row r="826" spans="1:48">
      <c r="A826" s="21" t="s">
        <v>1812</v>
      </c>
      <c r="B826" t="s">
        <v>1813</v>
      </c>
      <c r="C826" t="s">
        <v>1793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0</v>
      </c>
      <c r="J826" s="35">
        <v>0</v>
      </c>
      <c r="K826" s="35">
        <v>0</v>
      </c>
      <c r="L826" s="35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s">
        <v>54</v>
      </c>
      <c r="AO826" s="23" t="s">
        <v>54</v>
      </c>
      <c r="AP826" s="23" t="s">
        <v>54</v>
      </c>
      <c r="AQ826" s="23" t="s">
        <v>54</v>
      </c>
      <c r="AR826" s="37">
        <v>0</v>
      </c>
      <c r="AS826" s="37">
        <v>0</v>
      </c>
      <c r="AT826" s="37">
        <v>0</v>
      </c>
      <c r="AU826" s="33" t="str">
        <f t="shared" si="15"/>
        <v>库存为0</v>
      </c>
      <c r="AV826" s="38" t="str">
        <f>IFERROR(时间!$B$4+AU826,"上周无销量")</f>
        <v>上周无销量</v>
      </c>
    </row>
    <row r="827" spans="1:48">
      <c r="A827" s="21" t="s">
        <v>1814</v>
      </c>
      <c r="B827" t="s">
        <v>1815</v>
      </c>
      <c r="C827" t="s">
        <v>1793</v>
      </c>
      <c r="D827" s="33">
        <v>3</v>
      </c>
      <c r="E827" s="33">
        <v>0</v>
      </c>
      <c r="F827" s="33">
        <v>2</v>
      </c>
      <c r="G827" s="33">
        <v>1</v>
      </c>
      <c r="H827" s="34">
        <v>19.99</v>
      </c>
      <c r="I827">
        <v>0</v>
      </c>
      <c r="J827" s="35">
        <v>0</v>
      </c>
      <c r="K827" s="35">
        <v>0</v>
      </c>
      <c r="L827" s="35">
        <v>0</v>
      </c>
      <c r="M827">
        <v>0</v>
      </c>
      <c r="N827">
        <v>2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9</v>
      </c>
      <c r="AK827">
        <v>15</v>
      </c>
      <c r="AL827">
        <v>15</v>
      </c>
      <c r="AM827">
        <v>17</v>
      </c>
      <c r="AN827" s="23">
        <v>0.333333333333333</v>
      </c>
      <c r="AO827" s="23">
        <v>0</v>
      </c>
      <c r="AP827" s="23">
        <v>0.133333333333333</v>
      </c>
      <c r="AQ827" s="23">
        <v>0.0588235294117647</v>
      </c>
      <c r="AR827" s="37">
        <v>0.428571428571429</v>
      </c>
      <c r="AS827" s="37">
        <v>25.7142857142857</v>
      </c>
      <c r="AT827" s="37">
        <v>-25.7142857142857</v>
      </c>
      <c r="AU827" s="33">
        <f t="shared" si="15"/>
        <v>0</v>
      </c>
      <c r="AV827" s="38">
        <f>IFERROR(时间!$B$4+AU827,"上周无销量")</f>
        <v>43290</v>
      </c>
    </row>
    <row r="828" spans="1:48">
      <c r="A828" s="21" t="s">
        <v>1816</v>
      </c>
      <c r="B828" t="s">
        <v>1817</v>
      </c>
      <c r="C828" t="s">
        <v>1624</v>
      </c>
      <c r="D828" s="33">
        <v>0</v>
      </c>
      <c r="E828" s="33">
        <v>1</v>
      </c>
      <c r="F828" s="33">
        <v>0</v>
      </c>
      <c r="G828" s="33">
        <v>0</v>
      </c>
      <c r="H828" s="34">
        <v>19.99</v>
      </c>
      <c r="I828">
        <v>0</v>
      </c>
      <c r="J828" s="35">
        <v>0</v>
      </c>
      <c r="K828" s="35">
        <v>0</v>
      </c>
      <c r="L828" s="35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4</v>
      </c>
      <c r="AL828">
        <v>4</v>
      </c>
      <c r="AM828">
        <v>3</v>
      </c>
      <c r="AN828" s="23" t="s">
        <v>54</v>
      </c>
      <c r="AO828" s="23">
        <v>0.25</v>
      </c>
      <c r="AP828" s="23">
        <v>0</v>
      </c>
      <c r="AQ828" s="23">
        <v>0</v>
      </c>
      <c r="AR828" s="37">
        <v>0</v>
      </c>
      <c r="AS828" s="37">
        <v>0</v>
      </c>
      <c r="AT828" s="37">
        <v>0</v>
      </c>
      <c r="AU828" s="33" t="str">
        <f t="shared" si="15"/>
        <v>库存为0</v>
      </c>
      <c r="AV828" s="38" t="str">
        <f>IFERROR(时间!$B$4+AU828,"上周无销量")</f>
        <v>上周无销量</v>
      </c>
    </row>
    <row r="829" spans="1:48">
      <c r="A829" s="21" t="s">
        <v>1818</v>
      </c>
      <c r="B829" t="s">
        <v>1819</v>
      </c>
      <c r="C829" t="s">
        <v>1624</v>
      </c>
      <c r="D829" s="33">
        <v>0</v>
      </c>
      <c r="E829" s="33">
        <v>0</v>
      </c>
      <c r="F829" s="33">
        <v>2</v>
      </c>
      <c r="G829" s="33">
        <v>0</v>
      </c>
      <c r="H829" s="34">
        <v>19.99</v>
      </c>
      <c r="I829">
        <v>0</v>
      </c>
      <c r="J829" s="35">
        <v>0</v>
      </c>
      <c r="K829" s="35">
        <v>0</v>
      </c>
      <c r="L829" s="35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2</v>
      </c>
      <c r="AL829">
        <v>2</v>
      </c>
      <c r="AM829">
        <v>3</v>
      </c>
      <c r="AN829" s="23" t="s">
        <v>54</v>
      </c>
      <c r="AO829" s="23">
        <v>0</v>
      </c>
      <c r="AP829" s="23">
        <v>1</v>
      </c>
      <c r="AQ829" s="23">
        <v>0</v>
      </c>
      <c r="AR829" s="37">
        <v>0</v>
      </c>
      <c r="AS829" s="37">
        <v>0</v>
      </c>
      <c r="AT829" s="37">
        <v>0</v>
      </c>
      <c r="AU829" s="33" t="str">
        <f t="shared" si="15"/>
        <v>库存为0</v>
      </c>
      <c r="AV829" s="38" t="str">
        <f>IFERROR(时间!$B$4+AU829,"上周无销量")</f>
        <v>上周无销量</v>
      </c>
    </row>
    <row r="830" spans="1:48">
      <c r="A830" s="21" t="s">
        <v>1820</v>
      </c>
      <c r="B830" t="s">
        <v>1821</v>
      </c>
      <c r="C830" t="s">
        <v>1624</v>
      </c>
      <c r="D830" s="33">
        <v>0</v>
      </c>
      <c r="E830" s="33">
        <v>0</v>
      </c>
      <c r="F830" s="33">
        <v>0</v>
      </c>
      <c r="G830" s="33">
        <v>0</v>
      </c>
      <c r="H830" s="34">
        <v>0</v>
      </c>
      <c r="I830">
        <v>0</v>
      </c>
      <c r="J830" s="35">
        <v>0</v>
      </c>
      <c r="K830" s="35">
        <v>0</v>
      </c>
      <c r="L830" s="35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s">
        <v>54</v>
      </c>
      <c r="AO830" s="23" t="s">
        <v>54</v>
      </c>
      <c r="AP830" s="23" t="s">
        <v>54</v>
      </c>
      <c r="AQ830" s="23" t="s">
        <v>54</v>
      </c>
      <c r="AR830" s="37">
        <v>0</v>
      </c>
      <c r="AS830" s="37">
        <v>0</v>
      </c>
      <c r="AT830" s="37">
        <v>0</v>
      </c>
      <c r="AU830" s="33" t="str">
        <f t="shared" si="15"/>
        <v>库存为0</v>
      </c>
      <c r="AV830" s="38" t="str">
        <f>IFERROR(时间!$B$4+AU830,"上周无销量")</f>
        <v>上周无销量</v>
      </c>
    </row>
    <row r="831" spans="1:48">
      <c r="A831" s="21" t="s">
        <v>1822</v>
      </c>
      <c r="B831" t="s">
        <v>1823</v>
      </c>
      <c r="C831" t="s">
        <v>1824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4</v>
      </c>
      <c r="J831" s="35">
        <v>0</v>
      </c>
      <c r="K831" s="35">
        <v>0</v>
      </c>
      <c r="L831" s="35">
        <v>0</v>
      </c>
      <c r="M831">
        <v>4</v>
      </c>
      <c r="N831">
        <v>0</v>
      </c>
      <c r="O831">
        <v>4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4</v>
      </c>
      <c r="AK831">
        <v>0</v>
      </c>
      <c r="AL831">
        <v>0</v>
      </c>
      <c r="AM831">
        <v>1</v>
      </c>
      <c r="AN831" s="23">
        <v>0</v>
      </c>
      <c r="AO831" s="23" t="s">
        <v>54</v>
      </c>
      <c r="AP831" s="23" t="s">
        <v>54</v>
      </c>
      <c r="AQ831" s="23">
        <v>0</v>
      </c>
      <c r="AR831" s="37">
        <v>0</v>
      </c>
      <c r="AS831" s="37">
        <v>0</v>
      </c>
      <c r="AT831" s="37">
        <v>4</v>
      </c>
      <c r="AU831" s="33" t="str">
        <f t="shared" si="15"/>
        <v>库存为4</v>
      </c>
      <c r="AV831" s="38" t="str">
        <f>IFERROR(时间!$B$4+AU831,"上周无销量")</f>
        <v>上周无销量</v>
      </c>
    </row>
    <row r="832" spans="1:48">
      <c r="A832" s="21" t="s">
        <v>1825</v>
      </c>
      <c r="B832" t="s">
        <v>1826</v>
      </c>
      <c r="C832" t="s">
        <v>1824</v>
      </c>
      <c r="D832" s="33">
        <v>0</v>
      </c>
      <c r="E832" s="33">
        <v>0</v>
      </c>
      <c r="F832" s="33">
        <v>0</v>
      </c>
      <c r="G832" s="33">
        <v>0</v>
      </c>
      <c r="H832" s="34">
        <v>0</v>
      </c>
      <c r="I832">
        <v>0</v>
      </c>
      <c r="J832" s="35">
        <v>0</v>
      </c>
      <c r="K832" s="35">
        <v>0</v>
      </c>
      <c r="L832" s="35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s">
        <v>54</v>
      </c>
      <c r="AO832" s="23" t="s">
        <v>54</v>
      </c>
      <c r="AP832" s="23" t="s">
        <v>54</v>
      </c>
      <c r="AQ832" s="23" t="s">
        <v>54</v>
      </c>
      <c r="AR832" s="37">
        <v>0</v>
      </c>
      <c r="AS832" s="37">
        <v>0</v>
      </c>
      <c r="AT832" s="37">
        <v>0</v>
      </c>
      <c r="AU832" s="33" t="str">
        <f t="shared" si="15"/>
        <v>库存为0</v>
      </c>
      <c r="AV832" s="38" t="str">
        <f>IFERROR(时间!$B$4+AU832,"上周无销量")</f>
        <v>上周无销量</v>
      </c>
    </row>
    <row r="833" spans="1:48">
      <c r="A833" s="21" t="s">
        <v>1827</v>
      </c>
      <c r="B833" t="s">
        <v>1828</v>
      </c>
      <c r="C833" t="s">
        <v>1824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0</v>
      </c>
      <c r="J833" s="35">
        <v>0</v>
      </c>
      <c r="K833" s="35">
        <v>0</v>
      </c>
      <c r="L833" s="35">
        <v>0</v>
      </c>
      <c r="M833">
        <v>0</v>
      </c>
      <c r="N833">
        <v>1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s">
        <v>54</v>
      </c>
      <c r="AO833" s="23" t="s">
        <v>54</v>
      </c>
      <c r="AP833" s="23" t="s">
        <v>54</v>
      </c>
      <c r="AQ833" s="23" t="s">
        <v>54</v>
      </c>
      <c r="AR833" s="37">
        <v>0</v>
      </c>
      <c r="AS833" s="37">
        <v>0</v>
      </c>
      <c r="AT833" s="37">
        <v>0</v>
      </c>
      <c r="AU833" s="33" t="str">
        <f t="shared" si="15"/>
        <v>库存为0</v>
      </c>
      <c r="AV833" s="38" t="str">
        <f>IFERROR(时间!$B$4+AU833,"上周无销量")</f>
        <v>上周无销量</v>
      </c>
    </row>
    <row r="834" spans="1:48">
      <c r="A834" s="21" t="s">
        <v>1829</v>
      </c>
      <c r="B834" t="s">
        <v>1830</v>
      </c>
      <c r="C834" t="s">
        <v>1824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3</v>
      </c>
      <c r="J834" s="35">
        <v>0</v>
      </c>
      <c r="K834" s="35">
        <v>0</v>
      </c>
      <c r="L834" s="35">
        <v>0</v>
      </c>
      <c r="M834">
        <v>3</v>
      </c>
      <c r="N834">
        <v>0</v>
      </c>
      <c r="O834">
        <v>3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2</v>
      </c>
      <c r="AK834">
        <v>1</v>
      </c>
      <c r="AL834">
        <v>1</v>
      </c>
      <c r="AM834">
        <v>0</v>
      </c>
      <c r="AN834" s="23">
        <v>0</v>
      </c>
      <c r="AO834" s="23">
        <v>0</v>
      </c>
      <c r="AP834" s="23">
        <v>0</v>
      </c>
      <c r="AQ834" s="23" t="s">
        <v>54</v>
      </c>
      <c r="AR834" s="37">
        <v>0</v>
      </c>
      <c r="AS834" s="37">
        <v>0</v>
      </c>
      <c r="AT834" s="37">
        <v>3</v>
      </c>
      <c r="AU834" s="33" t="str">
        <f t="shared" si="15"/>
        <v>库存为3</v>
      </c>
      <c r="AV834" s="38" t="str">
        <f>IFERROR(时间!$B$4+AU834,"上周无销量")</f>
        <v>上周无销量</v>
      </c>
    </row>
    <row r="835" spans="1:48">
      <c r="A835" s="21" t="s">
        <v>1831</v>
      </c>
      <c r="B835" t="s">
        <v>1832</v>
      </c>
      <c r="C835" t="s">
        <v>1824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2</v>
      </c>
      <c r="J835" s="35">
        <v>0</v>
      </c>
      <c r="K835" s="35">
        <v>0</v>
      </c>
      <c r="L835" s="35">
        <v>0</v>
      </c>
      <c r="M835">
        <v>2</v>
      </c>
      <c r="N835">
        <v>0</v>
      </c>
      <c r="O835">
        <v>2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1</v>
      </c>
      <c r="AN835" s="23" t="s">
        <v>54</v>
      </c>
      <c r="AO835" s="23" t="s">
        <v>54</v>
      </c>
      <c r="AP835" s="23" t="s">
        <v>54</v>
      </c>
      <c r="AQ835" s="23">
        <v>0</v>
      </c>
      <c r="AR835" s="37">
        <v>0</v>
      </c>
      <c r="AS835" s="37">
        <v>0</v>
      </c>
      <c r="AT835" s="37">
        <v>2</v>
      </c>
      <c r="AU835" s="33" t="str">
        <f t="shared" si="15"/>
        <v>库存为2</v>
      </c>
      <c r="AV835" s="38" t="str">
        <f>IFERROR(时间!$B$4+AU835,"上周无销量")</f>
        <v>上周无销量</v>
      </c>
    </row>
    <row r="836" spans="1:48">
      <c r="A836" s="21" t="s">
        <v>1833</v>
      </c>
      <c r="B836" t="s">
        <v>1834</v>
      </c>
      <c r="C836" t="s">
        <v>1824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3</v>
      </c>
      <c r="J836" s="35">
        <v>0</v>
      </c>
      <c r="K836" s="35">
        <v>0</v>
      </c>
      <c r="L836" s="35">
        <v>0</v>
      </c>
      <c r="M836">
        <v>3</v>
      </c>
      <c r="N836">
        <v>0</v>
      </c>
      <c r="O836">
        <v>3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2</v>
      </c>
      <c r="AK836">
        <v>0</v>
      </c>
      <c r="AL836">
        <v>0</v>
      </c>
      <c r="AM836">
        <v>0</v>
      </c>
      <c r="AN836" s="23">
        <v>0</v>
      </c>
      <c r="AO836" s="23" t="s">
        <v>54</v>
      </c>
      <c r="AP836" s="23" t="s">
        <v>54</v>
      </c>
      <c r="AQ836" s="23" t="s">
        <v>54</v>
      </c>
      <c r="AR836" s="37">
        <v>0</v>
      </c>
      <c r="AS836" s="37">
        <v>0</v>
      </c>
      <c r="AT836" s="37">
        <v>3</v>
      </c>
      <c r="AU836" s="33" t="str">
        <f t="shared" si="15"/>
        <v>库存为3</v>
      </c>
      <c r="AV836" s="38" t="str">
        <f>IFERROR(时间!$B$4+AU836,"上周无销量")</f>
        <v>上周无销量</v>
      </c>
    </row>
    <row r="837" spans="1:48">
      <c r="A837" s="21" t="s">
        <v>1835</v>
      </c>
      <c r="B837" t="s">
        <v>1836</v>
      </c>
      <c r="C837" t="s">
        <v>1824</v>
      </c>
      <c r="D837" s="33">
        <v>0</v>
      </c>
      <c r="E837" s="33">
        <v>0</v>
      </c>
      <c r="F837" s="33">
        <v>0</v>
      </c>
      <c r="G837" s="33">
        <v>0</v>
      </c>
      <c r="H837" s="34">
        <v>0</v>
      </c>
      <c r="I837">
        <v>0</v>
      </c>
      <c r="J837" s="35">
        <v>0</v>
      </c>
      <c r="K837" s="35">
        <v>0</v>
      </c>
      <c r="L837" s="35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s">
        <v>54</v>
      </c>
      <c r="AO837" s="23" t="s">
        <v>54</v>
      </c>
      <c r="AP837" s="23" t="s">
        <v>54</v>
      </c>
      <c r="AQ837" s="23" t="s">
        <v>54</v>
      </c>
      <c r="AR837" s="37">
        <v>0</v>
      </c>
      <c r="AS837" s="37">
        <v>0</v>
      </c>
      <c r="AT837" s="37">
        <v>0</v>
      </c>
      <c r="AU837" s="33" t="str">
        <f t="shared" ref="AU837:AU900" si="16">IF(AR837="","库存为"&amp;M837,IF(AS837=0,"库存为"&amp;M837,INT(M837/AR837)))</f>
        <v>库存为0</v>
      </c>
      <c r="AV837" s="38" t="str">
        <f>IFERROR(时间!$B$4+AU837,"上周无销量")</f>
        <v>上周无销量</v>
      </c>
    </row>
    <row r="838" spans="1:48">
      <c r="A838" s="21" t="s">
        <v>1837</v>
      </c>
      <c r="B838" t="s">
        <v>1838</v>
      </c>
      <c r="C838" t="s">
        <v>1824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1</v>
      </c>
      <c r="J838" s="35">
        <v>0</v>
      </c>
      <c r="K838" s="35">
        <v>0</v>
      </c>
      <c r="L838" s="35">
        <v>0</v>
      </c>
      <c r="M838">
        <v>1</v>
      </c>
      <c r="N838">
        <v>0</v>
      </c>
      <c r="O838">
        <v>1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2</v>
      </c>
      <c r="AK838">
        <v>0</v>
      </c>
      <c r="AL838">
        <v>0</v>
      </c>
      <c r="AM838">
        <v>0</v>
      </c>
      <c r="AN838" s="23">
        <v>0</v>
      </c>
      <c r="AO838" s="23" t="s">
        <v>54</v>
      </c>
      <c r="AP838" s="23" t="s">
        <v>54</v>
      </c>
      <c r="AQ838" s="23" t="s">
        <v>54</v>
      </c>
      <c r="AR838" s="37">
        <v>0</v>
      </c>
      <c r="AS838" s="37">
        <v>0</v>
      </c>
      <c r="AT838" s="37">
        <v>1</v>
      </c>
      <c r="AU838" s="33" t="str">
        <f t="shared" si="16"/>
        <v>库存为1</v>
      </c>
      <c r="AV838" s="38" t="str">
        <f>IFERROR(时间!$B$4+AU838,"上周无销量")</f>
        <v>上周无销量</v>
      </c>
    </row>
    <row r="839" spans="1:48">
      <c r="A839" s="21" t="s">
        <v>1839</v>
      </c>
      <c r="B839" t="s">
        <v>1840</v>
      </c>
      <c r="C839" t="s">
        <v>1824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3</v>
      </c>
      <c r="J839" s="35">
        <v>0</v>
      </c>
      <c r="K839" s="35">
        <v>0</v>
      </c>
      <c r="L839" s="35">
        <v>0</v>
      </c>
      <c r="M839">
        <v>3</v>
      </c>
      <c r="N839">
        <v>0</v>
      </c>
      <c r="O839">
        <v>3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3</v>
      </c>
      <c r="AK839">
        <v>1</v>
      </c>
      <c r="AL839">
        <v>1</v>
      </c>
      <c r="AM839">
        <v>1</v>
      </c>
      <c r="AN839" s="23">
        <v>0</v>
      </c>
      <c r="AO839" s="23">
        <v>0</v>
      </c>
      <c r="AP839" s="23">
        <v>0</v>
      </c>
      <c r="AQ839" s="23">
        <v>0</v>
      </c>
      <c r="AR839" s="37">
        <v>0</v>
      </c>
      <c r="AS839" s="37">
        <v>0</v>
      </c>
      <c r="AT839" s="37">
        <v>3</v>
      </c>
      <c r="AU839" s="33" t="str">
        <f t="shared" si="16"/>
        <v>库存为3</v>
      </c>
      <c r="AV839" s="38" t="str">
        <f>IFERROR(时间!$B$4+AU839,"上周无销量")</f>
        <v>上周无销量</v>
      </c>
    </row>
    <row r="840" spans="1:48">
      <c r="A840" s="21" t="s">
        <v>1841</v>
      </c>
      <c r="B840" t="s">
        <v>1842</v>
      </c>
      <c r="C840" t="s">
        <v>1824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1</v>
      </c>
      <c r="J840" s="35">
        <v>0</v>
      </c>
      <c r="K840" s="35">
        <v>0</v>
      </c>
      <c r="L840" s="35">
        <v>0</v>
      </c>
      <c r="M840">
        <v>1</v>
      </c>
      <c r="N840">
        <v>0</v>
      </c>
      <c r="O840">
        <v>1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5</v>
      </c>
      <c r="AK840">
        <v>1</v>
      </c>
      <c r="AL840">
        <v>1</v>
      </c>
      <c r="AM840">
        <v>0</v>
      </c>
      <c r="AN840" s="23">
        <v>0</v>
      </c>
      <c r="AO840" s="23">
        <v>0</v>
      </c>
      <c r="AP840" s="23">
        <v>0</v>
      </c>
      <c r="AQ840" s="23" t="s">
        <v>54</v>
      </c>
      <c r="AR840" s="37">
        <v>0</v>
      </c>
      <c r="AS840" s="37">
        <v>0</v>
      </c>
      <c r="AT840" s="37">
        <v>1</v>
      </c>
      <c r="AU840" s="33" t="str">
        <f t="shared" si="16"/>
        <v>库存为1</v>
      </c>
      <c r="AV840" s="38" t="str">
        <f>IFERROR(时间!$B$4+AU840,"上周无销量")</f>
        <v>上周无销量</v>
      </c>
    </row>
    <row r="841" spans="1:48">
      <c r="A841" s="21" t="s">
        <v>1843</v>
      </c>
      <c r="B841" t="s">
        <v>1844</v>
      </c>
      <c r="C841" t="s">
        <v>1824</v>
      </c>
      <c r="D841" s="33">
        <v>0</v>
      </c>
      <c r="E841" s="33">
        <v>0</v>
      </c>
      <c r="F841" s="33">
        <v>0</v>
      </c>
      <c r="G841" s="33">
        <v>0</v>
      </c>
      <c r="H841" s="34">
        <v>0</v>
      </c>
      <c r="I841">
        <v>3</v>
      </c>
      <c r="J841" s="35">
        <v>0</v>
      </c>
      <c r="K841" s="35">
        <v>0</v>
      </c>
      <c r="L841" s="35">
        <v>0</v>
      </c>
      <c r="M841">
        <v>3</v>
      </c>
      <c r="N841">
        <v>0</v>
      </c>
      <c r="O841">
        <v>3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4</v>
      </c>
      <c r="AK841">
        <v>0</v>
      </c>
      <c r="AL841">
        <v>0</v>
      </c>
      <c r="AM841">
        <v>3</v>
      </c>
      <c r="AN841" s="23">
        <v>0</v>
      </c>
      <c r="AO841" s="23" t="s">
        <v>54</v>
      </c>
      <c r="AP841" s="23" t="s">
        <v>54</v>
      </c>
      <c r="AQ841" s="23">
        <v>0</v>
      </c>
      <c r="AR841" s="37">
        <v>0</v>
      </c>
      <c r="AS841" s="37">
        <v>0</v>
      </c>
      <c r="AT841" s="37">
        <v>3</v>
      </c>
      <c r="AU841" s="33" t="str">
        <f t="shared" si="16"/>
        <v>库存为3</v>
      </c>
      <c r="AV841" s="38" t="str">
        <f>IFERROR(时间!$B$4+AU841,"上周无销量")</f>
        <v>上周无销量</v>
      </c>
    </row>
    <row r="842" spans="1:48">
      <c r="A842" s="21" t="s">
        <v>1845</v>
      </c>
      <c r="B842" t="s">
        <v>1846</v>
      </c>
      <c r="C842" t="s">
        <v>1824</v>
      </c>
      <c r="D842" s="33">
        <v>0</v>
      </c>
      <c r="E842" s="33">
        <v>0</v>
      </c>
      <c r="F842" s="33">
        <v>0</v>
      </c>
      <c r="G842" s="33">
        <v>0</v>
      </c>
      <c r="H842" s="34">
        <v>0</v>
      </c>
      <c r="I842">
        <v>0</v>
      </c>
      <c r="J842" s="35">
        <v>0</v>
      </c>
      <c r="K842" s="35">
        <v>0</v>
      </c>
      <c r="L842" s="35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s">
        <v>54</v>
      </c>
      <c r="AO842" s="23" t="s">
        <v>54</v>
      </c>
      <c r="AP842" s="23" t="s">
        <v>54</v>
      </c>
      <c r="AQ842" s="23" t="s">
        <v>54</v>
      </c>
      <c r="AR842" s="37">
        <v>0</v>
      </c>
      <c r="AS842" s="37">
        <v>0</v>
      </c>
      <c r="AT842" s="37">
        <v>0</v>
      </c>
      <c r="AU842" s="33" t="str">
        <f t="shared" si="16"/>
        <v>库存为0</v>
      </c>
      <c r="AV842" s="38" t="str">
        <f>IFERROR(时间!$B$4+AU842,"上周无销量")</f>
        <v>上周无销量</v>
      </c>
    </row>
    <row r="843" spans="1:48">
      <c r="A843" s="21" t="s">
        <v>1847</v>
      </c>
      <c r="B843" t="s">
        <v>1848</v>
      </c>
      <c r="C843" t="s">
        <v>1849</v>
      </c>
      <c r="D843" s="33">
        <v>0</v>
      </c>
      <c r="E843" s="33">
        <v>0</v>
      </c>
      <c r="F843" s="33">
        <v>0</v>
      </c>
      <c r="G843" s="33">
        <v>1</v>
      </c>
      <c r="H843" s="34">
        <v>19.99</v>
      </c>
      <c r="I843">
        <v>0</v>
      </c>
      <c r="J843" s="35">
        <v>0</v>
      </c>
      <c r="K843" s="35">
        <v>0</v>
      </c>
      <c r="L843" s="35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s">
        <v>54</v>
      </c>
      <c r="AO843" s="23" t="s">
        <v>54</v>
      </c>
      <c r="AP843" s="23" t="s">
        <v>54</v>
      </c>
      <c r="AQ843" s="23" t="s">
        <v>54</v>
      </c>
      <c r="AR843" s="37">
        <v>0</v>
      </c>
      <c r="AS843" s="37">
        <v>0</v>
      </c>
      <c r="AT843" s="37">
        <v>0</v>
      </c>
      <c r="AU843" s="33" t="str">
        <f t="shared" si="16"/>
        <v>库存为0</v>
      </c>
      <c r="AV843" s="38" t="str">
        <f>IFERROR(时间!$B$4+AU843,"上周无销量")</f>
        <v>上周无销量</v>
      </c>
    </row>
    <row r="844" spans="1:48">
      <c r="A844" s="21" t="s">
        <v>1850</v>
      </c>
      <c r="B844" t="s">
        <v>1851</v>
      </c>
      <c r="C844" t="s">
        <v>1849</v>
      </c>
      <c r="D844" s="33">
        <v>0</v>
      </c>
      <c r="E844" s="33">
        <v>1</v>
      </c>
      <c r="F844" s="33">
        <v>0</v>
      </c>
      <c r="G844" s="33">
        <v>0</v>
      </c>
      <c r="H844" s="34">
        <v>26.99</v>
      </c>
      <c r="I844">
        <v>1</v>
      </c>
      <c r="J844" s="35">
        <v>0</v>
      </c>
      <c r="K844" s="35">
        <v>0</v>
      </c>
      <c r="L844" s="35">
        <v>0</v>
      </c>
      <c r="M844">
        <v>1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4</v>
      </c>
      <c r="AK844">
        <v>0</v>
      </c>
      <c r="AL844">
        <v>0</v>
      </c>
      <c r="AM844">
        <v>5</v>
      </c>
      <c r="AN844" s="23">
        <v>0</v>
      </c>
      <c r="AO844" s="23" t="s">
        <v>54</v>
      </c>
      <c r="AP844" s="23" t="s">
        <v>54</v>
      </c>
      <c r="AQ844" s="23">
        <v>0</v>
      </c>
      <c r="AR844" s="37">
        <v>0</v>
      </c>
      <c r="AS844" s="37">
        <v>0</v>
      </c>
      <c r="AT844" s="37">
        <v>1</v>
      </c>
      <c r="AU844" s="33" t="str">
        <f t="shared" si="16"/>
        <v>库存为1</v>
      </c>
      <c r="AV844" s="38" t="str">
        <f>IFERROR(时间!$B$4+AU844,"上周无销量")</f>
        <v>上周无销量</v>
      </c>
    </row>
    <row r="845" spans="1:48">
      <c r="A845" s="21" t="s">
        <v>1852</v>
      </c>
      <c r="B845" t="s">
        <v>1853</v>
      </c>
      <c r="C845" t="s">
        <v>1849</v>
      </c>
      <c r="D845" s="33">
        <v>2</v>
      </c>
      <c r="E845" s="33">
        <v>0</v>
      </c>
      <c r="F845" s="33">
        <v>0</v>
      </c>
      <c r="G845" s="33">
        <v>0</v>
      </c>
      <c r="H845" s="34">
        <v>26.99</v>
      </c>
      <c r="I845">
        <v>1</v>
      </c>
      <c r="J845" s="35">
        <v>0</v>
      </c>
      <c r="K845" s="35">
        <v>0</v>
      </c>
      <c r="L845" s="35">
        <v>0</v>
      </c>
      <c r="M845">
        <v>1</v>
      </c>
      <c r="N845">
        <v>0</v>
      </c>
      <c r="O845">
        <v>3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5</v>
      </c>
      <c r="AK845">
        <v>0</v>
      </c>
      <c r="AL845">
        <v>0</v>
      </c>
      <c r="AM845">
        <v>2</v>
      </c>
      <c r="AN845" s="23">
        <v>0.4</v>
      </c>
      <c r="AO845" s="23" t="s">
        <v>54</v>
      </c>
      <c r="AP845" s="23" t="s">
        <v>54</v>
      </c>
      <c r="AQ845" s="23">
        <v>0</v>
      </c>
      <c r="AR845" s="37">
        <v>0.285714285714286</v>
      </c>
      <c r="AS845" s="37">
        <v>17.1428571428571</v>
      </c>
      <c r="AT845" s="37">
        <v>-16.1428571428571</v>
      </c>
      <c r="AU845" s="33">
        <f t="shared" si="16"/>
        <v>3</v>
      </c>
      <c r="AV845" s="38">
        <f>IFERROR(时间!$B$4+AU845,"上周无销量")</f>
        <v>43293</v>
      </c>
    </row>
    <row r="846" spans="1:48">
      <c r="A846" s="21" t="s">
        <v>1854</v>
      </c>
      <c r="B846" t="s">
        <v>1855</v>
      </c>
      <c r="C846" t="s">
        <v>1849</v>
      </c>
      <c r="D846" s="33">
        <v>0</v>
      </c>
      <c r="E846" s="33">
        <v>0</v>
      </c>
      <c r="F846" s="33">
        <v>0</v>
      </c>
      <c r="G846" s="33">
        <v>0</v>
      </c>
      <c r="H846" s="34">
        <v>0</v>
      </c>
      <c r="I846">
        <v>0</v>
      </c>
      <c r="J846" s="35">
        <v>0</v>
      </c>
      <c r="K846" s="35">
        <v>0</v>
      </c>
      <c r="L846" s="35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s">
        <v>54</v>
      </c>
      <c r="AO846" s="23" t="s">
        <v>54</v>
      </c>
      <c r="AP846" s="23" t="s">
        <v>54</v>
      </c>
      <c r="AQ846" s="23" t="s">
        <v>54</v>
      </c>
      <c r="AR846" s="37">
        <v>0</v>
      </c>
      <c r="AS846" s="37">
        <v>0</v>
      </c>
      <c r="AT846" s="37">
        <v>0</v>
      </c>
      <c r="AU846" s="33" t="str">
        <f t="shared" si="16"/>
        <v>库存为0</v>
      </c>
      <c r="AV846" s="38" t="str">
        <f>IFERROR(时间!$B$4+AU846,"上周无销量")</f>
        <v>上周无销量</v>
      </c>
    </row>
    <row r="847" spans="1:48">
      <c r="A847" s="21" t="s">
        <v>1856</v>
      </c>
      <c r="B847" t="s">
        <v>1857</v>
      </c>
      <c r="C847" t="s">
        <v>1858</v>
      </c>
      <c r="D847" s="33">
        <v>1</v>
      </c>
      <c r="E847" s="33">
        <v>0</v>
      </c>
      <c r="F847" s="33">
        <v>1</v>
      </c>
      <c r="G847" s="33">
        <v>0</v>
      </c>
      <c r="H847" s="34">
        <v>15.99</v>
      </c>
      <c r="I847">
        <v>2</v>
      </c>
      <c r="J847" s="35">
        <v>0</v>
      </c>
      <c r="K847" s="35">
        <v>0</v>
      </c>
      <c r="L847" s="35">
        <v>0</v>
      </c>
      <c r="M847">
        <v>2</v>
      </c>
      <c r="N847">
        <v>0</v>
      </c>
      <c r="O847">
        <v>1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6</v>
      </c>
      <c r="AK847">
        <v>0</v>
      </c>
      <c r="AL847">
        <v>0</v>
      </c>
      <c r="AM847">
        <v>1</v>
      </c>
      <c r="AN847" s="23">
        <v>0.166666666666667</v>
      </c>
      <c r="AO847" s="23" t="s">
        <v>54</v>
      </c>
      <c r="AP847" s="23" t="s">
        <v>54</v>
      </c>
      <c r="AQ847" s="23">
        <v>0</v>
      </c>
      <c r="AR847" s="37">
        <v>0.142857142857143</v>
      </c>
      <c r="AS847" s="37">
        <v>8.57142857142857</v>
      </c>
      <c r="AT847" s="37">
        <v>-6.57142857142857</v>
      </c>
      <c r="AU847" s="33">
        <f t="shared" si="16"/>
        <v>14</v>
      </c>
      <c r="AV847" s="38">
        <f>IFERROR(时间!$B$4+AU847,"上周无销量")</f>
        <v>43304</v>
      </c>
    </row>
    <row r="848" spans="1:48">
      <c r="A848" s="21" t="s">
        <v>1859</v>
      </c>
      <c r="B848" t="s">
        <v>1860</v>
      </c>
      <c r="C848" t="s">
        <v>1858</v>
      </c>
      <c r="D848" s="33">
        <v>0</v>
      </c>
      <c r="E848" s="33">
        <v>0</v>
      </c>
      <c r="F848" s="33">
        <v>0</v>
      </c>
      <c r="G848" s="33">
        <v>0</v>
      </c>
      <c r="H848" s="34">
        <v>0</v>
      </c>
      <c r="I848">
        <v>1</v>
      </c>
      <c r="J848" s="35">
        <v>0</v>
      </c>
      <c r="K848" s="35">
        <v>0</v>
      </c>
      <c r="L848" s="35">
        <v>0</v>
      </c>
      <c r="M848">
        <v>1</v>
      </c>
      <c r="N848">
        <v>0</v>
      </c>
      <c r="O848">
        <v>1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7</v>
      </c>
      <c r="AK848">
        <v>3</v>
      </c>
      <c r="AL848">
        <v>3</v>
      </c>
      <c r="AM848">
        <v>0</v>
      </c>
      <c r="AN848" s="23">
        <v>0</v>
      </c>
      <c r="AO848" s="23">
        <v>0</v>
      </c>
      <c r="AP848" s="23">
        <v>0</v>
      </c>
      <c r="AQ848" s="23" t="s">
        <v>54</v>
      </c>
      <c r="AR848" s="37">
        <v>0</v>
      </c>
      <c r="AS848" s="37">
        <v>0</v>
      </c>
      <c r="AT848" s="37">
        <v>1</v>
      </c>
      <c r="AU848" s="33" t="str">
        <f t="shared" si="16"/>
        <v>库存为1</v>
      </c>
      <c r="AV848" s="38" t="str">
        <f>IFERROR(时间!$B$4+AU848,"上周无销量")</f>
        <v>上周无销量</v>
      </c>
    </row>
    <row r="849" spans="1:48">
      <c r="A849" s="21" t="s">
        <v>1861</v>
      </c>
      <c r="B849" t="s">
        <v>1862</v>
      </c>
      <c r="C849" t="s">
        <v>1858</v>
      </c>
      <c r="D849" s="33">
        <v>0</v>
      </c>
      <c r="E849" s="33">
        <v>0</v>
      </c>
      <c r="F849" s="33">
        <v>0</v>
      </c>
      <c r="G849" s="33">
        <v>0</v>
      </c>
      <c r="H849" s="34">
        <v>0</v>
      </c>
      <c r="I849">
        <v>0</v>
      </c>
      <c r="J849" s="35">
        <v>0</v>
      </c>
      <c r="K849" s="35">
        <v>0</v>
      </c>
      <c r="L849" s="35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s">
        <v>54</v>
      </c>
      <c r="AO849" s="23" t="s">
        <v>54</v>
      </c>
      <c r="AP849" s="23" t="s">
        <v>54</v>
      </c>
      <c r="AQ849" s="23" t="s">
        <v>54</v>
      </c>
      <c r="AR849" s="37">
        <v>0</v>
      </c>
      <c r="AS849" s="37">
        <v>0</v>
      </c>
      <c r="AT849" s="37">
        <v>0</v>
      </c>
      <c r="AU849" s="33" t="str">
        <f t="shared" si="16"/>
        <v>库存为0</v>
      </c>
      <c r="AV849" s="38" t="str">
        <f>IFERROR(时间!$B$4+AU849,"上周无销量")</f>
        <v>上周无销量</v>
      </c>
    </row>
    <row r="850" spans="1:48">
      <c r="A850" s="21" t="s">
        <v>1863</v>
      </c>
      <c r="B850" t="s">
        <v>1864</v>
      </c>
      <c r="C850" t="s">
        <v>1858</v>
      </c>
      <c r="D850" s="33">
        <v>0</v>
      </c>
      <c r="E850" s="33">
        <v>0</v>
      </c>
      <c r="F850" s="33">
        <v>0</v>
      </c>
      <c r="G850" s="33">
        <v>0</v>
      </c>
      <c r="H850" s="34">
        <v>0</v>
      </c>
      <c r="I850">
        <v>0</v>
      </c>
      <c r="J850" s="35">
        <v>0</v>
      </c>
      <c r="K850" s="35">
        <v>0</v>
      </c>
      <c r="L850" s="35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s">
        <v>54</v>
      </c>
      <c r="AO850" s="23" t="s">
        <v>54</v>
      </c>
      <c r="AP850" s="23" t="s">
        <v>54</v>
      </c>
      <c r="AQ850" s="23" t="s">
        <v>54</v>
      </c>
      <c r="AR850" s="37">
        <v>0</v>
      </c>
      <c r="AS850" s="37">
        <v>0</v>
      </c>
      <c r="AT850" s="37">
        <v>0</v>
      </c>
      <c r="AU850" s="33" t="str">
        <f t="shared" si="16"/>
        <v>库存为0</v>
      </c>
      <c r="AV850" s="38" t="str">
        <f>IFERROR(时间!$B$4+AU850,"上周无销量")</f>
        <v>上周无销量</v>
      </c>
    </row>
    <row r="851" spans="1:48">
      <c r="A851" s="21" t="s">
        <v>1865</v>
      </c>
      <c r="B851" t="s">
        <v>1866</v>
      </c>
      <c r="C851" t="s">
        <v>1858</v>
      </c>
      <c r="D851" s="33">
        <v>0</v>
      </c>
      <c r="E851" s="33">
        <v>0</v>
      </c>
      <c r="F851" s="33">
        <v>0</v>
      </c>
      <c r="G851" s="33">
        <v>0</v>
      </c>
      <c r="H851" s="34">
        <v>0</v>
      </c>
      <c r="I851">
        <v>0</v>
      </c>
      <c r="J851" s="35">
        <v>0</v>
      </c>
      <c r="K851" s="35">
        <v>0</v>
      </c>
      <c r="L851" s="35">
        <v>0</v>
      </c>
      <c r="M851">
        <v>0</v>
      </c>
      <c r="N851">
        <v>1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s">
        <v>54</v>
      </c>
      <c r="AO851" s="23" t="s">
        <v>54</v>
      </c>
      <c r="AP851" s="23" t="s">
        <v>54</v>
      </c>
      <c r="AQ851" s="23" t="s">
        <v>54</v>
      </c>
      <c r="AR851" s="37">
        <v>0</v>
      </c>
      <c r="AS851" s="37">
        <v>0</v>
      </c>
      <c r="AT851" s="37">
        <v>0</v>
      </c>
      <c r="AU851" s="33" t="str">
        <f t="shared" si="16"/>
        <v>库存为0</v>
      </c>
      <c r="AV851" s="38" t="str">
        <f>IFERROR(时间!$B$4+AU851,"上周无销量")</f>
        <v>上周无销量</v>
      </c>
    </row>
    <row r="852" spans="1:48">
      <c r="A852" s="21" t="s">
        <v>1867</v>
      </c>
      <c r="B852" t="s">
        <v>1868</v>
      </c>
      <c r="C852" t="s">
        <v>1858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0</v>
      </c>
      <c r="J852" s="35">
        <v>0</v>
      </c>
      <c r="K852" s="35">
        <v>0</v>
      </c>
      <c r="L852" s="35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s">
        <v>54</v>
      </c>
      <c r="AO852" s="23" t="s">
        <v>54</v>
      </c>
      <c r="AP852" s="23" t="s">
        <v>54</v>
      </c>
      <c r="AQ852" s="23" t="s">
        <v>54</v>
      </c>
      <c r="AR852" s="37">
        <v>0</v>
      </c>
      <c r="AS852" s="37">
        <v>0</v>
      </c>
      <c r="AT852" s="37">
        <v>0</v>
      </c>
      <c r="AU852" s="33" t="str">
        <f t="shared" si="16"/>
        <v>库存为0</v>
      </c>
      <c r="AV852" s="38" t="str">
        <f>IFERROR(时间!$B$4+AU852,"上周无销量")</f>
        <v>上周无销量</v>
      </c>
    </row>
    <row r="853" spans="1:48">
      <c r="A853" s="21" t="s">
        <v>1869</v>
      </c>
      <c r="B853" t="s">
        <v>1870</v>
      </c>
      <c r="C853" t="s">
        <v>1858</v>
      </c>
      <c r="D853" s="33">
        <v>0</v>
      </c>
      <c r="E853" s="33">
        <v>0</v>
      </c>
      <c r="F853" s="33">
        <v>0</v>
      </c>
      <c r="G853" s="33">
        <v>0</v>
      </c>
      <c r="H853" s="34">
        <v>0</v>
      </c>
      <c r="I853">
        <v>0</v>
      </c>
      <c r="J853" s="35">
        <v>0</v>
      </c>
      <c r="K853" s="35">
        <v>0</v>
      </c>
      <c r="L853" s="35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s">
        <v>54</v>
      </c>
      <c r="AO853" s="23" t="s">
        <v>54</v>
      </c>
      <c r="AP853" s="23" t="s">
        <v>54</v>
      </c>
      <c r="AQ853" s="23" t="s">
        <v>54</v>
      </c>
      <c r="AR853" s="37">
        <v>0</v>
      </c>
      <c r="AS853" s="37">
        <v>0</v>
      </c>
      <c r="AT853" s="37">
        <v>0</v>
      </c>
      <c r="AU853" s="33" t="str">
        <f t="shared" si="16"/>
        <v>库存为0</v>
      </c>
      <c r="AV853" s="38" t="str">
        <f>IFERROR(时间!$B$4+AU853,"上周无销量")</f>
        <v>上周无销量</v>
      </c>
    </row>
    <row r="854" spans="1:48">
      <c r="A854" s="21" t="s">
        <v>1871</v>
      </c>
      <c r="B854" t="s">
        <v>1872</v>
      </c>
      <c r="C854" t="s">
        <v>1858</v>
      </c>
      <c r="D854" s="33">
        <v>0</v>
      </c>
      <c r="E854" s="33">
        <v>0</v>
      </c>
      <c r="F854" s="33">
        <v>0</v>
      </c>
      <c r="G854" s="33">
        <v>0</v>
      </c>
      <c r="H854" s="34">
        <v>0</v>
      </c>
      <c r="I854">
        <v>1</v>
      </c>
      <c r="J854" s="35">
        <v>0</v>
      </c>
      <c r="K854" s="35">
        <v>0</v>
      </c>
      <c r="L854" s="35">
        <v>0</v>
      </c>
      <c r="M854">
        <v>1</v>
      </c>
      <c r="N854">
        <v>0</v>
      </c>
      <c r="O854">
        <v>1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s">
        <v>54</v>
      </c>
      <c r="AO854" s="23" t="s">
        <v>54</v>
      </c>
      <c r="AP854" s="23" t="s">
        <v>54</v>
      </c>
      <c r="AQ854" s="23" t="s">
        <v>54</v>
      </c>
      <c r="AR854" s="37">
        <v>0</v>
      </c>
      <c r="AS854" s="37">
        <v>0</v>
      </c>
      <c r="AT854" s="37">
        <v>1</v>
      </c>
      <c r="AU854" s="33" t="str">
        <f t="shared" si="16"/>
        <v>库存为1</v>
      </c>
      <c r="AV854" s="38" t="str">
        <f>IFERROR(时间!$B$4+AU854,"上周无销量")</f>
        <v>上周无销量</v>
      </c>
    </row>
    <row r="855" spans="1:48">
      <c r="A855" s="21" t="s">
        <v>1873</v>
      </c>
      <c r="B855" t="s">
        <v>1874</v>
      </c>
      <c r="C855" t="s">
        <v>1858</v>
      </c>
      <c r="D855" s="33">
        <v>0</v>
      </c>
      <c r="E855" s="33">
        <v>0</v>
      </c>
      <c r="F855" s="33">
        <v>0</v>
      </c>
      <c r="G855" s="33">
        <v>0</v>
      </c>
      <c r="H855" s="34">
        <v>0</v>
      </c>
      <c r="I855">
        <v>1</v>
      </c>
      <c r="J855" s="35">
        <v>0</v>
      </c>
      <c r="K855" s="35">
        <v>0</v>
      </c>
      <c r="L855" s="35">
        <v>0</v>
      </c>
      <c r="M855">
        <v>1</v>
      </c>
      <c r="N855">
        <v>0</v>
      </c>
      <c r="O855">
        <v>1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s">
        <v>54</v>
      </c>
      <c r="AO855" s="23" t="s">
        <v>54</v>
      </c>
      <c r="AP855" s="23" t="s">
        <v>54</v>
      </c>
      <c r="AQ855" s="23" t="s">
        <v>54</v>
      </c>
      <c r="AR855" s="37">
        <v>0</v>
      </c>
      <c r="AS855" s="37">
        <v>0</v>
      </c>
      <c r="AT855" s="37">
        <v>1</v>
      </c>
      <c r="AU855" s="33" t="str">
        <f t="shared" si="16"/>
        <v>库存为1</v>
      </c>
      <c r="AV855" s="38" t="str">
        <f>IFERROR(时间!$B$4+AU855,"上周无销量")</f>
        <v>上周无销量</v>
      </c>
    </row>
    <row r="856" spans="1:48">
      <c r="A856" s="21" t="s">
        <v>1875</v>
      </c>
      <c r="B856" t="s">
        <v>1876</v>
      </c>
      <c r="C856" t="s">
        <v>1858</v>
      </c>
      <c r="D856" s="33">
        <v>0</v>
      </c>
      <c r="E856" s="33">
        <v>0</v>
      </c>
      <c r="F856" s="33">
        <v>0</v>
      </c>
      <c r="G856" s="33">
        <v>0</v>
      </c>
      <c r="H856" s="34">
        <v>0</v>
      </c>
      <c r="I856">
        <v>0</v>
      </c>
      <c r="J856" s="35">
        <v>0</v>
      </c>
      <c r="K856" s="35">
        <v>0</v>
      </c>
      <c r="L856" s="35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s">
        <v>54</v>
      </c>
      <c r="AO856" s="23" t="s">
        <v>54</v>
      </c>
      <c r="AP856" s="23" t="s">
        <v>54</v>
      </c>
      <c r="AQ856" s="23" t="s">
        <v>54</v>
      </c>
      <c r="AR856" s="37">
        <v>0</v>
      </c>
      <c r="AS856" s="37">
        <v>0</v>
      </c>
      <c r="AT856" s="37">
        <v>0</v>
      </c>
      <c r="AU856" s="33" t="str">
        <f t="shared" si="16"/>
        <v>库存为0</v>
      </c>
      <c r="AV856" s="38" t="str">
        <f>IFERROR(时间!$B$4+AU856,"上周无销量")</f>
        <v>上周无销量</v>
      </c>
    </row>
    <row r="857" spans="1:48">
      <c r="A857" s="21" t="s">
        <v>1877</v>
      </c>
      <c r="B857" t="s">
        <v>1878</v>
      </c>
      <c r="C857" t="s">
        <v>1858</v>
      </c>
      <c r="D857" s="33">
        <v>0</v>
      </c>
      <c r="E857" s="33">
        <v>0</v>
      </c>
      <c r="F857" s="33">
        <v>0</v>
      </c>
      <c r="G857" s="33">
        <v>0</v>
      </c>
      <c r="H857" s="34">
        <v>0</v>
      </c>
      <c r="I857">
        <v>2</v>
      </c>
      <c r="J857" s="35">
        <v>0</v>
      </c>
      <c r="K857" s="35">
        <v>0</v>
      </c>
      <c r="L857" s="35">
        <v>0</v>
      </c>
      <c r="M857">
        <v>2</v>
      </c>
      <c r="N857">
        <v>0</v>
      </c>
      <c r="O857">
        <v>2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s">
        <v>54</v>
      </c>
      <c r="AO857" s="23" t="s">
        <v>54</v>
      </c>
      <c r="AP857" s="23" t="s">
        <v>54</v>
      </c>
      <c r="AQ857" s="23" t="s">
        <v>54</v>
      </c>
      <c r="AR857" s="37">
        <v>0</v>
      </c>
      <c r="AS857" s="37">
        <v>0</v>
      </c>
      <c r="AT857" s="37">
        <v>2</v>
      </c>
      <c r="AU857" s="33" t="str">
        <f t="shared" si="16"/>
        <v>库存为2</v>
      </c>
      <c r="AV857" s="38" t="str">
        <f>IFERROR(时间!$B$4+AU857,"上周无销量")</f>
        <v>上周无销量</v>
      </c>
    </row>
    <row r="858" spans="1:48">
      <c r="A858" s="21" t="s">
        <v>1879</v>
      </c>
      <c r="B858" t="s">
        <v>1880</v>
      </c>
      <c r="C858" t="s">
        <v>1858</v>
      </c>
      <c r="D858" s="33">
        <v>0</v>
      </c>
      <c r="E858" s="33">
        <v>0</v>
      </c>
      <c r="F858" s="33">
        <v>1</v>
      </c>
      <c r="G858" s="33">
        <v>1</v>
      </c>
      <c r="H858" s="34">
        <v>12.99</v>
      </c>
      <c r="I858">
        <v>0</v>
      </c>
      <c r="J858" s="35">
        <v>0</v>
      </c>
      <c r="K858" s="35">
        <v>0</v>
      </c>
      <c r="L858" s="35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4</v>
      </c>
      <c r="AN858" s="23" t="s">
        <v>54</v>
      </c>
      <c r="AO858" s="23" t="s">
        <v>54</v>
      </c>
      <c r="AP858" s="23" t="s">
        <v>54</v>
      </c>
      <c r="AQ858" s="23">
        <v>0.25</v>
      </c>
      <c r="AR858" s="37">
        <v>0</v>
      </c>
      <c r="AS858" s="37">
        <v>0</v>
      </c>
      <c r="AT858" s="37">
        <v>0</v>
      </c>
      <c r="AU858" s="33" t="str">
        <f t="shared" si="16"/>
        <v>库存为0</v>
      </c>
      <c r="AV858" s="38" t="str">
        <f>IFERROR(时间!$B$4+AU858,"上周无销量")</f>
        <v>上周无销量</v>
      </c>
    </row>
    <row r="859" spans="1:48">
      <c r="A859" s="21" t="s">
        <v>1881</v>
      </c>
      <c r="B859" t="s">
        <v>1882</v>
      </c>
      <c r="C859" t="s">
        <v>1858</v>
      </c>
      <c r="D859" s="33">
        <v>0</v>
      </c>
      <c r="E859" s="33">
        <v>0</v>
      </c>
      <c r="F859" s="33">
        <v>0</v>
      </c>
      <c r="G859" s="33">
        <v>0</v>
      </c>
      <c r="H859" s="34">
        <v>0</v>
      </c>
      <c r="I859">
        <v>0</v>
      </c>
      <c r="J859" s="35">
        <v>0</v>
      </c>
      <c r="K859" s="35">
        <v>0</v>
      </c>
      <c r="L859" s="35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s">
        <v>54</v>
      </c>
      <c r="AO859" s="23" t="s">
        <v>54</v>
      </c>
      <c r="AP859" s="23" t="s">
        <v>54</v>
      </c>
      <c r="AQ859" s="23" t="s">
        <v>54</v>
      </c>
      <c r="AR859" s="37">
        <v>0</v>
      </c>
      <c r="AS859" s="37">
        <v>0</v>
      </c>
      <c r="AT859" s="37">
        <v>0</v>
      </c>
      <c r="AU859" s="33" t="str">
        <f t="shared" si="16"/>
        <v>库存为0</v>
      </c>
      <c r="AV859" s="38" t="str">
        <f>IFERROR(时间!$B$4+AU859,"上周无销量")</f>
        <v>上周无销量</v>
      </c>
    </row>
    <row r="860" spans="1:48">
      <c r="A860" s="21" t="s">
        <v>1883</v>
      </c>
      <c r="B860" t="s">
        <v>1884</v>
      </c>
      <c r="C860" t="s">
        <v>1885</v>
      </c>
      <c r="D860" s="33">
        <v>0</v>
      </c>
      <c r="E860" s="33">
        <v>0</v>
      </c>
      <c r="F860" s="33">
        <v>0</v>
      </c>
      <c r="G860" s="33">
        <v>0</v>
      </c>
      <c r="H860" s="34">
        <v>0</v>
      </c>
      <c r="I860">
        <v>0</v>
      </c>
      <c r="J860" s="35">
        <v>0</v>
      </c>
      <c r="K860" s="35">
        <v>0</v>
      </c>
      <c r="L860" s="35">
        <v>0</v>
      </c>
      <c r="M860">
        <v>0</v>
      </c>
      <c r="N860">
        <v>0</v>
      </c>
      <c r="O860">
        <v>1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3</v>
      </c>
      <c r="AK860">
        <v>3</v>
      </c>
      <c r="AL860">
        <v>3</v>
      </c>
      <c r="AM860">
        <v>1</v>
      </c>
      <c r="AN860" s="23">
        <v>0</v>
      </c>
      <c r="AO860" s="23">
        <v>0</v>
      </c>
      <c r="AP860" s="23">
        <v>0</v>
      </c>
      <c r="AQ860" s="23">
        <v>0</v>
      </c>
      <c r="AR860" s="37">
        <v>0</v>
      </c>
      <c r="AS860" s="37">
        <v>0</v>
      </c>
      <c r="AT860" s="37">
        <v>0</v>
      </c>
      <c r="AU860" s="33" t="str">
        <f t="shared" si="16"/>
        <v>库存为0</v>
      </c>
      <c r="AV860" s="38" t="str">
        <f>IFERROR(时间!$B$4+AU860,"上周无销量")</f>
        <v>上周无销量</v>
      </c>
    </row>
    <row r="861" spans="1:48">
      <c r="A861" s="21" t="s">
        <v>1886</v>
      </c>
      <c r="B861" t="s">
        <v>1887</v>
      </c>
      <c r="C861" t="s">
        <v>1885</v>
      </c>
      <c r="D861" s="33">
        <v>0</v>
      </c>
      <c r="E861" s="33">
        <v>0</v>
      </c>
      <c r="F861" s="33">
        <v>0</v>
      </c>
      <c r="G861" s="33">
        <v>0</v>
      </c>
      <c r="H861" s="34">
        <v>0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s">
        <v>54</v>
      </c>
      <c r="AO861" s="23" t="s">
        <v>54</v>
      </c>
      <c r="AP861" s="23" t="s">
        <v>54</v>
      </c>
      <c r="AQ861" s="23" t="s">
        <v>54</v>
      </c>
      <c r="AR861" s="37">
        <v>0</v>
      </c>
      <c r="AS861" s="37">
        <v>0</v>
      </c>
      <c r="AT861" s="37">
        <v>0</v>
      </c>
      <c r="AU861" s="33" t="str">
        <f t="shared" si="16"/>
        <v>库存为0</v>
      </c>
      <c r="AV861" s="38" t="str">
        <f>IFERROR(时间!$B$4+AU861,"上周无销量")</f>
        <v>上周无销量</v>
      </c>
    </row>
    <row r="862" spans="1:48">
      <c r="A862" s="21" t="s">
        <v>1888</v>
      </c>
      <c r="B862" t="s">
        <v>1889</v>
      </c>
      <c r="C862" t="s">
        <v>1885</v>
      </c>
      <c r="D862" s="33">
        <v>0</v>
      </c>
      <c r="E862" s="33">
        <v>1</v>
      </c>
      <c r="F862" s="33">
        <v>1</v>
      </c>
      <c r="G862" s="33">
        <v>0</v>
      </c>
      <c r="H862" s="34">
        <v>17.99</v>
      </c>
      <c r="I862">
        <v>6</v>
      </c>
      <c r="J862" s="35">
        <v>0</v>
      </c>
      <c r="K862" s="35">
        <v>0</v>
      </c>
      <c r="L862" s="35">
        <v>0</v>
      </c>
      <c r="M862">
        <v>6</v>
      </c>
      <c r="N862">
        <v>0</v>
      </c>
      <c r="O862">
        <v>6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2</v>
      </c>
      <c r="AK862">
        <v>1</v>
      </c>
      <c r="AL862">
        <v>1</v>
      </c>
      <c r="AM862">
        <v>0</v>
      </c>
      <c r="AN862" s="23">
        <v>0</v>
      </c>
      <c r="AO862" s="23">
        <v>1</v>
      </c>
      <c r="AP862" s="23">
        <v>1</v>
      </c>
      <c r="AQ862" s="23" t="s">
        <v>54</v>
      </c>
      <c r="AR862" s="37">
        <v>0</v>
      </c>
      <c r="AS862" s="37">
        <v>0</v>
      </c>
      <c r="AT862" s="37">
        <v>6</v>
      </c>
      <c r="AU862" s="33" t="str">
        <f t="shared" si="16"/>
        <v>库存为6</v>
      </c>
      <c r="AV862" s="38" t="str">
        <f>IFERROR(时间!$B$4+AU862,"上周无销量")</f>
        <v>上周无销量</v>
      </c>
    </row>
    <row r="863" spans="1:48">
      <c r="A863" s="21" t="s">
        <v>1890</v>
      </c>
      <c r="B863" t="s">
        <v>1891</v>
      </c>
      <c r="C863" t="s">
        <v>1885</v>
      </c>
      <c r="D863" s="33">
        <v>0</v>
      </c>
      <c r="E863" s="33">
        <v>0</v>
      </c>
      <c r="F863" s="33">
        <v>0</v>
      </c>
      <c r="G863" s="33">
        <v>2</v>
      </c>
      <c r="H863" s="34">
        <v>17.99</v>
      </c>
      <c r="I863">
        <v>6</v>
      </c>
      <c r="J863" s="35">
        <v>0</v>
      </c>
      <c r="K863" s="35">
        <v>0</v>
      </c>
      <c r="L863" s="35">
        <v>0</v>
      </c>
      <c r="M863">
        <v>6</v>
      </c>
      <c r="N863">
        <v>0</v>
      </c>
      <c r="O863">
        <v>6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4</v>
      </c>
      <c r="AK863">
        <v>5</v>
      </c>
      <c r="AL863">
        <v>5</v>
      </c>
      <c r="AM863">
        <v>4</v>
      </c>
      <c r="AN863" s="23">
        <v>0</v>
      </c>
      <c r="AO863" s="23">
        <v>0</v>
      </c>
      <c r="AP863" s="23">
        <v>0</v>
      </c>
      <c r="AQ863" s="23">
        <v>0.5</v>
      </c>
      <c r="AR863" s="37">
        <v>0</v>
      </c>
      <c r="AS863" s="37">
        <v>0</v>
      </c>
      <c r="AT863" s="37">
        <v>6</v>
      </c>
      <c r="AU863" s="33" t="str">
        <f t="shared" si="16"/>
        <v>库存为6</v>
      </c>
      <c r="AV863" s="38" t="str">
        <f>IFERROR(时间!$B$4+AU863,"上周无销量")</f>
        <v>上周无销量</v>
      </c>
    </row>
    <row r="864" spans="1:48">
      <c r="A864" s="21" t="s">
        <v>1892</v>
      </c>
      <c r="B864" t="s">
        <v>1893</v>
      </c>
      <c r="C864" t="s">
        <v>1885</v>
      </c>
      <c r="D864" s="33">
        <v>0</v>
      </c>
      <c r="E864" s="33">
        <v>0</v>
      </c>
      <c r="F864" s="33">
        <v>0</v>
      </c>
      <c r="G864" s="33">
        <v>0</v>
      </c>
      <c r="H864" s="34">
        <v>0</v>
      </c>
      <c r="I864">
        <v>4</v>
      </c>
      <c r="J864" s="35">
        <v>0</v>
      </c>
      <c r="K864" s="35">
        <v>0</v>
      </c>
      <c r="L864" s="35">
        <v>0</v>
      </c>
      <c r="M864">
        <v>4</v>
      </c>
      <c r="N864">
        <v>0</v>
      </c>
      <c r="O864">
        <v>4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5</v>
      </c>
      <c r="AK864">
        <v>2</v>
      </c>
      <c r="AL864">
        <v>2</v>
      </c>
      <c r="AM864">
        <v>0</v>
      </c>
      <c r="AN864" s="23">
        <v>0</v>
      </c>
      <c r="AO864" s="23">
        <v>0</v>
      </c>
      <c r="AP864" s="23">
        <v>0</v>
      </c>
      <c r="AQ864" s="23" t="s">
        <v>54</v>
      </c>
      <c r="AR864" s="37">
        <v>0</v>
      </c>
      <c r="AS864" s="37">
        <v>0</v>
      </c>
      <c r="AT864" s="37">
        <v>4</v>
      </c>
      <c r="AU864" s="33" t="str">
        <f t="shared" si="16"/>
        <v>库存为4</v>
      </c>
      <c r="AV864" s="38" t="str">
        <f>IFERROR(时间!$B$4+AU864,"上周无销量")</f>
        <v>上周无销量</v>
      </c>
    </row>
    <row r="865" spans="1:48">
      <c r="A865" s="21" t="s">
        <v>1894</v>
      </c>
      <c r="B865" t="s">
        <v>1895</v>
      </c>
      <c r="C865" t="s">
        <v>1885</v>
      </c>
      <c r="D865" s="33">
        <v>0</v>
      </c>
      <c r="E865" s="33">
        <v>0</v>
      </c>
      <c r="F865" s="33">
        <v>0</v>
      </c>
      <c r="G865" s="33">
        <v>0</v>
      </c>
      <c r="H865" s="34">
        <v>0</v>
      </c>
      <c r="I865">
        <v>18</v>
      </c>
      <c r="J865" s="35">
        <v>0</v>
      </c>
      <c r="K865" s="35">
        <v>0</v>
      </c>
      <c r="L865" s="35">
        <v>0</v>
      </c>
      <c r="M865">
        <v>18</v>
      </c>
      <c r="N865">
        <v>0</v>
      </c>
      <c r="O865">
        <v>18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4</v>
      </c>
      <c r="AK865">
        <v>2</v>
      </c>
      <c r="AL865">
        <v>2</v>
      </c>
      <c r="AM865">
        <v>1</v>
      </c>
      <c r="AN865" s="23">
        <v>0</v>
      </c>
      <c r="AO865" s="23">
        <v>0</v>
      </c>
      <c r="AP865" s="23">
        <v>0</v>
      </c>
      <c r="AQ865" s="23">
        <v>0</v>
      </c>
      <c r="AR865" s="37">
        <v>0</v>
      </c>
      <c r="AS865" s="37">
        <v>0</v>
      </c>
      <c r="AT865" s="37">
        <v>18</v>
      </c>
      <c r="AU865" s="33" t="str">
        <f t="shared" si="16"/>
        <v>库存为18</v>
      </c>
      <c r="AV865" s="38" t="str">
        <f>IFERROR(时间!$B$4+AU865,"上周无销量")</f>
        <v>上周无销量</v>
      </c>
    </row>
    <row r="866" spans="1:48">
      <c r="A866" s="21" t="s">
        <v>1896</v>
      </c>
      <c r="B866" t="s">
        <v>1897</v>
      </c>
      <c r="C866" t="s">
        <v>1898</v>
      </c>
      <c r="D866" s="33">
        <v>0</v>
      </c>
      <c r="E866" s="33">
        <v>0</v>
      </c>
      <c r="F866" s="33">
        <v>0</v>
      </c>
      <c r="G866" s="33">
        <v>0</v>
      </c>
      <c r="H866" s="34">
        <v>0</v>
      </c>
      <c r="I866">
        <v>0</v>
      </c>
      <c r="J866" s="35">
        <v>0</v>
      </c>
      <c r="K866" s="35">
        <v>0</v>
      </c>
      <c r="L866" s="35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s">
        <v>54</v>
      </c>
      <c r="AO866" s="23" t="s">
        <v>54</v>
      </c>
      <c r="AP866" s="23" t="s">
        <v>54</v>
      </c>
      <c r="AQ866" s="23" t="s">
        <v>54</v>
      </c>
      <c r="AR866" s="37">
        <v>0</v>
      </c>
      <c r="AS866" s="37">
        <v>0</v>
      </c>
      <c r="AT866" s="37">
        <v>0</v>
      </c>
      <c r="AU866" s="33" t="str">
        <f t="shared" si="16"/>
        <v>库存为0</v>
      </c>
      <c r="AV866" s="38" t="str">
        <f>IFERROR(时间!$B$4+AU866,"上周无销量")</f>
        <v>上周无销量</v>
      </c>
    </row>
    <row r="867" spans="1:48">
      <c r="A867" s="21" t="s">
        <v>1899</v>
      </c>
      <c r="B867" t="s">
        <v>1900</v>
      </c>
      <c r="C867" t="s">
        <v>1898</v>
      </c>
      <c r="D867" s="33">
        <v>0</v>
      </c>
      <c r="E867" s="33">
        <v>0</v>
      </c>
      <c r="F867" s="33">
        <v>0</v>
      </c>
      <c r="G867" s="33">
        <v>0</v>
      </c>
      <c r="H867" s="34">
        <v>0</v>
      </c>
      <c r="I867">
        <v>0</v>
      </c>
      <c r="J867" s="35">
        <v>0</v>
      </c>
      <c r="K867" s="35">
        <v>0</v>
      </c>
      <c r="L867" s="35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s">
        <v>54</v>
      </c>
      <c r="AO867" s="23" t="s">
        <v>54</v>
      </c>
      <c r="AP867" s="23" t="s">
        <v>54</v>
      </c>
      <c r="AQ867" s="23" t="s">
        <v>54</v>
      </c>
      <c r="AR867" s="37">
        <v>0</v>
      </c>
      <c r="AS867" s="37">
        <v>0</v>
      </c>
      <c r="AT867" s="37">
        <v>0</v>
      </c>
      <c r="AU867" s="33" t="str">
        <f t="shared" si="16"/>
        <v>库存为0</v>
      </c>
      <c r="AV867" s="38" t="str">
        <f>IFERROR(时间!$B$4+AU867,"上周无销量")</f>
        <v>上周无销量</v>
      </c>
    </row>
    <row r="868" spans="1:48">
      <c r="A868" s="21" t="s">
        <v>1901</v>
      </c>
      <c r="B868" t="s">
        <v>1902</v>
      </c>
      <c r="C868" t="s">
        <v>1898</v>
      </c>
      <c r="D868" s="33">
        <v>0</v>
      </c>
      <c r="E868" s="33">
        <v>0</v>
      </c>
      <c r="F868" s="33">
        <v>0</v>
      </c>
      <c r="G868" s="33">
        <v>0</v>
      </c>
      <c r="H868" s="34">
        <v>0</v>
      </c>
      <c r="I868">
        <v>0</v>
      </c>
      <c r="J868" s="35">
        <v>0</v>
      </c>
      <c r="K868" s="35">
        <v>0</v>
      </c>
      <c r="L868" s="35">
        <v>0</v>
      </c>
      <c r="M868">
        <v>0</v>
      </c>
      <c r="N868">
        <v>1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s">
        <v>54</v>
      </c>
      <c r="AO868" s="23" t="s">
        <v>54</v>
      </c>
      <c r="AP868" s="23" t="s">
        <v>54</v>
      </c>
      <c r="AQ868" s="23" t="s">
        <v>54</v>
      </c>
      <c r="AR868" s="37">
        <v>0</v>
      </c>
      <c r="AS868" s="37">
        <v>0</v>
      </c>
      <c r="AT868" s="37">
        <v>0</v>
      </c>
      <c r="AU868" s="33" t="str">
        <f t="shared" si="16"/>
        <v>库存为0</v>
      </c>
      <c r="AV868" s="38" t="str">
        <f>IFERROR(时间!$B$4+AU868,"上周无销量")</f>
        <v>上周无销量</v>
      </c>
    </row>
    <row r="869" spans="1:48">
      <c r="A869" s="21" t="s">
        <v>1903</v>
      </c>
      <c r="B869" t="s">
        <v>1904</v>
      </c>
      <c r="C869" t="s">
        <v>1898</v>
      </c>
      <c r="D869" s="33">
        <v>0</v>
      </c>
      <c r="E869" s="33">
        <v>0</v>
      </c>
      <c r="F869" s="33">
        <v>0</v>
      </c>
      <c r="G869" s="33">
        <v>0</v>
      </c>
      <c r="H869" s="34">
        <v>0</v>
      </c>
      <c r="I869">
        <v>0</v>
      </c>
      <c r="J869" s="35">
        <v>0</v>
      </c>
      <c r="K869" s="35">
        <v>0</v>
      </c>
      <c r="L869" s="35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s">
        <v>54</v>
      </c>
      <c r="AO869" s="23" t="s">
        <v>54</v>
      </c>
      <c r="AP869" s="23" t="s">
        <v>54</v>
      </c>
      <c r="AQ869" s="23" t="s">
        <v>54</v>
      </c>
      <c r="AR869" s="37">
        <v>0</v>
      </c>
      <c r="AS869" s="37">
        <v>0</v>
      </c>
      <c r="AT869" s="37">
        <v>0</v>
      </c>
      <c r="AU869" s="33" t="str">
        <f t="shared" si="16"/>
        <v>库存为0</v>
      </c>
      <c r="AV869" s="38" t="str">
        <f>IFERROR(时间!$B$4+AU869,"上周无销量")</f>
        <v>上周无销量</v>
      </c>
    </row>
    <row r="870" spans="1:48">
      <c r="A870" s="21" t="s">
        <v>1905</v>
      </c>
      <c r="B870" t="s">
        <v>1906</v>
      </c>
      <c r="C870" t="s">
        <v>1898</v>
      </c>
      <c r="D870" s="33">
        <v>0</v>
      </c>
      <c r="E870" s="33">
        <v>0</v>
      </c>
      <c r="F870" s="33">
        <v>0</v>
      </c>
      <c r="G870" s="33">
        <v>0</v>
      </c>
      <c r="H870" s="34">
        <v>0</v>
      </c>
      <c r="I870">
        <v>0</v>
      </c>
      <c r="J870" s="35">
        <v>0</v>
      </c>
      <c r="K870" s="35">
        <v>0</v>
      </c>
      <c r="L870" s="35">
        <v>0</v>
      </c>
      <c r="M870">
        <v>0</v>
      </c>
      <c r="N870">
        <v>1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s">
        <v>54</v>
      </c>
      <c r="AO870" s="23" t="s">
        <v>54</v>
      </c>
      <c r="AP870" s="23" t="s">
        <v>54</v>
      </c>
      <c r="AQ870" s="23" t="s">
        <v>54</v>
      </c>
      <c r="AR870" s="37">
        <v>0</v>
      </c>
      <c r="AS870" s="37">
        <v>0</v>
      </c>
      <c r="AT870" s="37">
        <v>0</v>
      </c>
      <c r="AU870" s="33" t="str">
        <f t="shared" si="16"/>
        <v>库存为0</v>
      </c>
      <c r="AV870" s="38" t="str">
        <f>IFERROR(时间!$B$4+AU870,"上周无销量")</f>
        <v>上周无销量</v>
      </c>
    </row>
    <row r="871" spans="1:48">
      <c r="A871" s="21" t="s">
        <v>1907</v>
      </c>
      <c r="B871" t="s">
        <v>1908</v>
      </c>
      <c r="C871" t="s">
        <v>1909</v>
      </c>
      <c r="D871" s="33">
        <v>0</v>
      </c>
      <c r="E871" s="33">
        <v>1</v>
      </c>
      <c r="F871" s="33">
        <v>1</v>
      </c>
      <c r="G871" s="33">
        <v>0</v>
      </c>
      <c r="H871" s="34">
        <v>15.9</v>
      </c>
      <c r="I871">
        <v>0</v>
      </c>
      <c r="J871" s="35">
        <v>0</v>
      </c>
      <c r="K871" s="35">
        <v>0</v>
      </c>
      <c r="L871" s="35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6</v>
      </c>
      <c r="AL871">
        <v>6</v>
      </c>
      <c r="AM871">
        <v>2</v>
      </c>
      <c r="AN871" s="23" t="s">
        <v>54</v>
      </c>
      <c r="AO871" s="23">
        <v>0.166666666666667</v>
      </c>
      <c r="AP871" s="23">
        <v>0.166666666666667</v>
      </c>
      <c r="AQ871" s="23">
        <v>0</v>
      </c>
      <c r="AR871" s="37">
        <v>0</v>
      </c>
      <c r="AS871" s="37">
        <v>0</v>
      </c>
      <c r="AT871" s="37">
        <v>0</v>
      </c>
      <c r="AU871" s="33" t="str">
        <f t="shared" si="16"/>
        <v>库存为0</v>
      </c>
      <c r="AV871" s="38" t="str">
        <f>IFERROR(时间!$B$4+AU871,"上周无销量")</f>
        <v>上周无销量</v>
      </c>
    </row>
    <row r="872" spans="1:48">
      <c r="A872" s="21" t="s">
        <v>1910</v>
      </c>
      <c r="B872" t="s">
        <v>1911</v>
      </c>
      <c r="C872" t="s">
        <v>1912</v>
      </c>
      <c r="D872" s="33">
        <v>0</v>
      </c>
      <c r="E872" s="33">
        <v>1</v>
      </c>
      <c r="F872" s="33">
        <v>0</v>
      </c>
      <c r="G872" s="33">
        <v>0</v>
      </c>
      <c r="H872" s="34">
        <v>17.99</v>
      </c>
      <c r="I872">
        <v>0</v>
      </c>
      <c r="J872" s="35">
        <v>0</v>
      </c>
      <c r="K872" s="35">
        <v>0</v>
      </c>
      <c r="L872" s="35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3</v>
      </c>
      <c r="AL872">
        <v>3</v>
      </c>
      <c r="AM872">
        <v>1</v>
      </c>
      <c r="AN872" s="23" t="s">
        <v>54</v>
      </c>
      <c r="AO872" s="23">
        <v>0.333333333333333</v>
      </c>
      <c r="AP872" s="23">
        <v>0</v>
      </c>
      <c r="AQ872" s="23">
        <v>0</v>
      </c>
      <c r="AR872" s="37">
        <v>0</v>
      </c>
      <c r="AS872" s="37">
        <v>0</v>
      </c>
      <c r="AT872" s="37">
        <v>0</v>
      </c>
      <c r="AU872" s="33" t="str">
        <f t="shared" si="16"/>
        <v>库存为0</v>
      </c>
      <c r="AV872" s="38" t="str">
        <f>IFERROR(时间!$B$4+AU872,"上周无销量")</f>
        <v>上周无销量</v>
      </c>
    </row>
    <row r="873" spans="1:48">
      <c r="A873" s="21" t="s">
        <v>1913</v>
      </c>
      <c r="B873" t="s">
        <v>1914</v>
      </c>
      <c r="C873" t="s">
        <v>1912</v>
      </c>
      <c r="D873" s="33">
        <v>0</v>
      </c>
      <c r="E873" s="33">
        <v>0</v>
      </c>
      <c r="F873" s="33">
        <v>0</v>
      </c>
      <c r="G873" s="33">
        <v>0</v>
      </c>
      <c r="H873" s="34">
        <v>0</v>
      </c>
      <c r="I873">
        <v>1</v>
      </c>
      <c r="J873" s="35">
        <v>0</v>
      </c>
      <c r="K873" s="35">
        <v>0</v>
      </c>
      <c r="L873" s="35">
        <v>0</v>
      </c>
      <c r="M873">
        <v>1</v>
      </c>
      <c r="N873">
        <v>0</v>
      </c>
      <c r="O873">
        <v>1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4</v>
      </c>
      <c r="AK873">
        <v>1</v>
      </c>
      <c r="AL873">
        <v>1</v>
      </c>
      <c r="AM873">
        <v>0</v>
      </c>
      <c r="AN873" s="23">
        <v>0</v>
      </c>
      <c r="AO873" s="23">
        <v>0</v>
      </c>
      <c r="AP873" s="23">
        <v>0</v>
      </c>
      <c r="AQ873" s="23" t="s">
        <v>54</v>
      </c>
      <c r="AR873" s="37">
        <v>0</v>
      </c>
      <c r="AS873" s="37">
        <v>0</v>
      </c>
      <c r="AT873" s="37">
        <v>1</v>
      </c>
      <c r="AU873" s="33" t="str">
        <f t="shared" si="16"/>
        <v>库存为1</v>
      </c>
      <c r="AV873" s="38" t="str">
        <f>IFERROR(时间!$B$4+AU873,"上周无销量")</f>
        <v>上周无销量</v>
      </c>
    </row>
    <row r="874" spans="1:48">
      <c r="A874" s="21" t="s">
        <v>1915</v>
      </c>
      <c r="B874" t="s">
        <v>1916</v>
      </c>
      <c r="C874" t="s">
        <v>1912</v>
      </c>
      <c r="D874" s="33">
        <v>0</v>
      </c>
      <c r="E874" s="33">
        <v>1</v>
      </c>
      <c r="F874" s="33">
        <v>0</v>
      </c>
      <c r="G874" s="33">
        <v>0</v>
      </c>
      <c r="H874" s="34">
        <v>17.99</v>
      </c>
      <c r="I874">
        <v>0</v>
      </c>
      <c r="J874" s="35">
        <v>0</v>
      </c>
      <c r="K874" s="35">
        <v>0</v>
      </c>
      <c r="L874" s="35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4</v>
      </c>
      <c r="AL874">
        <v>4</v>
      </c>
      <c r="AM874">
        <v>2</v>
      </c>
      <c r="AN874" s="23" t="s">
        <v>54</v>
      </c>
      <c r="AO874" s="23">
        <v>0.25</v>
      </c>
      <c r="AP874" s="23">
        <v>0</v>
      </c>
      <c r="AQ874" s="23">
        <v>0</v>
      </c>
      <c r="AR874" s="37">
        <v>0</v>
      </c>
      <c r="AS874" s="37">
        <v>0</v>
      </c>
      <c r="AT874" s="37">
        <v>0</v>
      </c>
      <c r="AU874" s="33" t="str">
        <f t="shared" si="16"/>
        <v>库存为0</v>
      </c>
      <c r="AV874" s="38" t="str">
        <f>IFERROR(时间!$B$4+AU874,"上周无销量")</f>
        <v>上周无销量</v>
      </c>
    </row>
    <row r="875" spans="1:48">
      <c r="A875" s="21" t="s">
        <v>1917</v>
      </c>
      <c r="B875" t="s">
        <v>1918</v>
      </c>
      <c r="C875" t="s">
        <v>1912</v>
      </c>
      <c r="D875" s="33">
        <v>0</v>
      </c>
      <c r="E875" s="33">
        <v>0</v>
      </c>
      <c r="F875" s="33">
        <v>0</v>
      </c>
      <c r="G875" s="33">
        <v>0</v>
      </c>
      <c r="H875" s="34">
        <v>0</v>
      </c>
      <c r="I875">
        <v>1</v>
      </c>
      <c r="J875" s="35">
        <v>0</v>
      </c>
      <c r="K875" s="35">
        <v>0</v>
      </c>
      <c r="L875" s="35">
        <v>0</v>
      </c>
      <c r="M875">
        <v>1</v>
      </c>
      <c r="N875">
        <v>0</v>
      </c>
      <c r="O875">
        <v>1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4</v>
      </c>
      <c r="AK875">
        <v>2</v>
      </c>
      <c r="AL875">
        <v>2</v>
      </c>
      <c r="AM875">
        <v>0</v>
      </c>
      <c r="AN875" s="23">
        <v>0</v>
      </c>
      <c r="AO875" s="23">
        <v>0</v>
      </c>
      <c r="AP875" s="23">
        <v>0</v>
      </c>
      <c r="AQ875" s="23" t="s">
        <v>54</v>
      </c>
      <c r="AR875" s="37">
        <v>0</v>
      </c>
      <c r="AS875" s="37">
        <v>0</v>
      </c>
      <c r="AT875" s="37">
        <v>1</v>
      </c>
      <c r="AU875" s="33" t="str">
        <f t="shared" si="16"/>
        <v>库存为1</v>
      </c>
      <c r="AV875" s="38" t="str">
        <f>IFERROR(时间!$B$4+AU875,"上周无销量")</f>
        <v>上周无销量</v>
      </c>
    </row>
    <row r="876" spans="1:48">
      <c r="A876" s="21" t="s">
        <v>1919</v>
      </c>
      <c r="B876" t="s">
        <v>1920</v>
      </c>
      <c r="C876" t="s">
        <v>1912</v>
      </c>
      <c r="D876" s="33">
        <v>0</v>
      </c>
      <c r="E876" s="33">
        <v>0</v>
      </c>
      <c r="F876" s="33">
        <v>1</v>
      </c>
      <c r="G876" s="33">
        <v>0</v>
      </c>
      <c r="H876" s="34">
        <v>15.99</v>
      </c>
      <c r="I876">
        <v>1</v>
      </c>
      <c r="J876" s="35">
        <v>0</v>
      </c>
      <c r="K876" s="35">
        <v>0</v>
      </c>
      <c r="L876" s="35">
        <v>0</v>
      </c>
      <c r="M876">
        <v>1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5</v>
      </c>
      <c r="AK876">
        <v>1</v>
      </c>
      <c r="AL876">
        <v>1</v>
      </c>
      <c r="AM876">
        <v>0</v>
      </c>
      <c r="AN876" s="23">
        <v>0</v>
      </c>
      <c r="AO876" s="23">
        <v>0</v>
      </c>
      <c r="AP876" s="23">
        <v>1</v>
      </c>
      <c r="AQ876" s="23" t="s">
        <v>54</v>
      </c>
      <c r="AR876" s="37">
        <v>0</v>
      </c>
      <c r="AS876" s="37">
        <v>0</v>
      </c>
      <c r="AT876" s="37">
        <v>1</v>
      </c>
      <c r="AU876" s="33" t="str">
        <f t="shared" si="16"/>
        <v>库存为1</v>
      </c>
      <c r="AV876" s="38" t="str">
        <f>IFERROR(时间!$B$4+AU876,"上周无销量")</f>
        <v>上周无销量</v>
      </c>
    </row>
    <row r="877" spans="1:48">
      <c r="A877" s="21" t="s">
        <v>1921</v>
      </c>
      <c r="B877" t="s">
        <v>1380</v>
      </c>
      <c r="C877" t="s">
        <v>1912</v>
      </c>
      <c r="D877" s="33">
        <v>0</v>
      </c>
      <c r="E877" s="33">
        <v>0</v>
      </c>
      <c r="F877" s="33">
        <v>0</v>
      </c>
      <c r="G877" s="33">
        <v>0</v>
      </c>
      <c r="H877" s="34">
        <v>0</v>
      </c>
      <c r="I877">
        <v>0</v>
      </c>
      <c r="J877" s="35">
        <v>0</v>
      </c>
      <c r="K877" s="35">
        <v>0</v>
      </c>
      <c r="L877" s="35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s">
        <v>54</v>
      </c>
      <c r="AO877" s="23" t="s">
        <v>54</v>
      </c>
      <c r="AP877" s="23" t="s">
        <v>54</v>
      </c>
      <c r="AQ877" s="23" t="s">
        <v>54</v>
      </c>
      <c r="AR877" s="37">
        <v>0</v>
      </c>
      <c r="AS877" s="37">
        <v>0</v>
      </c>
      <c r="AT877" s="37">
        <v>0</v>
      </c>
      <c r="AU877" s="33" t="str">
        <f t="shared" si="16"/>
        <v>库存为0</v>
      </c>
      <c r="AV877" s="38" t="str">
        <f>IFERROR(时间!$B$4+AU877,"上周无销量")</f>
        <v>上周无销量</v>
      </c>
    </row>
    <row r="878" spans="1:48">
      <c r="A878" s="21" t="s">
        <v>1922</v>
      </c>
      <c r="B878" t="s">
        <v>1923</v>
      </c>
      <c r="C878" t="s">
        <v>1912</v>
      </c>
      <c r="D878" s="33">
        <v>0</v>
      </c>
      <c r="E878" s="33">
        <v>0</v>
      </c>
      <c r="F878" s="33">
        <v>0</v>
      </c>
      <c r="G878" s="33">
        <v>0</v>
      </c>
      <c r="H878" s="34">
        <v>0</v>
      </c>
      <c r="I878">
        <v>0</v>
      </c>
      <c r="J878" s="35">
        <v>0</v>
      </c>
      <c r="K878" s="35">
        <v>0</v>
      </c>
      <c r="L878" s="35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s">
        <v>54</v>
      </c>
      <c r="AO878" s="23" t="s">
        <v>54</v>
      </c>
      <c r="AP878" s="23" t="s">
        <v>54</v>
      </c>
      <c r="AQ878" s="23" t="s">
        <v>54</v>
      </c>
      <c r="AR878" s="37">
        <v>0</v>
      </c>
      <c r="AS878" s="37">
        <v>0</v>
      </c>
      <c r="AT878" s="37">
        <v>0</v>
      </c>
      <c r="AU878" s="33" t="str">
        <f t="shared" si="16"/>
        <v>库存为0</v>
      </c>
      <c r="AV878" s="38" t="str">
        <f>IFERROR(时间!$B$4+AU878,"上周无销量")</f>
        <v>上周无销量</v>
      </c>
    </row>
    <row r="879" spans="1:48">
      <c r="A879" s="21" t="s">
        <v>1924</v>
      </c>
      <c r="B879" t="s">
        <v>1925</v>
      </c>
      <c r="C879" t="s">
        <v>1926</v>
      </c>
      <c r="D879" s="33">
        <v>0</v>
      </c>
      <c r="E879" s="33">
        <v>0</v>
      </c>
      <c r="F879" s="33">
        <v>0</v>
      </c>
      <c r="G879" s="33">
        <v>0</v>
      </c>
      <c r="H879" s="34">
        <v>0</v>
      </c>
      <c r="I879">
        <v>0</v>
      </c>
      <c r="J879" s="35">
        <v>0</v>
      </c>
      <c r="K879" s="35">
        <v>0</v>
      </c>
      <c r="L879" s="35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s">
        <v>54</v>
      </c>
      <c r="AO879" s="23" t="s">
        <v>54</v>
      </c>
      <c r="AP879" s="23" t="s">
        <v>54</v>
      </c>
      <c r="AQ879" s="23" t="s">
        <v>54</v>
      </c>
      <c r="AR879" s="37">
        <v>0</v>
      </c>
      <c r="AS879" s="37">
        <v>0</v>
      </c>
      <c r="AT879" s="37">
        <v>0</v>
      </c>
      <c r="AU879" s="33" t="str">
        <f t="shared" si="16"/>
        <v>库存为0</v>
      </c>
      <c r="AV879" s="38" t="str">
        <f>IFERROR(时间!$B$4+AU879,"上周无销量")</f>
        <v>上周无销量</v>
      </c>
    </row>
    <row r="880" spans="1:48">
      <c r="A880" s="21" t="s">
        <v>1927</v>
      </c>
      <c r="B880" t="s">
        <v>1928</v>
      </c>
      <c r="C880" t="s">
        <v>1926</v>
      </c>
      <c r="D880" s="33">
        <v>0</v>
      </c>
      <c r="E880" s="33">
        <v>0</v>
      </c>
      <c r="F880" s="33">
        <v>0</v>
      </c>
      <c r="G880" s="33">
        <v>0</v>
      </c>
      <c r="H880" s="34">
        <v>0</v>
      </c>
      <c r="I880">
        <v>1</v>
      </c>
      <c r="J880" s="35">
        <v>0</v>
      </c>
      <c r="K880" s="35">
        <v>0</v>
      </c>
      <c r="L880" s="35">
        <v>0</v>
      </c>
      <c r="M880">
        <v>1</v>
      </c>
      <c r="N880">
        <v>0</v>
      </c>
      <c r="O880">
        <v>1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6</v>
      </c>
      <c r="AK880">
        <v>2</v>
      </c>
      <c r="AL880">
        <v>2</v>
      </c>
      <c r="AM880">
        <v>2</v>
      </c>
      <c r="AN880" s="23">
        <v>0</v>
      </c>
      <c r="AO880" s="23">
        <v>0</v>
      </c>
      <c r="AP880" s="23">
        <v>0</v>
      </c>
      <c r="AQ880" s="23">
        <v>0</v>
      </c>
      <c r="AR880" s="37">
        <v>0</v>
      </c>
      <c r="AS880" s="37">
        <v>0</v>
      </c>
      <c r="AT880" s="37">
        <v>1</v>
      </c>
      <c r="AU880" s="33" t="str">
        <f t="shared" si="16"/>
        <v>库存为1</v>
      </c>
      <c r="AV880" s="38" t="str">
        <f>IFERROR(时间!$B$4+AU880,"上周无销量")</f>
        <v>上周无销量</v>
      </c>
    </row>
    <row r="881" spans="1:48">
      <c r="A881" s="21" t="s">
        <v>1929</v>
      </c>
      <c r="B881" t="s">
        <v>1930</v>
      </c>
      <c r="C881" t="s">
        <v>1926</v>
      </c>
      <c r="D881" s="33">
        <v>0</v>
      </c>
      <c r="E881" s="33">
        <v>0</v>
      </c>
      <c r="F881" s="33">
        <v>0</v>
      </c>
      <c r="G881" s="33">
        <v>0</v>
      </c>
      <c r="H881" s="34">
        <v>0</v>
      </c>
      <c r="I881">
        <v>1</v>
      </c>
      <c r="J881" s="35">
        <v>0</v>
      </c>
      <c r="K881" s="35">
        <v>0</v>
      </c>
      <c r="L881" s="35">
        <v>0</v>
      </c>
      <c r="M881">
        <v>1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2</v>
      </c>
      <c r="AK881">
        <v>1</v>
      </c>
      <c r="AL881">
        <v>1</v>
      </c>
      <c r="AM881">
        <v>3</v>
      </c>
      <c r="AN881" s="23">
        <v>0</v>
      </c>
      <c r="AO881" s="23">
        <v>0</v>
      </c>
      <c r="AP881" s="23">
        <v>0</v>
      </c>
      <c r="AQ881" s="23">
        <v>0</v>
      </c>
      <c r="AR881" s="37">
        <v>0</v>
      </c>
      <c r="AS881" s="37">
        <v>0</v>
      </c>
      <c r="AT881" s="37">
        <v>1</v>
      </c>
      <c r="AU881" s="33" t="str">
        <f t="shared" si="16"/>
        <v>库存为1</v>
      </c>
      <c r="AV881" s="38" t="str">
        <f>IFERROR(时间!$B$4+AU881,"上周无销量")</f>
        <v>上周无销量</v>
      </c>
    </row>
    <row r="882" spans="1:48">
      <c r="A882" s="21" t="s">
        <v>1931</v>
      </c>
      <c r="B882" t="s">
        <v>1932</v>
      </c>
      <c r="C882" t="s">
        <v>1926</v>
      </c>
      <c r="D882" s="33">
        <v>0</v>
      </c>
      <c r="E882" s="33">
        <v>0</v>
      </c>
      <c r="F882" s="33">
        <v>0</v>
      </c>
      <c r="G882" s="33">
        <v>0</v>
      </c>
      <c r="H882" s="34">
        <v>0</v>
      </c>
      <c r="I882">
        <v>1</v>
      </c>
      <c r="J882" s="35">
        <v>0</v>
      </c>
      <c r="K882" s="35">
        <v>0</v>
      </c>
      <c r="L882" s="35">
        <v>0</v>
      </c>
      <c r="M882">
        <v>1</v>
      </c>
      <c r="N882">
        <v>0</v>
      </c>
      <c r="O882">
        <v>1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3</v>
      </c>
      <c r="AK882">
        <v>3</v>
      </c>
      <c r="AL882">
        <v>3</v>
      </c>
      <c r="AM882">
        <v>0</v>
      </c>
      <c r="AN882" s="23">
        <v>0</v>
      </c>
      <c r="AO882" s="23">
        <v>0</v>
      </c>
      <c r="AP882" s="23">
        <v>0</v>
      </c>
      <c r="AQ882" s="23" t="s">
        <v>54</v>
      </c>
      <c r="AR882" s="37">
        <v>0</v>
      </c>
      <c r="AS882" s="37">
        <v>0</v>
      </c>
      <c r="AT882" s="37">
        <v>1</v>
      </c>
      <c r="AU882" s="33" t="str">
        <f t="shared" si="16"/>
        <v>库存为1</v>
      </c>
      <c r="AV882" s="38" t="str">
        <f>IFERROR(时间!$B$4+AU882,"上周无销量")</f>
        <v>上周无销量</v>
      </c>
    </row>
    <row r="883" spans="1:48">
      <c r="A883" s="21" t="s">
        <v>1933</v>
      </c>
      <c r="B883" t="s">
        <v>1934</v>
      </c>
      <c r="C883" t="s">
        <v>1926</v>
      </c>
      <c r="D883" s="33">
        <v>0</v>
      </c>
      <c r="E883" s="33">
        <v>0</v>
      </c>
      <c r="F883" s="33">
        <v>0</v>
      </c>
      <c r="G883" s="33">
        <v>0</v>
      </c>
      <c r="H883" s="34">
        <v>0</v>
      </c>
      <c r="I883">
        <v>0</v>
      </c>
      <c r="J883" s="35">
        <v>0</v>
      </c>
      <c r="K883" s="35">
        <v>0</v>
      </c>
      <c r="L883" s="35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s">
        <v>54</v>
      </c>
      <c r="AO883" s="23" t="s">
        <v>54</v>
      </c>
      <c r="AP883" s="23" t="s">
        <v>54</v>
      </c>
      <c r="AQ883" s="23" t="s">
        <v>54</v>
      </c>
      <c r="AR883" s="37">
        <v>0</v>
      </c>
      <c r="AS883" s="37">
        <v>0</v>
      </c>
      <c r="AT883" s="37">
        <v>0</v>
      </c>
      <c r="AU883" s="33" t="str">
        <f t="shared" si="16"/>
        <v>库存为0</v>
      </c>
      <c r="AV883" s="38" t="str">
        <f>IFERROR(时间!$B$4+AU883,"上周无销量")</f>
        <v>上周无销量</v>
      </c>
    </row>
    <row r="884" spans="1:48">
      <c r="A884" s="21" t="s">
        <v>1935</v>
      </c>
      <c r="B884" t="s">
        <v>1936</v>
      </c>
      <c r="C884" t="s">
        <v>1926</v>
      </c>
      <c r="D884" s="33">
        <v>0</v>
      </c>
      <c r="E884" s="33">
        <v>0</v>
      </c>
      <c r="F884" s="33">
        <v>0</v>
      </c>
      <c r="G884" s="33">
        <v>0</v>
      </c>
      <c r="H884" s="34">
        <v>0</v>
      </c>
      <c r="I884">
        <v>0</v>
      </c>
      <c r="J884" s="35">
        <v>0</v>
      </c>
      <c r="K884" s="35">
        <v>0</v>
      </c>
      <c r="L884" s="35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s">
        <v>54</v>
      </c>
      <c r="AO884" s="23" t="s">
        <v>54</v>
      </c>
      <c r="AP884" s="23" t="s">
        <v>54</v>
      </c>
      <c r="AQ884" s="23" t="s">
        <v>54</v>
      </c>
      <c r="AR884" s="37">
        <v>0</v>
      </c>
      <c r="AS884" s="37">
        <v>0</v>
      </c>
      <c r="AT884" s="37">
        <v>0</v>
      </c>
      <c r="AU884" s="33" t="str">
        <f t="shared" si="16"/>
        <v>库存为0</v>
      </c>
      <c r="AV884" s="38" t="str">
        <f>IFERROR(时间!$B$4+AU884,"上周无销量")</f>
        <v>上周无销量</v>
      </c>
    </row>
    <row r="885" spans="1:48">
      <c r="A885" s="21" t="s">
        <v>1937</v>
      </c>
      <c r="B885" t="s">
        <v>1938</v>
      </c>
      <c r="C885" t="s">
        <v>1926</v>
      </c>
      <c r="D885" s="33">
        <v>0</v>
      </c>
      <c r="E885" s="33">
        <v>0</v>
      </c>
      <c r="F885" s="33">
        <v>0</v>
      </c>
      <c r="G885" s="33">
        <v>0</v>
      </c>
      <c r="H885" s="34">
        <v>0</v>
      </c>
      <c r="I885">
        <v>0</v>
      </c>
      <c r="J885" s="35">
        <v>0</v>
      </c>
      <c r="K885" s="35">
        <v>0</v>
      </c>
      <c r="L885" s="35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s">
        <v>54</v>
      </c>
      <c r="AO885" s="23" t="s">
        <v>54</v>
      </c>
      <c r="AP885" s="23" t="s">
        <v>54</v>
      </c>
      <c r="AQ885" s="23" t="s">
        <v>54</v>
      </c>
      <c r="AR885" s="37">
        <v>0</v>
      </c>
      <c r="AS885" s="37">
        <v>0</v>
      </c>
      <c r="AT885" s="37">
        <v>0</v>
      </c>
      <c r="AU885" s="33" t="str">
        <f t="shared" si="16"/>
        <v>库存为0</v>
      </c>
      <c r="AV885" s="38" t="str">
        <f>IFERROR(时间!$B$4+AU885,"上周无销量")</f>
        <v>上周无销量</v>
      </c>
    </row>
    <row r="886" spans="1:48">
      <c r="A886" s="21" t="s">
        <v>1939</v>
      </c>
      <c r="B886" t="s">
        <v>1940</v>
      </c>
      <c r="C886" t="s">
        <v>1926</v>
      </c>
      <c r="D886" s="33">
        <v>0</v>
      </c>
      <c r="E886" s="33">
        <v>0</v>
      </c>
      <c r="F886" s="33">
        <v>0</v>
      </c>
      <c r="G886" s="33">
        <v>0</v>
      </c>
      <c r="H886" s="34">
        <v>0</v>
      </c>
      <c r="I886">
        <v>0</v>
      </c>
      <c r="J886" s="35">
        <v>0</v>
      </c>
      <c r="K886" s="35">
        <v>0</v>
      </c>
      <c r="L886" s="35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s">
        <v>54</v>
      </c>
      <c r="AO886" s="23" t="s">
        <v>54</v>
      </c>
      <c r="AP886" s="23" t="s">
        <v>54</v>
      </c>
      <c r="AQ886" s="23" t="s">
        <v>54</v>
      </c>
      <c r="AR886" s="37">
        <v>0</v>
      </c>
      <c r="AS886" s="37">
        <v>0</v>
      </c>
      <c r="AT886" s="37">
        <v>0</v>
      </c>
      <c r="AU886" s="33" t="str">
        <f t="shared" si="16"/>
        <v>库存为0</v>
      </c>
      <c r="AV886" s="38" t="str">
        <f>IFERROR(时间!$B$4+AU886,"上周无销量")</f>
        <v>上周无销量</v>
      </c>
    </row>
    <row r="887" spans="1:48">
      <c r="A887" s="21" t="s">
        <v>1941</v>
      </c>
      <c r="B887" t="s">
        <v>1942</v>
      </c>
      <c r="C887" t="s">
        <v>1926</v>
      </c>
      <c r="D887" s="33">
        <v>0</v>
      </c>
      <c r="E887" s="33">
        <v>0</v>
      </c>
      <c r="F887" s="33">
        <v>0</v>
      </c>
      <c r="G887" s="33">
        <v>0</v>
      </c>
      <c r="H887" s="34">
        <v>0</v>
      </c>
      <c r="I887">
        <v>0</v>
      </c>
      <c r="J887" s="35">
        <v>0</v>
      </c>
      <c r="K887" s="35">
        <v>0</v>
      </c>
      <c r="L887" s="35">
        <v>0</v>
      </c>
      <c r="M887">
        <v>0</v>
      </c>
      <c r="N887">
        <v>1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s">
        <v>54</v>
      </c>
      <c r="AO887" s="23" t="s">
        <v>54</v>
      </c>
      <c r="AP887" s="23" t="s">
        <v>54</v>
      </c>
      <c r="AQ887" s="23" t="s">
        <v>54</v>
      </c>
      <c r="AR887" s="37">
        <v>0</v>
      </c>
      <c r="AS887" s="37">
        <v>0</v>
      </c>
      <c r="AT887" s="37">
        <v>0</v>
      </c>
      <c r="AU887" s="33" t="str">
        <f t="shared" si="16"/>
        <v>库存为0</v>
      </c>
      <c r="AV887" s="38" t="str">
        <f>IFERROR(时间!$B$4+AU887,"上周无销量")</f>
        <v>上周无销量</v>
      </c>
    </row>
    <row r="888" spans="1:48">
      <c r="A888" s="21" t="s">
        <v>1943</v>
      </c>
      <c r="B888" t="s">
        <v>1944</v>
      </c>
      <c r="C888" t="s">
        <v>1926</v>
      </c>
      <c r="D888" s="33">
        <v>0</v>
      </c>
      <c r="E888" s="33">
        <v>0</v>
      </c>
      <c r="F888" s="33">
        <v>0</v>
      </c>
      <c r="G888" s="33">
        <v>0</v>
      </c>
      <c r="H888" s="34">
        <v>0</v>
      </c>
      <c r="I888">
        <v>0</v>
      </c>
      <c r="J888" s="35">
        <v>0</v>
      </c>
      <c r="K888" s="35">
        <v>0</v>
      </c>
      <c r="L888" s="35">
        <v>0</v>
      </c>
      <c r="M888">
        <v>0</v>
      </c>
      <c r="N888">
        <v>1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s">
        <v>54</v>
      </c>
      <c r="AO888" s="23" t="s">
        <v>54</v>
      </c>
      <c r="AP888" s="23" t="s">
        <v>54</v>
      </c>
      <c r="AQ888" s="23" t="s">
        <v>54</v>
      </c>
      <c r="AR888" s="37">
        <v>0</v>
      </c>
      <c r="AS888" s="37">
        <v>0</v>
      </c>
      <c r="AT888" s="37">
        <v>0</v>
      </c>
      <c r="AU888" s="33" t="str">
        <f t="shared" si="16"/>
        <v>库存为0</v>
      </c>
      <c r="AV888" s="38" t="str">
        <f>IFERROR(时间!$B$4+AU888,"上周无销量")</f>
        <v>上周无销量</v>
      </c>
    </row>
    <row r="889" spans="1:48">
      <c r="A889" s="21" t="s">
        <v>1945</v>
      </c>
      <c r="B889" t="s">
        <v>1946</v>
      </c>
      <c r="C889" t="s">
        <v>1926</v>
      </c>
      <c r="D889" s="33">
        <v>0</v>
      </c>
      <c r="E889" s="33">
        <v>0</v>
      </c>
      <c r="F889" s="33">
        <v>0</v>
      </c>
      <c r="G889" s="33">
        <v>1</v>
      </c>
      <c r="H889" s="34">
        <v>17.73</v>
      </c>
      <c r="I889">
        <v>0</v>
      </c>
      <c r="J889" s="35">
        <v>0</v>
      </c>
      <c r="K889" s="35">
        <v>0</v>
      </c>
      <c r="L889" s="35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s">
        <v>54</v>
      </c>
      <c r="AO889" s="23" t="s">
        <v>54</v>
      </c>
      <c r="AP889" s="23" t="s">
        <v>54</v>
      </c>
      <c r="AQ889" s="23" t="s">
        <v>54</v>
      </c>
      <c r="AR889" s="37">
        <v>0</v>
      </c>
      <c r="AS889" s="37">
        <v>0</v>
      </c>
      <c r="AT889" s="37">
        <v>0</v>
      </c>
      <c r="AU889" s="33" t="str">
        <f t="shared" si="16"/>
        <v>库存为0</v>
      </c>
      <c r="AV889" s="38" t="str">
        <f>IFERROR(时间!$B$4+AU889,"上周无销量")</f>
        <v>上周无销量</v>
      </c>
    </row>
    <row r="890" spans="1:48">
      <c r="A890" s="21" t="s">
        <v>1947</v>
      </c>
      <c r="B890" t="s">
        <v>1948</v>
      </c>
      <c r="C890" t="s">
        <v>1926</v>
      </c>
      <c r="D890" s="33">
        <v>0</v>
      </c>
      <c r="E890" s="33">
        <v>0</v>
      </c>
      <c r="F890" s="33">
        <v>0</v>
      </c>
      <c r="G890" s="33">
        <v>0</v>
      </c>
      <c r="H890" s="34">
        <v>0</v>
      </c>
      <c r="I890">
        <v>2</v>
      </c>
      <c r="J890" s="35">
        <v>0</v>
      </c>
      <c r="K890" s="35">
        <v>0</v>
      </c>
      <c r="L890" s="35">
        <v>0</v>
      </c>
      <c r="M890">
        <v>2</v>
      </c>
      <c r="N890">
        <v>0</v>
      </c>
      <c r="O890">
        <v>2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6</v>
      </c>
      <c r="AK890">
        <v>2</v>
      </c>
      <c r="AL890">
        <v>2</v>
      </c>
      <c r="AM890">
        <v>0</v>
      </c>
      <c r="AN890" s="23">
        <v>0</v>
      </c>
      <c r="AO890" s="23">
        <v>0</v>
      </c>
      <c r="AP890" s="23">
        <v>0</v>
      </c>
      <c r="AQ890" s="23" t="s">
        <v>54</v>
      </c>
      <c r="AR890" s="37">
        <v>0</v>
      </c>
      <c r="AS890" s="37">
        <v>0</v>
      </c>
      <c r="AT890" s="37">
        <v>2</v>
      </c>
      <c r="AU890" s="33" t="str">
        <f t="shared" si="16"/>
        <v>库存为2</v>
      </c>
      <c r="AV890" s="38" t="str">
        <f>IFERROR(时间!$B$4+AU890,"上周无销量")</f>
        <v>上周无销量</v>
      </c>
    </row>
    <row r="891" spans="1:48">
      <c r="A891" s="21" t="s">
        <v>1949</v>
      </c>
      <c r="B891" t="s">
        <v>1950</v>
      </c>
      <c r="C891" t="s">
        <v>1926</v>
      </c>
      <c r="D891" s="33">
        <v>0</v>
      </c>
      <c r="E891" s="33">
        <v>0</v>
      </c>
      <c r="F891" s="33">
        <v>0</v>
      </c>
      <c r="G891" s="33">
        <v>0</v>
      </c>
      <c r="H891" s="34">
        <v>0</v>
      </c>
      <c r="I891">
        <v>0</v>
      </c>
      <c r="J891" s="35">
        <v>0</v>
      </c>
      <c r="K891" s="35">
        <v>0</v>
      </c>
      <c r="L891" s="35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s">
        <v>54</v>
      </c>
      <c r="AO891" s="23" t="s">
        <v>54</v>
      </c>
      <c r="AP891" s="23" t="s">
        <v>54</v>
      </c>
      <c r="AQ891" s="23" t="s">
        <v>54</v>
      </c>
      <c r="AR891" s="37">
        <v>0</v>
      </c>
      <c r="AS891" s="37">
        <v>0</v>
      </c>
      <c r="AT891" s="37">
        <v>0</v>
      </c>
      <c r="AU891" s="33" t="str">
        <f t="shared" si="16"/>
        <v>库存为0</v>
      </c>
      <c r="AV891" s="38" t="str">
        <f>IFERROR(时间!$B$4+AU891,"上周无销量")</f>
        <v>上周无销量</v>
      </c>
    </row>
    <row r="892" spans="1:48">
      <c r="A892" s="21" t="s">
        <v>1951</v>
      </c>
      <c r="B892" t="s">
        <v>1952</v>
      </c>
      <c r="C892" t="s">
        <v>1926</v>
      </c>
      <c r="D892" s="33">
        <v>0</v>
      </c>
      <c r="E892" s="33">
        <v>0</v>
      </c>
      <c r="F892" s="33">
        <v>0</v>
      </c>
      <c r="G892" s="33">
        <v>0</v>
      </c>
      <c r="H892" s="34">
        <v>0</v>
      </c>
      <c r="I892">
        <v>2</v>
      </c>
      <c r="J892" s="35">
        <v>0</v>
      </c>
      <c r="K892" s="35">
        <v>0</v>
      </c>
      <c r="L892" s="35">
        <v>0</v>
      </c>
      <c r="M892">
        <v>2</v>
      </c>
      <c r="N892">
        <v>0</v>
      </c>
      <c r="O892">
        <v>2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1</v>
      </c>
      <c r="AK892">
        <v>1</v>
      </c>
      <c r="AL892">
        <v>1</v>
      </c>
      <c r="AM892">
        <v>0</v>
      </c>
      <c r="AN892" s="23">
        <v>0</v>
      </c>
      <c r="AO892" s="23">
        <v>0</v>
      </c>
      <c r="AP892" s="23">
        <v>0</v>
      </c>
      <c r="AQ892" s="23" t="s">
        <v>54</v>
      </c>
      <c r="AR892" s="37">
        <v>0</v>
      </c>
      <c r="AS892" s="37">
        <v>0</v>
      </c>
      <c r="AT892" s="37">
        <v>2</v>
      </c>
      <c r="AU892" s="33" t="str">
        <f t="shared" si="16"/>
        <v>库存为2</v>
      </c>
      <c r="AV892" s="38" t="str">
        <f>IFERROR(时间!$B$4+AU892,"上周无销量")</f>
        <v>上周无销量</v>
      </c>
    </row>
    <row r="893" spans="1:48">
      <c r="A893" s="21" t="s">
        <v>1953</v>
      </c>
      <c r="B893" t="s">
        <v>1954</v>
      </c>
      <c r="C893" t="s">
        <v>1955</v>
      </c>
      <c r="D893" s="33">
        <v>0</v>
      </c>
      <c r="E893" s="33">
        <v>0</v>
      </c>
      <c r="F893" s="33">
        <v>0</v>
      </c>
      <c r="G893" s="33">
        <v>0</v>
      </c>
      <c r="H893" s="34">
        <v>0</v>
      </c>
      <c r="I893">
        <v>0</v>
      </c>
      <c r="J893" s="35">
        <v>0</v>
      </c>
      <c r="K893" s="35">
        <v>0</v>
      </c>
      <c r="L893" s="35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s">
        <v>54</v>
      </c>
      <c r="AO893" s="23" t="s">
        <v>54</v>
      </c>
      <c r="AP893" s="23" t="s">
        <v>54</v>
      </c>
      <c r="AQ893" s="23" t="s">
        <v>54</v>
      </c>
      <c r="AR893" s="37">
        <v>0</v>
      </c>
      <c r="AS893" s="37">
        <v>0</v>
      </c>
      <c r="AT893" s="37">
        <v>0</v>
      </c>
      <c r="AU893" s="33" t="str">
        <f t="shared" si="16"/>
        <v>库存为0</v>
      </c>
      <c r="AV893" s="38" t="str">
        <f>IFERROR(时间!$B$4+AU893,"上周无销量")</f>
        <v>上周无销量</v>
      </c>
    </row>
    <row r="894" spans="1:48">
      <c r="A894" s="21" t="s">
        <v>1956</v>
      </c>
      <c r="B894" t="s">
        <v>1957</v>
      </c>
      <c r="C894" t="s">
        <v>1955</v>
      </c>
      <c r="D894" s="33">
        <v>0</v>
      </c>
      <c r="E894" s="33">
        <v>0</v>
      </c>
      <c r="F894" s="33">
        <v>0</v>
      </c>
      <c r="G894" s="33">
        <v>0</v>
      </c>
      <c r="H894" s="34">
        <v>0</v>
      </c>
      <c r="I894">
        <v>0</v>
      </c>
      <c r="J894" s="35">
        <v>0</v>
      </c>
      <c r="K894" s="35">
        <v>0</v>
      </c>
      <c r="L894" s="35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s">
        <v>54</v>
      </c>
      <c r="AO894" s="23" t="s">
        <v>54</v>
      </c>
      <c r="AP894" s="23" t="s">
        <v>54</v>
      </c>
      <c r="AQ894" s="23" t="s">
        <v>54</v>
      </c>
      <c r="AR894" s="37">
        <v>0</v>
      </c>
      <c r="AS894" s="37">
        <v>0</v>
      </c>
      <c r="AT894" s="37">
        <v>0</v>
      </c>
      <c r="AU894" s="33" t="str">
        <f t="shared" si="16"/>
        <v>库存为0</v>
      </c>
      <c r="AV894" s="38" t="str">
        <f>IFERROR(时间!$B$4+AU894,"上周无销量")</f>
        <v>上周无销量</v>
      </c>
    </row>
    <row r="895" spans="1:48">
      <c r="A895" s="21" t="s">
        <v>1958</v>
      </c>
      <c r="B895" t="s">
        <v>1959</v>
      </c>
      <c r="C895" t="s">
        <v>1955</v>
      </c>
      <c r="D895" s="33">
        <v>0</v>
      </c>
      <c r="E895" s="33">
        <v>0</v>
      </c>
      <c r="F895" s="33">
        <v>0</v>
      </c>
      <c r="G895" s="33">
        <v>0</v>
      </c>
      <c r="H895" s="34">
        <v>0</v>
      </c>
      <c r="I895">
        <v>0</v>
      </c>
      <c r="J895" s="35">
        <v>0</v>
      </c>
      <c r="K895" s="35">
        <v>0</v>
      </c>
      <c r="L895" s="35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s">
        <v>54</v>
      </c>
      <c r="AO895" s="23" t="s">
        <v>54</v>
      </c>
      <c r="AP895" s="23" t="s">
        <v>54</v>
      </c>
      <c r="AQ895" s="23" t="s">
        <v>54</v>
      </c>
      <c r="AR895" s="37">
        <v>0</v>
      </c>
      <c r="AS895" s="37">
        <v>0</v>
      </c>
      <c r="AT895" s="37">
        <v>0</v>
      </c>
      <c r="AU895" s="33" t="str">
        <f t="shared" si="16"/>
        <v>库存为0</v>
      </c>
      <c r="AV895" s="38" t="str">
        <f>IFERROR(时间!$B$4+AU895,"上周无销量")</f>
        <v>上周无销量</v>
      </c>
    </row>
    <row r="896" spans="1:48">
      <c r="A896" s="21" t="s">
        <v>1960</v>
      </c>
      <c r="B896" t="s">
        <v>1961</v>
      </c>
      <c r="C896" t="s">
        <v>1955</v>
      </c>
      <c r="D896" s="33">
        <v>0</v>
      </c>
      <c r="E896" s="33">
        <v>2</v>
      </c>
      <c r="F896" s="33">
        <v>1</v>
      </c>
      <c r="G896" s="33">
        <v>0</v>
      </c>
      <c r="H896" s="34">
        <v>18.99</v>
      </c>
      <c r="I896">
        <v>1</v>
      </c>
      <c r="J896" s="35">
        <v>0</v>
      </c>
      <c r="K896" s="35">
        <v>0</v>
      </c>
      <c r="L896" s="35">
        <v>0</v>
      </c>
      <c r="M896">
        <v>1</v>
      </c>
      <c r="N896">
        <v>1</v>
      </c>
      <c r="O896">
        <v>1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41</v>
      </c>
      <c r="AK896">
        <v>23</v>
      </c>
      <c r="AL896">
        <v>23</v>
      </c>
      <c r="AM896">
        <v>17</v>
      </c>
      <c r="AN896" s="23">
        <v>0</v>
      </c>
      <c r="AO896" s="23">
        <v>0.0869565217391304</v>
      </c>
      <c r="AP896" s="23">
        <v>0.0434782608695652</v>
      </c>
      <c r="AQ896" s="23">
        <v>0</v>
      </c>
      <c r="AR896" s="37">
        <v>0</v>
      </c>
      <c r="AS896" s="37">
        <v>0</v>
      </c>
      <c r="AT896" s="37">
        <v>1</v>
      </c>
      <c r="AU896" s="33" t="str">
        <f t="shared" si="16"/>
        <v>库存为1</v>
      </c>
      <c r="AV896" s="38" t="str">
        <f>IFERROR(时间!$B$4+AU896,"上周无销量")</f>
        <v>上周无销量</v>
      </c>
    </row>
    <row r="897" spans="1:48">
      <c r="A897" s="21" t="s">
        <v>1962</v>
      </c>
      <c r="B897" t="s">
        <v>1963</v>
      </c>
      <c r="C897" t="s">
        <v>1955</v>
      </c>
      <c r="D897" s="33">
        <v>0</v>
      </c>
      <c r="E897" s="33">
        <v>0</v>
      </c>
      <c r="F897" s="33">
        <v>0</v>
      </c>
      <c r="G897" s="33">
        <v>0</v>
      </c>
      <c r="H897" s="34">
        <v>0</v>
      </c>
      <c r="I897">
        <v>0</v>
      </c>
      <c r="J897" s="35">
        <v>0</v>
      </c>
      <c r="K897" s="35">
        <v>0</v>
      </c>
      <c r="L897" s="35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s">
        <v>54</v>
      </c>
      <c r="AO897" s="23" t="s">
        <v>54</v>
      </c>
      <c r="AP897" s="23" t="s">
        <v>54</v>
      </c>
      <c r="AQ897" s="23" t="s">
        <v>54</v>
      </c>
      <c r="AR897" s="37">
        <v>0</v>
      </c>
      <c r="AS897" s="37">
        <v>0</v>
      </c>
      <c r="AT897" s="37">
        <v>0</v>
      </c>
      <c r="AU897" s="33" t="str">
        <f t="shared" si="16"/>
        <v>库存为0</v>
      </c>
      <c r="AV897" s="38" t="str">
        <f>IFERROR(时间!$B$4+AU897,"上周无销量")</f>
        <v>上周无销量</v>
      </c>
    </row>
    <row r="898" spans="1:48">
      <c r="A898" s="21" t="s">
        <v>1964</v>
      </c>
      <c r="B898" t="s">
        <v>1965</v>
      </c>
      <c r="C898" t="s">
        <v>1966</v>
      </c>
      <c r="D898" s="33">
        <v>0</v>
      </c>
      <c r="E898" s="33">
        <v>0</v>
      </c>
      <c r="F898" s="33">
        <v>0</v>
      </c>
      <c r="G898" s="33">
        <v>0</v>
      </c>
      <c r="H898" s="34">
        <v>0</v>
      </c>
      <c r="I898">
        <v>0</v>
      </c>
      <c r="J898" s="35">
        <v>0</v>
      </c>
      <c r="K898" s="35">
        <v>0</v>
      </c>
      <c r="L898" s="35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s">
        <v>54</v>
      </c>
      <c r="AO898" s="23" t="s">
        <v>54</v>
      </c>
      <c r="AP898" s="23" t="s">
        <v>54</v>
      </c>
      <c r="AQ898" s="23" t="s">
        <v>54</v>
      </c>
      <c r="AR898" s="37">
        <v>0</v>
      </c>
      <c r="AS898" s="37">
        <v>0</v>
      </c>
      <c r="AT898" s="37">
        <v>0</v>
      </c>
      <c r="AU898" s="33" t="str">
        <f t="shared" si="16"/>
        <v>库存为0</v>
      </c>
      <c r="AV898" s="38" t="str">
        <f>IFERROR(时间!$B$4+AU898,"上周无销量")</f>
        <v>上周无销量</v>
      </c>
    </row>
    <row r="899" spans="1:48">
      <c r="A899" s="21" t="s">
        <v>1967</v>
      </c>
      <c r="B899" t="s">
        <v>1968</v>
      </c>
      <c r="C899" t="s">
        <v>1966</v>
      </c>
      <c r="D899" s="33">
        <v>0</v>
      </c>
      <c r="E899" s="33">
        <v>0</v>
      </c>
      <c r="F899" s="33">
        <v>0</v>
      </c>
      <c r="G899" s="33">
        <v>0</v>
      </c>
      <c r="H899" s="34">
        <v>0</v>
      </c>
      <c r="I899">
        <v>1</v>
      </c>
      <c r="J899" s="35">
        <v>0</v>
      </c>
      <c r="K899" s="35">
        <v>0</v>
      </c>
      <c r="L899" s="35">
        <v>0</v>
      </c>
      <c r="M899">
        <v>1</v>
      </c>
      <c r="N899">
        <v>0</v>
      </c>
      <c r="O899">
        <v>1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6</v>
      </c>
      <c r="AK899">
        <v>2</v>
      </c>
      <c r="AL899">
        <v>2</v>
      </c>
      <c r="AM899">
        <v>2</v>
      </c>
      <c r="AN899" s="23">
        <v>0</v>
      </c>
      <c r="AO899" s="23">
        <v>0</v>
      </c>
      <c r="AP899" s="23">
        <v>0</v>
      </c>
      <c r="AQ899" s="23">
        <v>0</v>
      </c>
      <c r="AR899" s="37">
        <v>0</v>
      </c>
      <c r="AS899" s="37">
        <v>0</v>
      </c>
      <c r="AT899" s="37">
        <v>1</v>
      </c>
      <c r="AU899" s="33" t="str">
        <f t="shared" si="16"/>
        <v>库存为1</v>
      </c>
      <c r="AV899" s="38" t="str">
        <f>IFERROR(时间!$B$4+AU899,"上周无销量")</f>
        <v>上周无销量</v>
      </c>
    </row>
    <row r="900" spans="1:48">
      <c r="A900" s="21" t="s">
        <v>1969</v>
      </c>
      <c r="B900" t="s">
        <v>1970</v>
      </c>
      <c r="C900" t="s">
        <v>1966</v>
      </c>
      <c r="D900" s="33">
        <v>0</v>
      </c>
      <c r="E900" s="33">
        <v>0</v>
      </c>
      <c r="F900" s="33">
        <v>0</v>
      </c>
      <c r="G900" s="33">
        <v>0</v>
      </c>
      <c r="H900" s="34">
        <v>0</v>
      </c>
      <c r="I900">
        <v>4</v>
      </c>
      <c r="J900" s="35">
        <v>0</v>
      </c>
      <c r="K900" s="35">
        <v>0</v>
      </c>
      <c r="L900" s="35">
        <v>0</v>
      </c>
      <c r="M900">
        <v>4</v>
      </c>
      <c r="N900">
        <v>0</v>
      </c>
      <c r="O900">
        <v>4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4</v>
      </c>
      <c r="AK900">
        <v>1</v>
      </c>
      <c r="AL900">
        <v>1</v>
      </c>
      <c r="AM900">
        <v>0</v>
      </c>
      <c r="AN900" s="23">
        <v>0</v>
      </c>
      <c r="AO900" s="23">
        <v>0</v>
      </c>
      <c r="AP900" s="23">
        <v>0</v>
      </c>
      <c r="AQ900" s="23" t="s">
        <v>54</v>
      </c>
      <c r="AR900" s="37">
        <v>0</v>
      </c>
      <c r="AS900" s="37">
        <v>0</v>
      </c>
      <c r="AT900" s="37">
        <v>4</v>
      </c>
      <c r="AU900" s="33" t="str">
        <f t="shared" si="16"/>
        <v>库存为4</v>
      </c>
      <c r="AV900" s="38" t="str">
        <f>IFERROR(时间!$B$4+AU900,"上周无销量")</f>
        <v>上周无销量</v>
      </c>
    </row>
    <row r="901" spans="1:48">
      <c r="A901" s="21" t="s">
        <v>1971</v>
      </c>
      <c r="B901" t="s">
        <v>1972</v>
      </c>
      <c r="C901" t="s">
        <v>1973</v>
      </c>
      <c r="D901" s="33">
        <v>0</v>
      </c>
      <c r="E901" s="33">
        <v>0</v>
      </c>
      <c r="F901" s="33">
        <v>0</v>
      </c>
      <c r="G901" s="33">
        <v>0</v>
      </c>
      <c r="H901" s="34">
        <v>0</v>
      </c>
      <c r="I901">
        <v>1</v>
      </c>
      <c r="J901" s="35">
        <v>0</v>
      </c>
      <c r="K901" s="35">
        <v>0</v>
      </c>
      <c r="L901" s="35">
        <v>0</v>
      </c>
      <c r="M901">
        <v>1</v>
      </c>
      <c r="N901">
        <v>0</v>
      </c>
      <c r="O901">
        <v>1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5</v>
      </c>
      <c r="AK901">
        <v>1</v>
      </c>
      <c r="AL901">
        <v>1</v>
      </c>
      <c r="AM901">
        <v>0</v>
      </c>
      <c r="AN901" s="23">
        <v>0</v>
      </c>
      <c r="AO901" s="23">
        <v>0</v>
      </c>
      <c r="AP901" s="23">
        <v>0</v>
      </c>
      <c r="AQ901" s="23" t="s">
        <v>54</v>
      </c>
      <c r="AR901" s="37">
        <v>0</v>
      </c>
      <c r="AS901" s="37">
        <v>0</v>
      </c>
      <c r="AT901" s="37">
        <v>1</v>
      </c>
      <c r="AU901" s="33" t="str">
        <f t="shared" ref="AU901:AU964" si="17">IF(AR901="","库存为"&amp;M901,IF(AS901=0,"库存为"&amp;M901,INT(M901/AR901)))</f>
        <v>库存为1</v>
      </c>
      <c r="AV901" s="38" t="str">
        <f>IFERROR(时间!$B$4+AU901,"上周无销量")</f>
        <v>上周无销量</v>
      </c>
    </row>
    <row r="902" spans="1:48">
      <c r="A902" s="21" t="s">
        <v>1974</v>
      </c>
      <c r="B902" t="s">
        <v>1975</v>
      </c>
      <c r="C902" t="s">
        <v>1973</v>
      </c>
      <c r="D902" s="33">
        <v>0</v>
      </c>
      <c r="E902" s="33">
        <v>0</v>
      </c>
      <c r="F902" s="33">
        <v>0</v>
      </c>
      <c r="G902" s="33">
        <v>0</v>
      </c>
      <c r="H902" s="34">
        <v>0</v>
      </c>
      <c r="I902">
        <v>0</v>
      </c>
      <c r="J902" s="35">
        <v>0</v>
      </c>
      <c r="K902" s="35">
        <v>0</v>
      </c>
      <c r="L902" s="35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s">
        <v>54</v>
      </c>
      <c r="AO902" s="23" t="s">
        <v>54</v>
      </c>
      <c r="AP902" s="23" t="s">
        <v>54</v>
      </c>
      <c r="AQ902" s="23" t="s">
        <v>54</v>
      </c>
      <c r="AR902" s="37">
        <v>0</v>
      </c>
      <c r="AS902" s="37">
        <v>0</v>
      </c>
      <c r="AT902" s="37">
        <v>0</v>
      </c>
      <c r="AU902" s="33" t="str">
        <f t="shared" si="17"/>
        <v>库存为0</v>
      </c>
      <c r="AV902" s="38" t="str">
        <f>IFERROR(时间!$B$4+AU902,"上周无销量")</f>
        <v>上周无销量</v>
      </c>
    </row>
    <row r="903" spans="1:48">
      <c r="A903" s="21" t="s">
        <v>1976</v>
      </c>
      <c r="B903" t="s">
        <v>1977</v>
      </c>
      <c r="C903" t="s">
        <v>1978</v>
      </c>
      <c r="D903" s="33">
        <v>0</v>
      </c>
      <c r="E903" s="33">
        <v>0</v>
      </c>
      <c r="F903" s="33">
        <v>0</v>
      </c>
      <c r="G903" s="33">
        <v>0</v>
      </c>
      <c r="H903" s="34">
        <v>0</v>
      </c>
      <c r="I903">
        <v>0</v>
      </c>
      <c r="J903" s="35">
        <v>0</v>
      </c>
      <c r="K903" s="35">
        <v>0</v>
      </c>
      <c r="L903" s="35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s">
        <v>54</v>
      </c>
      <c r="AO903" s="23" t="s">
        <v>54</v>
      </c>
      <c r="AP903" s="23" t="s">
        <v>54</v>
      </c>
      <c r="AQ903" s="23" t="s">
        <v>54</v>
      </c>
      <c r="AR903" s="37">
        <v>0</v>
      </c>
      <c r="AS903" s="37">
        <v>0</v>
      </c>
      <c r="AT903" s="37">
        <v>0</v>
      </c>
      <c r="AU903" s="33" t="str">
        <f t="shared" si="17"/>
        <v>库存为0</v>
      </c>
      <c r="AV903" s="38" t="str">
        <f>IFERROR(时间!$B$4+AU903,"上周无销量")</f>
        <v>上周无销量</v>
      </c>
    </row>
    <row r="904" spans="1:48">
      <c r="A904" s="21" t="s">
        <v>1979</v>
      </c>
      <c r="B904" t="s">
        <v>1980</v>
      </c>
      <c r="C904" t="s">
        <v>1978</v>
      </c>
      <c r="D904" s="33">
        <v>0</v>
      </c>
      <c r="E904" s="33">
        <v>0</v>
      </c>
      <c r="F904" s="33">
        <v>0</v>
      </c>
      <c r="G904" s="33">
        <v>0</v>
      </c>
      <c r="H904" s="34">
        <v>0</v>
      </c>
      <c r="I904">
        <v>0</v>
      </c>
      <c r="J904" s="35">
        <v>0</v>
      </c>
      <c r="K904" s="35">
        <v>0</v>
      </c>
      <c r="L904" s="35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s">
        <v>54</v>
      </c>
      <c r="AO904" s="23" t="s">
        <v>54</v>
      </c>
      <c r="AP904" s="23" t="s">
        <v>54</v>
      </c>
      <c r="AQ904" s="23" t="s">
        <v>54</v>
      </c>
      <c r="AR904" s="37">
        <v>0</v>
      </c>
      <c r="AS904" s="37">
        <v>0</v>
      </c>
      <c r="AT904" s="37">
        <v>0</v>
      </c>
      <c r="AU904" s="33" t="str">
        <f t="shared" si="17"/>
        <v>库存为0</v>
      </c>
      <c r="AV904" s="38" t="str">
        <f>IFERROR(时间!$B$4+AU904,"上周无销量")</f>
        <v>上周无销量</v>
      </c>
    </row>
    <row r="905" spans="1:48">
      <c r="A905" s="21" t="s">
        <v>1981</v>
      </c>
      <c r="B905" t="s">
        <v>1982</v>
      </c>
      <c r="C905" t="s">
        <v>1978</v>
      </c>
      <c r="D905" s="33">
        <v>0</v>
      </c>
      <c r="E905" s="33">
        <v>0</v>
      </c>
      <c r="F905" s="33">
        <v>0</v>
      </c>
      <c r="G905" s="33">
        <v>1</v>
      </c>
      <c r="H905" s="34">
        <v>16.99</v>
      </c>
      <c r="I905">
        <v>3</v>
      </c>
      <c r="J905" s="35">
        <v>0</v>
      </c>
      <c r="K905" s="35">
        <v>0</v>
      </c>
      <c r="L905" s="35">
        <v>0</v>
      </c>
      <c r="M905">
        <v>3</v>
      </c>
      <c r="N905">
        <v>0</v>
      </c>
      <c r="O905">
        <v>1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6</v>
      </c>
      <c r="AK905">
        <v>1</v>
      </c>
      <c r="AL905">
        <v>1</v>
      </c>
      <c r="AM905">
        <v>0</v>
      </c>
      <c r="AN905" s="23">
        <v>0</v>
      </c>
      <c r="AO905" s="23">
        <v>0</v>
      </c>
      <c r="AP905" s="23">
        <v>0</v>
      </c>
      <c r="AQ905" s="23" t="s">
        <v>54</v>
      </c>
      <c r="AR905" s="37">
        <v>0</v>
      </c>
      <c r="AS905" s="37">
        <v>0</v>
      </c>
      <c r="AT905" s="37">
        <v>3</v>
      </c>
      <c r="AU905" s="33" t="str">
        <f t="shared" si="17"/>
        <v>库存为3</v>
      </c>
      <c r="AV905" s="38" t="str">
        <f>IFERROR(时间!$B$4+AU905,"上周无销量")</f>
        <v>上周无销量</v>
      </c>
    </row>
    <row r="906" spans="1:48">
      <c r="A906" s="21" t="s">
        <v>1983</v>
      </c>
      <c r="B906" t="s">
        <v>1984</v>
      </c>
      <c r="C906" t="s">
        <v>1985</v>
      </c>
      <c r="D906" s="33">
        <v>0</v>
      </c>
      <c r="E906" s="33">
        <v>0</v>
      </c>
      <c r="F906" s="33">
        <v>0</v>
      </c>
      <c r="G906" s="33">
        <v>0</v>
      </c>
      <c r="H906" s="34">
        <v>0</v>
      </c>
      <c r="I906">
        <v>0</v>
      </c>
      <c r="J906" s="35">
        <v>0</v>
      </c>
      <c r="K906" s="35">
        <v>0</v>
      </c>
      <c r="L906" s="35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s">
        <v>54</v>
      </c>
      <c r="AO906" s="23" t="s">
        <v>54</v>
      </c>
      <c r="AP906" s="23" t="s">
        <v>54</v>
      </c>
      <c r="AQ906" s="23" t="s">
        <v>54</v>
      </c>
      <c r="AR906" s="37">
        <v>0</v>
      </c>
      <c r="AS906" s="37">
        <v>0</v>
      </c>
      <c r="AT906" s="37">
        <v>0</v>
      </c>
      <c r="AU906" s="33" t="str">
        <f t="shared" si="17"/>
        <v>库存为0</v>
      </c>
      <c r="AV906" s="38" t="str">
        <f>IFERROR(时间!$B$4+AU906,"上周无销量")</f>
        <v>上周无销量</v>
      </c>
    </row>
    <row r="907" spans="1:48">
      <c r="A907" s="21" t="s">
        <v>1986</v>
      </c>
      <c r="B907" t="s">
        <v>1987</v>
      </c>
      <c r="C907" t="s">
        <v>1985</v>
      </c>
      <c r="D907" s="33">
        <v>0</v>
      </c>
      <c r="E907" s="33">
        <v>0</v>
      </c>
      <c r="F907" s="33">
        <v>0</v>
      </c>
      <c r="G907" s="33">
        <v>0</v>
      </c>
      <c r="H907" s="34">
        <v>0</v>
      </c>
      <c r="I907">
        <v>1</v>
      </c>
      <c r="J907" s="35">
        <v>0</v>
      </c>
      <c r="K907" s="35">
        <v>0</v>
      </c>
      <c r="L907" s="35">
        <v>0</v>
      </c>
      <c r="M907">
        <v>1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4</v>
      </c>
      <c r="AK907">
        <v>2</v>
      </c>
      <c r="AL907">
        <v>2</v>
      </c>
      <c r="AM907">
        <v>2</v>
      </c>
      <c r="AN907" s="23">
        <v>0</v>
      </c>
      <c r="AO907" s="23">
        <v>0</v>
      </c>
      <c r="AP907" s="23">
        <v>0</v>
      </c>
      <c r="AQ907" s="23">
        <v>0</v>
      </c>
      <c r="AR907" s="37">
        <v>0</v>
      </c>
      <c r="AS907" s="37">
        <v>0</v>
      </c>
      <c r="AT907" s="37">
        <v>1</v>
      </c>
      <c r="AU907" s="33" t="str">
        <f t="shared" si="17"/>
        <v>库存为1</v>
      </c>
      <c r="AV907" s="38" t="str">
        <f>IFERROR(时间!$B$4+AU907,"上周无销量")</f>
        <v>上周无销量</v>
      </c>
    </row>
    <row r="908" spans="1:48">
      <c r="A908" s="21" t="s">
        <v>1988</v>
      </c>
      <c r="B908" t="s">
        <v>1989</v>
      </c>
      <c r="C908" t="s">
        <v>1985</v>
      </c>
      <c r="D908" s="33">
        <v>0</v>
      </c>
      <c r="E908" s="33">
        <v>0</v>
      </c>
      <c r="F908" s="33">
        <v>0</v>
      </c>
      <c r="G908" s="33">
        <v>0</v>
      </c>
      <c r="H908" s="34">
        <v>0</v>
      </c>
      <c r="I908">
        <v>8</v>
      </c>
      <c r="J908" s="35">
        <v>0</v>
      </c>
      <c r="K908" s="35">
        <v>0</v>
      </c>
      <c r="L908" s="35">
        <v>0</v>
      </c>
      <c r="M908">
        <v>8</v>
      </c>
      <c r="N908">
        <v>1</v>
      </c>
      <c r="O908">
        <v>7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3</v>
      </c>
      <c r="AK908">
        <v>1</v>
      </c>
      <c r="AL908">
        <v>1</v>
      </c>
      <c r="AM908">
        <v>1</v>
      </c>
      <c r="AN908" s="23">
        <v>0</v>
      </c>
      <c r="AO908" s="23">
        <v>0</v>
      </c>
      <c r="AP908" s="23">
        <v>0</v>
      </c>
      <c r="AQ908" s="23">
        <v>0</v>
      </c>
      <c r="AR908" s="37">
        <v>0</v>
      </c>
      <c r="AS908" s="37">
        <v>0</v>
      </c>
      <c r="AT908" s="37">
        <v>8</v>
      </c>
      <c r="AU908" s="33" t="str">
        <f t="shared" si="17"/>
        <v>库存为8</v>
      </c>
      <c r="AV908" s="38" t="str">
        <f>IFERROR(时间!$B$4+AU908,"上周无销量")</f>
        <v>上周无销量</v>
      </c>
    </row>
    <row r="909" spans="1:48">
      <c r="A909" s="21" t="s">
        <v>1990</v>
      </c>
      <c r="B909" t="s">
        <v>1991</v>
      </c>
      <c r="C909" t="s">
        <v>1985</v>
      </c>
      <c r="D909" s="33">
        <v>1</v>
      </c>
      <c r="E909" s="33">
        <v>0</v>
      </c>
      <c r="F909" s="33">
        <v>0</v>
      </c>
      <c r="G909" s="33">
        <v>0</v>
      </c>
      <c r="H909" s="34">
        <v>19.99</v>
      </c>
      <c r="I909">
        <v>2</v>
      </c>
      <c r="J909" s="35">
        <v>0</v>
      </c>
      <c r="K909" s="35">
        <v>0</v>
      </c>
      <c r="L909" s="35">
        <v>0</v>
      </c>
      <c r="M909">
        <v>2</v>
      </c>
      <c r="N909">
        <v>0</v>
      </c>
      <c r="O909">
        <v>3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2</v>
      </c>
      <c r="AK909">
        <v>2</v>
      </c>
      <c r="AL909">
        <v>2</v>
      </c>
      <c r="AM909">
        <v>2</v>
      </c>
      <c r="AN909" s="23">
        <v>0.5</v>
      </c>
      <c r="AO909" s="23">
        <v>0</v>
      </c>
      <c r="AP909" s="23">
        <v>0</v>
      </c>
      <c r="AQ909" s="23">
        <v>0</v>
      </c>
      <c r="AR909" s="37">
        <v>0.142857142857143</v>
      </c>
      <c r="AS909" s="37">
        <v>8.57142857142857</v>
      </c>
      <c r="AT909" s="37">
        <v>-6.57142857142857</v>
      </c>
      <c r="AU909" s="33">
        <f t="shared" si="17"/>
        <v>14</v>
      </c>
      <c r="AV909" s="38">
        <f>IFERROR(时间!$B$4+AU909,"上周无销量")</f>
        <v>43304</v>
      </c>
    </row>
    <row r="910" spans="1:48">
      <c r="A910" s="21" t="s">
        <v>1992</v>
      </c>
      <c r="B910" t="s">
        <v>1993</v>
      </c>
      <c r="C910" t="s">
        <v>1985</v>
      </c>
      <c r="D910" s="33">
        <v>0</v>
      </c>
      <c r="E910" s="33">
        <v>0</v>
      </c>
      <c r="F910" s="33">
        <v>0</v>
      </c>
      <c r="G910" s="33">
        <v>0</v>
      </c>
      <c r="H910" s="34">
        <v>0</v>
      </c>
      <c r="I910">
        <v>1</v>
      </c>
      <c r="J910" s="35">
        <v>0</v>
      </c>
      <c r="K910" s="35">
        <v>0</v>
      </c>
      <c r="L910" s="35">
        <v>0</v>
      </c>
      <c r="M910">
        <v>1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17</v>
      </c>
      <c r="AK910">
        <v>21</v>
      </c>
      <c r="AL910">
        <v>21</v>
      </c>
      <c r="AM910">
        <v>40</v>
      </c>
      <c r="AN910" s="23">
        <v>0</v>
      </c>
      <c r="AO910" s="23">
        <v>0</v>
      </c>
      <c r="AP910" s="23">
        <v>0</v>
      </c>
      <c r="AQ910" s="23">
        <v>0</v>
      </c>
      <c r="AR910" s="37">
        <v>0</v>
      </c>
      <c r="AS910" s="37">
        <v>0</v>
      </c>
      <c r="AT910" s="37">
        <v>1</v>
      </c>
      <c r="AU910" s="33" t="str">
        <f t="shared" si="17"/>
        <v>库存为1</v>
      </c>
      <c r="AV910" s="38" t="str">
        <f>IFERROR(时间!$B$4+AU910,"上周无销量")</f>
        <v>上周无销量</v>
      </c>
    </row>
    <row r="911" spans="1:48">
      <c r="A911" s="21" t="s">
        <v>1994</v>
      </c>
      <c r="B911" t="s">
        <v>1995</v>
      </c>
      <c r="C911" t="s">
        <v>1985</v>
      </c>
      <c r="D911" s="33">
        <v>1</v>
      </c>
      <c r="E911" s="33">
        <v>0</v>
      </c>
      <c r="F911" s="33">
        <v>1</v>
      </c>
      <c r="G911" s="33">
        <v>0</v>
      </c>
      <c r="H911" s="34">
        <v>19.99</v>
      </c>
      <c r="I911">
        <v>0</v>
      </c>
      <c r="J911" s="35">
        <v>0</v>
      </c>
      <c r="K911" s="35">
        <v>0</v>
      </c>
      <c r="L911" s="35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3</v>
      </c>
      <c r="AK911">
        <v>4</v>
      </c>
      <c r="AL911">
        <v>4</v>
      </c>
      <c r="AM911">
        <v>3</v>
      </c>
      <c r="AN911" s="23">
        <v>0.333333333333333</v>
      </c>
      <c r="AO911" s="23">
        <v>0</v>
      </c>
      <c r="AP911" s="23">
        <v>0.25</v>
      </c>
      <c r="AQ911" s="23">
        <v>0</v>
      </c>
      <c r="AR911" s="37">
        <v>0.142857142857143</v>
      </c>
      <c r="AS911" s="37">
        <v>8.57142857142857</v>
      </c>
      <c r="AT911" s="37">
        <v>-8.57142857142857</v>
      </c>
      <c r="AU911" s="33">
        <f t="shared" si="17"/>
        <v>0</v>
      </c>
      <c r="AV911" s="38">
        <f>IFERROR(时间!$B$4+AU911,"上周无销量")</f>
        <v>43290</v>
      </c>
    </row>
    <row r="912" spans="1:48">
      <c r="A912" s="21" t="s">
        <v>1996</v>
      </c>
      <c r="B912" t="s">
        <v>1997</v>
      </c>
      <c r="C912" t="s">
        <v>1998</v>
      </c>
      <c r="D912" s="33">
        <v>0</v>
      </c>
      <c r="E912" s="33">
        <v>0</v>
      </c>
      <c r="F912" s="33">
        <v>0</v>
      </c>
      <c r="G912" s="33">
        <v>0</v>
      </c>
      <c r="H912" s="34">
        <v>0</v>
      </c>
      <c r="I912">
        <v>0</v>
      </c>
      <c r="J912" s="35">
        <v>0</v>
      </c>
      <c r="K912" s="35">
        <v>0</v>
      </c>
      <c r="L912" s="35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s">
        <v>54</v>
      </c>
      <c r="AO912" s="23" t="s">
        <v>54</v>
      </c>
      <c r="AP912" s="23" t="s">
        <v>54</v>
      </c>
      <c r="AQ912" s="23" t="s">
        <v>54</v>
      </c>
      <c r="AR912" s="37">
        <v>0</v>
      </c>
      <c r="AS912" s="37">
        <v>0</v>
      </c>
      <c r="AT912" s="37">
        <v>0</v>
      </c>
      <c r="AU912" s="33" t="str">
        <f t="shared" si="17"/>
        <v>库存为0</v>
      </c>
      <c r="AV912" s="38" t="str">
        <f>IFERROR(时间!$B$4+AU912,"上周无销量")</f>
        <v>上周无销量</v>
      </c>
    </row>
    <row r="913" spans="1:48">
      <c r="A913" s="21" t="s">
        <v>1999</v>
      </c>
      <c r="B913" t="s">
        <v>2000</v>
      </c>
      <c r="C913" t="s">
        <v>1998</v>
      </c>
      <c r="D913" s="33">
        <v>0</v>
      </c>
      <c r="E913" s="33">
        <v>0</v>
      </c>
      <c r="F913" s="33">
        <v>0</v>
      </c>
      <c r="G913" s="33">
        <v>0</v>
      </c>
      <c r="H913" s="34">
        <v>0</v>
      </c>
      <c r="I913">
        <v>0</v>
      </c>
      <c r="J913" s="35">
        <v>0</v>
      </c>
      <c r="K913" s="35">
        <v>0</v>
      </c>
      <c r="L913" s="35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s">
        <v>54</v>
      </c>
      <c r="AO913" s="23" t="s">
        <v>54</v>
      </c>
      <c r="AP913" s="23" t="s">
        <v>54</v>
      </c>
      <c r="AQ913" s="23" t="s">
        <v>54</v>
      </c>
      <c r="AR913" s="37">
        <v>0</v>
      </c>
      <c r="AS913" s="37">
        <v>0</v>
      </c>
      <c r="AT913" s="37">
        <v>0</v>
      </c>
      <c r="AU913" s="33" t="str">
        <f t="shared" si="17"/>
        <v>库存为0</v>
      </c>
      <c r="AV913" s="38" t="str">
        <f>IFERROR(时间!$B$4+AU913,"上周无销量")</f>
        <v>上周无销量</v>
      </c>
    </row>
    <row r="914" spans="1:48">
      <c r="A914" s="21" t="s">
        <v>2001</v>
      </c>
      <c r="B914" t="s">
        <v>2002</v>
      </c>
      <c r="C914" t="s">
        <v>1998</v>
      </c>
      <c r="D914" s="33">
        <v>0</v>
      </c>
      <c r="E914" s="33">
        <v>0</v>
      </c>
      <c r="F914" s="33">
        <v>0</v>
      </c>
      <c r="G914" s="33">
        <v>0</v>
      </c>
      <c r="H914" s="34">
        <v>0</v>
      </c>
      <c r="I914">
        <v>0</v>
      </c>
      <c r="J914" s="35">
        <v>0</v>
      </c>
      <c r="K914" s="35">
        <v>0</v>
      </c>
      <c r="L914" s="35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s">
        <v>54</v>
      </c>
      <c r="AO914" s="23" t="s">
        <v>54</v>
      </c>
      <c r="AP914" s="23" t="s">
        <v>54</v>
      </c>
      <c r="AQ914" s="23" t="s">
        <v>54</v>
      </c>
      <c r="AR914" s="37">
        <v>0</v>
      </c>
      <c r="AS914" s="37">
        <v>0</v>
      </c>
      <c r="AT914" s="37">
        <v>0</v>
      </c>
      <c r="AU914" s="33" t="str">
        <f t="shared" si="17"/>
        <v>库存为0</v>
      </c>
      <c r="AV914" s="38" t="str">
        <f>IFERROR(时间!$B$4+AU914,"上周无销量")</f>
        <v>上周无销量</v>
      </c>
    </row>
    <row r="915" spans="1:48">
      <c r="A915" s="21" t="s">
        <v>2003</v>
      </c>
      <c r="B915" t="s">
        <v>2004</v>
      </c>
      <c r="C915" t="s">
        <v>2005</v>
      </c>
      <c r="D915" s="33">
        <v>0</v>
      </c>
      <c r="E915" s="33">
        <v>0</v>
      </c>
      <c r="F915" s="33">
        <v>0</v>
      </c>
      <c r="G915" s="33">
        <v>0</v>
      </c>
      <c r="H915" s="34">
        <v>0</v>
      </c>
      <c r="I915">
        <v>4</v>
      </c>
      <c r="J915" s="35">
        <v>0</v>
      </c>
      <c r="K915" s="35">
        <v>0</v>
      </c>
      <c r="L915" s="35">
        <v>0</v>
      </c>
      <c r="M915">
        <v>4</v>
      </c>
      <c r="N915">
        <v>0</v>
      </c>
      <c r="O915">
        <v>4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4</v>
      </c>
      <c r="AK915">
        <v>2</v>
      </c>
      <c r="AL915">
        <v>2</v>
      </c>
      <c r="AM915">
        <v>0</v>
      </c>
      <c r="AN915" s="23">
        <v>0</v>
      </c>
      <c r="AO915" s="23">
        <v>0</v>
      </c>
      <c r="AP915" s="23">
        <v>0</v>
      </c>
      <c r="AQ915" s="23" t="s">
        <v>54</v>
      </c>
      <c r="AR915" s="37">
        <v>0</v>
      </c>
      <c r="AS915" s="37">
        <v>0</v>
      </c>
      <c r="AT915" s="37">
        <v>4</v>
      </c>
      <c r="AU915" s="33" t="str">
        <f t="shared" si="17"/>
        <v>库存为4</v>
      </c>
      <c r="AV915" s="38" t="str">
        <f>IFERROR(时间!$B$4+AU915,"上周无销量")</f>
        <v>上周无销量</v>
      </c>
    </row>
    <row r="916" spans="1:48">
      <c r="A916" s="21" t="s">
        <v>2006</v>
      </c>
      <c r="B916" t="s">
        <v>2007</v>
      </c>
      <c r="C916" t="s">
        <v>2005</v>
      </c>
      <c r="D916" s="33">
        <v>0</v>
      </c>
      <c r="E916" s="33">
        <v>0</v>
      </c>
      <c r="F916" s="33">
        <v>0</v>
      </c>
      <c r="G916" s="33">
        <v>0</v>
      </c>
      <c r="H916" s="34">
        <v>0</v>
      </c>
      <c r="I916">
        <v>1</v>
      </c>
      <c r="J916" s="35">
        <v>0</v>
      </c>
      <c r="K916" s="35">
        <v>0</v>
      </c>
      <c r="L916" s="35">
        <v>0</v>
      </c>
      <c r="M916">
        <v>1</v>
      </c>
      <c r="N916">
        <v>0</v>
      </c>
      <c r="O916">
        <v>1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5</v>
      </c>
      <c r="AK916">
        <v>0</v>
      </c>
      <c r="AL916">
        <v>0</v>
      </c>
      <c r="AM916">
        <v>1</v>
      </c>
      <c r="AN916" s="23">
        <v>0</v>
      </c>
      <c r="AO916" s="23" t="s">
        <v>54</v>
      </c>
      <c r="AP916" s="23" t="s">
        <v>54</v>
      </c>
      <c r="AQ916" s="23">
        <v>0</v>
      </c>
      <c r="AR916" s="37">
        <v>0</v>
      </c>
      <c r="AS916" s="37">
        <v>0</v>
      </c>
      <c r="AT916" s="37">
        <v>1</v>
      </c>
      <c r="AU916" s="33" t="str">
        <f t="shared" si="17"/>
        <v>库存为1</v>
      </c>
      <c r="AV916" s="38" t="str">
        <f>IFERROR(时间!$B$4+AU916,"上周无销量")</f>
        <v>上周无销量</v>
      </c>
    </row>
    <row r="917" spans="1:48">
      <c r="A917" s="21" t="s">
        <v>2008</v>
      </c>
      <c r="B917" t="s">
        <v>2009</v>
      </c>
      <c r="C917" t="s">
        <v>2005</v>
      </c>
      <c r="D917" s="33">
        <v>0</v>
      </c>
      <c r="E917" s="33">
        <v>0</v>
      </c>
      <c r="F917" s="33">
        <v>0</v>
      </c>
      <c r="G917" s="33">
        <v>0</v>
      </c>
      <c r="H917" s="34">
        <v>0</v>
      </c>
      <c r="I917">
        <v>2</v>
      </c>
      <c r="J917" s="35">
        <v>0</v>
      </c>
      <c r="K917" s="35">
        <v>0</v>
      </c>
      <c r="L917" s="35">
        <v>0</v>
      </c>
      <c r="M917">
        <v>2</v>
      </c>
      <c r="N917">
        <v>1</v>
      </c>
      <c r="O917">
        <v>2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2</v>
      </c>
      <c r="AK917">
        <v>3</v>
      </c>
      <c r="AL917">
        <v>3</v>
      </c>
      <c r="AM917">
        <v>5</v>
      </c>
      <c r="AN917" s="23">
        <v>0</v>
      </c>
      <c r="AO917" s="23">
        <v>0</v>
      </c>
      <c r="AP917" s="23">
        <v>0</v>
      </c>
      <c r="AQ917" s="23">
        <v>0</v>
      </c>
      <c r="AR917" s="37">
        <v>0</v>
      </c>
      <c r="AS917" s="37">
        <v>0</v>
      </c>
      <c r="AT917" s="37">
        <v>2</v>
      </c>
      <c r="AU917" s="33" t="str">
        <f t="shared" si="17"/>
        <v>库存为2</v>
      </c>
      <c r="AV917" s="38" t="str">
        <f>IFERROR(时间!$B$4+AU917,"上周无销量")</f>
        <v>上周无销量</v>
      </c>
    </row>
    <row r="918" spans="1:48">
      <c r="A918" s="21" t="s">
        <v>2010</v>
      </c>
      <c r="B918" t="s">
        <v>2011</v>
      </c>
      <c r="C918" t="s">
        <v>2005</v>
      </c>
      <c r="D918" s="33">
        <v>0</v>
      </c>
      <c r="E918" s="33">
        <v>0</v>
      </c>
      <c r="F918" s="33">
        <v>0</v>
      </c>
      <c r="G918" s="33">
        <v>0</v>
      </c>
      <c r="H918" s="34">
        <v>0</v>
      </c>
      <c r="I918">
        <v>10</v>
      </c>
      <c r="J918" s="35">
        <v>0</v>
      </c>
      <c r="K918" s="35">
        <v>0</v>
      </c>
      <c r="L918" s="35">
        <v>0</v>
      </c>
      <c r="M918">
        <v>10</v>
      </c>
      <c r="N918">
        <v>0</v>
      </c>
      <c r="O918">
        <v>9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3</v>
      </c>
      <c r="AK918">
        <v>0</v>
      </c>
      <c r="AL918">
        <v>0</v>
      </c>
      <c r="AM918">
        <v>1</v>
      </c>
      <c r="AN918" s="23">
        <v>0</v>
      </c>
      <c r="AO918" s="23" t="s">
        <v>54</v>
      </c>
      <c r="AP918" s="23" t="s">
        <v>54</v>
      </c>
      <c r="AQ918" s="23">
        <v>0</v>
      </c>
      <c r="AR918" s="37">
        <v>0</v>
      </c>
      <c r="AS918" s="37">
        <v>0</v>
      </c>
      <c r="AT918" s="37">
        <v>10</v>
      </c>
      <c r="AU918" s="33" t="str">
        <f t="shared" si="17"/>
        <v>库存为10</v>
      </c>
      <c r="AV918" s="38" t="str">
        <f>IFERROR(时间!$B$4+AU918,"上周无销量")</f>
        <v>上周无销量</v>
      </c>
    </row>
    <row r="919" spans="1:48">
      <c r="A919" s="21" t="s">
        <v>2012</v>
      </c>
      <c r="B919" t="s">
        <v>2013</v>
      </c>
      <c r="C919" t="s">
        <v>2005</v>
      </c>
      <c r="D919" s="33">
        <v>0</v>
      </c>
      <c r="E919" s="33">
        <v>0</v>
      </c>
      <c r="F919" s="33">
        <v>0</v>
      </c>
      <c r="G919" s="33">
        <v>0</v>
      </c>
      <c r="H919" s="34">
        <v>0</v>
      </c>
      <c r="I919">
        <v>2</v>
      </c>
      <c r="J919" s="35">
        <v>0</v>
      </c>
      <c r="K919" s="35">
        <v>0</v>
      </c>
      <c r="L919" s="35">
        <v>0</v>
      </c>
      <c r="M919">
        <v>2</v>
      </c>
      <c r="N919">
        <v>0</v>
      </c>
      <c r="O919">
        <v>2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1</v>
      </c>
      <c r="AK919">
        <v>1</v>
      </c>
      <c r="AL919">
        <v>1</v>
      </c>
      <c r="AM919">
        <v>2</v>
      </c>
      <c r="AN919" s="23">
        <v>0</v>
      </c>
      <c r="AO919" s="23">
        <v>0</v>
      </c>
      <c r="AP919" s="23">
        <v>0</v>
      </c>
      <c r="AQ919" s="23">
        <v>0</v>
      </c>
      <c r="AR919" s="37">
        <v>0</v>
      </c>
      <c r="AS919" s="37">
        <v>0</v>
      </c>
      <c r="AT919" s="37">
        <v>2</v>
      </c>
      <c r="AU919" s="33" t="str">
        <f t="shared" si="17"/>
        <v>库存为2</v>
      </c>
      <c r="AV919" s="38" t="str">
        <f>IFERROR(时间!$B$4+AU919,"上周无销量")</f>
        <v>上周无销量</v>
      </c>
    </row>
    <row r="920" spans="1:48">
      <c r="A920" s="21" t="s">
        <v>2014</v>
      </c>
      <c r="B920" t="s">
        <v>2015</v>
      </c>
      <c r="C920" t="s">
        <v>2005</v>
      </c>
      <c r="D920" s="33">
        <v>0</v>
      </c>
      <c r="E920" s="33">
        <v>0</v>
      </c>
      <c r="F920" s="33">
        <v>0</v>
      </c>
      <c r="G920" s="33">
        <v>0</v>
      </c>
      <c r="H920" s="34">
        <v>0</v>
      </c>
      <c r="I920">
        <v>1</v>
      </c>
      <c r="J920" s="35">
        <v>0</v>
      </c>
      <c r="K920" s="35">
        <v>0</v>
      </c>
      <c r="L920" s="35">
        <v>0</v>
      </c>
      <c r="M920">
        <v>1</v>
      </c>
      <c r="N920">
        <v>0</v>
      </c>
      <c r="O920">
        <v>1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11</v>
      </c>
      <c r="AK920">
        <v>0</v>
      </c>
      <c r="AL920">
        <v>0</v>
      </c>
      <c r="AM920">
        <v>2</v>
      </c>
      <c r="AN920" s="23">
        <v>0</v>
      </c>
      <c r="AO920" s="23" t="s">
        <v>54</v>
      </c>
      <c r="AP920" s="23" t="s">
        <v>54</v>
      </c>
      <c r="AQ920" s="23">
        <v>0</v>
      </c>
      <c r="AR920" s="37">
        <v>0</v>
      </c>
      <c r="AS920" s="37">
        <v>0</v>
      </c>
      <c r="AT920" s="37">
        <v>1</v>
      </c>
      <c r="AU920" s="33" t="str">
        <f t="shared" si="17"/>
        <v>库存为1</v>
      </c>
      <c r="AV920" s="38" t="str">
        <f>IFERROR(时间!$B$4+AU920,"上周无销量")</f>
        <v>上周无销量</v>
      </c>
    </row>
    <row r="921" spans="1:48">
      <c r="A921" s="21" t="s">
        <v>2016</v>
      </c>
      <c r="B921" t="s">
        <v>2017</v>
      </c>
      <c r="C921" t="s">
        <v>2005</v>
      </c>
      <c r="D921" s="33">
        <v>0</v>
      </c>
      <c r="E921" s="33">
        <v>0</v>
      </c>
      <c r="F921" s="33">
        <v>0</v>
      </c>
      <c r="G921" s="33">
        <v>0</v>
      </c>
      <c r="H921" s="34">
        <v>0</v>
      </c>
      <c r="I921">
        <v>4</v>
      </c>
      <c r="J921" s="35">
        <v>0</v>
      </c>
      <c r="K921" s="35">
        <v>0</v>
      </c>
      <c r="L921" s="35">
        <v>0</v>
      </c>
      <c r="M921">
        <v>4</v>
      </c>
      <c r="N921">
        <v>0</v>
      </c>
      <c r="O921">
        <v>3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1</v>
      </c>
      <c r="AK921">
        <v>0</v>
      </c>
      <c r="AL921">
        <v>0</v>
      </c>
      <c r="AM921">
        <v>2</v>
      </c>
      <c r="AN921" s="23">
        <v>0</v>
      </c>
      <c r="AO921" s="23" t="s">
        <v>54</v>
      </c>
      <c r="AP921" s="23" t="s">
        <v>54</v>
      </c>
      <c r="AQ921" s="23">
        <v>0</v>
      </c>
      <c r="AR921" s="37">
        <v>0</v>
      </c>
      <c r="AS921" s="37">
        <v>0</v>
      </c>
      <c r="AT921" s="37">
        <v>4</v>
      </c>
      <c r="AU921" s="33" t="str">
        <f t="shared" si="17"/>
        <v>库存为4</v>
      </c>
      <c r="AV921" s="38" t="str">
        <f>IFERROR(时间!$B$4+AU921,"上周无销量")</f>
        <v>上周无销量</v>
      </c>
    </row>
    <row r="922" spans="1:48">
      <c r="A922" s="21" t="s">
        <v>2018</v>
      </c>
      <c r="B922" t="s">
        <v>2019</v>
      </c>
      <c r="C922" t="s">
        <v>2020</v>
      </c>
      <c r="D922" s="33">
        <v>0</v>
      </c>
      <c r="E922" s="33">
        <v>0</v>
      </c>
      <c r="F922" s="33">
        <v>0</v>
      </c>
      <c r="G922" s="33">
        <v>0</v>
      </c>
      <c r="H922" s="34">
        <v>0</v>
      </c>
      <c r="I922">
        <v>1</v>
      </c>
      <c r="J922" s="35">
        <v>0</v>
      </c>
      <c r="K922" s="35">
        <v>0</v>
      </c>
      <c r="L922" s="35">
        <v>0</v>
      </c>
      <c r="M922">
        <v>1</v>
      </c>
      <c r="N922">
        <v>1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s">
        <v>54</v>
      </c>
      <c r="AO922" s="23" t="s">
        <v>54</v>
      </c>
      <c r="AP922" s="23" t="s">
        <v>54</v>
      </c>
      <c r="AQ922" s="23" t="s">
        <v>54</v>
      </c>
      <c r="AR922" s="37">
        <v>0</v>
      </c>
      <c r="AS922" s="37">
        <v>0</v>
      </c>
      <c r="AT922" s="37">
        <v>1</v>
      </c>
      <c r="AU922" s="33" t="str">
        <f t="shared" si="17"/>
        <v>库存为1</v>
      </c>
      <c r="AV922" s="38" t="str">
        <f>IFERROR(时间!$B$4+AU922,"上周无销量")</f>
        <v>上周无销量</v>
      </c>
    </row>
    <row r="923" spans="1:48">
      <c r="A923" s="21" t="s">
        <v>2021</v>
      </c>
      <c r="B923" t="s">
        <v>2022</v>
      </c>
      <c r="C923" t="s">
        <v>2020</v>
      </c>
      <c r="D923" s="33">
        <v>0</v>
      </c>
      <c r="E923" s="33">
        <v>0</v>
      </c>
      <c r="F923" s="33">
        <v>0</v>
      </c>
      <c r="G923" s="33">
        <v>0</v>
      </c>
      <c r="H923" s="34">
        <v>0</v>
      </c>
      <c r="I923">
        <v>0</v>
      </c>
      <c r="J923" s="35">
        <v>0</v>
      </c>
      <c r="K923" s="35">
        <v>0</v>
      </c>
      <c r="L923" s="35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s">
        <v>54</v>
      </c>
      <c r="AO923" s="23" t="s">
        <v>54</v>
      </c>
      <c r="AP923" s="23" t="s">
        <v>54</v>
      </c>
      <c r="AQ923" s="23" t="s">
        <v>54</v>
      </c>
      <c r="AR923" s="37">
        <v>0</v>
      </c>
      <c r="AS923" s="37">
        <v>0</v>
      </c>
      <c r="AT923" s="37">
        <v>0</v>
      </c>
      <c r="AU923" s="33" t="str">
        <f t="shared" si="17"/>
        <v>库存为0</v>
      </c>
      <c r="AV923" s="38" t="str">
        <f>IFERROR(时间!$B$4+AU923,"上周无销量")</f>
        <v>上周无销量</v>
      </c>
    </row>
    <row r="924" spans="1:48">
      <c r="A924" s="21" t="s">
        <v>2023</v>
      </c>
      <c r="B924" t="s">
        <v>2024</v>
      </c>
      <c r="C924" t="s">
        <v>2020</v>
      </c>
      <c r="D924" s="33">
        <v>0</v>
      </c>
      <c r="E924" s="33">
        <v>0</v>
      </c>
      <c r="F924" s="33">
        <v>0</v>
      </c>
      <c r="G924" s="33">
        <v>0</v>
      </c>
      <c r="H924" s="34">
        <v>0</v>
      </c>
      <c r="I924">
        <v>9</v>
      </c>
      <c r="J924" s="35">
        <v>0</v>
      </c>
      <c r="K924" s="35">
        <v>0</v>
      </c>
      <c r="L924" s="35">
        <v>0</v>
      </c>
      <c r="M924">
        <v>9</v>
      </c>
      <c r="N924">
        <v>0</v>
      </c>
      <c r="O924">
        <v>3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s">
        <v>54</v>
      </c>
      <c r="AO924" s="23" t="s">
        <v>54</v>
      </c>
      <c r="AP924" s="23" t="s">
        <v>54</v>
      </c>
      <c r="AQ924" s="23" t="s">
        <v>54</v>
      </c>
      <c r="AR924" s="37">
        <v>0</v>
      </c>
      <c r="AS924" s="37">
        <v>0</v>
      </c>
      <c r="AT924" s="37">
        <v>9</v>
      </c>
      <c r="AU924" s="33" t="str">
        <f t="shared" si="17"/>
        <v>库存为9</v>
      </c>
      <c r="AV924" s="38" t="str">
        <f>IFERROR(时间!$B$4+AU924,"上周无销量")</f>
        <v>上周无销量</v>
      </c>
    </row>
    <row r="925" spans="1:48">
      <c r="A925" s="21" t="s">
        <v>2025</v>
      </c>
      <c r="B925" t="s">
        <v>2026</v>
      </c>
      <c r="C925" t="s">
        <v>2020</v>
      </c>
      <c r="D925" s="33">
        <v>0</v>
      </c>
      <c r="E925" s="33">
        <v>0</v>
      </c>
      <c r="F925" s="33">
        <v>0</v>
      </c>
      <c r="G925" s="33">
        <v>0</v>
      </c>
      <c r="H925" s="34">
        <v>0</v>
      </c>
      <c r="I925">
        <v>14</v>
      </c>
      <c r="J925" s="35">
        <v>0</v>
      </c>
      <c r="K925" s="35">
        <v>0</v>
      </c>
      <c r="L925" s="35">
        <v>0</v>
      </c>
      <c r="M925">
        <v>14</v>
      </c>
      <c r="N925">
        <v>0</v>
      </c>
      <c r="O925">
        <v>9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s">
        <v>54</v>
      </c>
      <c r="AO925" s="23" t="s">
        <v>54</v>
      </c>
      <c r="AP925" s="23" t="s">
        <v>54</v>
      </c>
      <c r="AQ925" s="23" t="s">
        <v>54</v>
      </c>
      <c r="AR925" s="37">
        <v>0</v>
      </c>
      <c r="AS925" s="37">
        <v>0</v>
      </c>
      <c r="AT925" s="37">
        <v>14</v>
      </c>
      <c r="AU925" s="33" t="str">
        <f t="shared" si="17"/>
        <v>库存为14</v>
      </c>
      <c r="AV925" s="38" t="str">
        <f>IFERROR(时间!$B$4+AU925,"上周无销量")</f>
        <v>上周无销量</v>
      </c>
    </row>
    <row r="926" spans="1:48">
      <c r="A926" s="21" t="s">
        <v>2027</v>
      </c>
      <c r="B926" t="s">
        <v>2028</v>
      </c>
      <c r="C926" t="s">
        <v>2029</v>
      </c>
      <c r="D926" s="33">
        <v>0</v>
      </c>
      <c r="E926" s="33">
        <v>0</v>
      </c>
      <c r="F926" s="33">
        <v>0</v>
      </c>
      <c r="G926" s="33">
        <v>0</v>
      </c>
      <c r="H926" s="34">
        <v>0</v>
      </c>
      <c r="I926">
        <v>0</v>
      </c>
      <c r="J926" s="35">
        <v>0</v>
      </c>
      <c r="K926" s="35">
        <v>0</v>
      </c>
      <c r="L926" s="35">
        <v>0</v>
      </c>
      <c r="M926">
        <v>0</v>
      </c>
      <c r="N926">
        <v>1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s">
        <v>54</v>
      </c>
      <c r="AO926" s="23" t="s">
        <v>54</v>
      </c>
      <c r="AP926" s="23" t="s">
        <v>54</v>
      </c>
      <c r="AQ926" s="23" t="s">
        <v>54</v>
      </c>
      <c r="AR926" s="37">
        <v>0</v>
      </c>
      <c r="AS926" s="37">
        <v>0</v>
      </c>
      <c r="AT926" s="37">
        <v>0</v>
      </c>
      <c r="AU926" s="33" t="str">
        <f t="shared" si="17"/>
        <v>库存为0</v>
      </c>
      <c r="AV926" s="38" t="str">
        <f>IFERROR(时间!$B$4+AU926,"上周无销量")</f>
        <v>上周无销量</v>
      </c>
    </row>
    <row r="927" spans="1:48">
      <c r="A927" s="21" t="s">
        <v>2030</v>
      </c>
      <c r="B927" t="s">
        <v>2031</v>
      </c>
      <c r="C927" t="s">
        <v>2032</v>
      </c>
      <c r="D927" s="33">
        <v>0</v>
      </c>
      <c r="E927" s="33">
        <v>0</v>
      </c>
      <c r="F927" s="33">
        <v>0</v>
      </c>
      <c r="G927" s="33">
        <v>0</v>
      </c>
      <c r="H927" s="34">
        <v>0</v>
      </c>
      <c r="I927">
        <v>0</v>
      </c>
      <c r="J927" s="35">
        <v>0</v>
      </c>
      <c r="K927" s="35">
        <v>0</v>
      </c>
      <c r="L927" s="35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s">
        <v>54</v>
      </c>
      <c r="AO927" s="23" t="s">
        <v>54</v>
      </c>
      <c r="AP927" s="23" t="s">
        <v>54</v>
      </c>
      <c r="AQ927" s="23" t="s">
        <v>54</v>
      </c>
      <c r="AR927" s="37">
        <v>0</v>
      </c>
      <c r="AS927" s="37">
        <v>0</v>
      </c>
      <c r="AT927" s="37">
        <v>0</v>
      </c>
      <c r="AU927" s="33" t="str">
        <f t="shared" si="17"/>
        <v>库存为0</v>
      </c>
      <c r="AV927" s="38" t="str">
        <f>IFERROR(时间!$B$4+AU927,"上周无销量")</f>
        <v>上周无销量</v>
      </c>
    </row>
    <row r="928" spans="1:48">
      <c r="A928" s="21" t="s">
        <v>2033</v>
      </c>
      <c r="B928" t="s">
        <v>2034</v>
      </c>
      <c r="C928" t="s">
        <v>2032</v>
      </c>
      <c r="D928" s="33">
        <v>0</v>
      </c>
      <c r="E928" s="33">
        <v>0</v>
      </c>
      <c r="F928" s="33">
        <v>0</v>
      </c>
      <c r="G928" s="33">
        <v>0</v>
      </c>
      <c r="H928" s="34">
        <v>0</v>
      </c>
      <c r="I928">
        <v>0</v>
      </c>
      <c r="J928" s="35">
        <v>0</v>
      </c>
      <c r="K928" s="35">
        <v>0</v>
      </c>
      <c r="L928" s="35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s">
        <v>54</v>
      </c>
      <c r="AO928" s="23" t="s">
        <v>54</v>
      </c>
      <c r="AP928" s="23" t="s">
        <v>54</v>
      </c>
      <c r="AQ928" s="23" t="s">
        <v>54</v>
      </c>
      <c r="AR928" s="37">
        <v>0</v>
      </c>
      <c r="AS928" s="37">
        <v>0</v>
      </c>
      <c r="AT928" s="37">
        <v>0</v>
      </c>
      <c r="AU928" s="33" t="str">
        <f t="shared" si="17"/>
        <v>库存为0</v>
      </c>
      <c r="AV928" s="38" t="str">
        <f>IFERROR(时间!$B$4+AU928,"上周无销量")</f>
        <v>上周无销量</v>
      </c>
    </row>
    <row r="929" spans="1:48">
      <c r="A929" s="21" t="s">
        <v>2035</v>
      </c>
      <c r="B929" t="s">
        <v>2036</v>
      </c>
      <c r="C929" t="s">
        <v>2037</v>
      </c>
      <c r="D929" s="33">
        <v>0</v>
      </c>
      <c r="E929" s="33">
        <v>0</v>
      </c>
      <c r="F929" s="33">
        <v>0</v>
      </c>
      <c r="G929" s="33">
        <v>0</v>
      </c>
      <c r="H929" s="34">
        <v>0</v>
      </c>
      <c r="I929">
        <v>1</v>
      </c>
      <c r="J929" s="35">
        <v>0</v>
      </c>
      <c r="K929" s="35">
        <v>0</v>
      </c>
      <c r="L929" s="35">
        <v>0</v>
      </c>
      <c r="M929">
        <v>1</v>
      </c>
      <c r="N929">
        <v>1</v>
      </c>
      <c r="O929">
        <v>1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2</v>
      </c>
      <c r="AK929">
        <v>2</v>
      </c>
      <c r="AL929">
        <v>2</v>
      </c>
      <c r="AM929">
        <v>1</v>
      </c>
      <c r="AN929" s="23">
        <v>0</v>
      </c>
      <c r="AO929" s="23">
        <v>0</v>
      </c>
      <c r="AP929" s="23">
        <v>0</v>
      </c>
      <c r="AQ929" s="23">
        <v>0</v>
      </c>
      <c r="AR929" s="37">
        <v>0</v>
      </c>
      <c r="AS929" s="37">
        <v>0</v>
      </c>
      <c r="AT929" s="37">
        <v>1</v>
      </c>
      <c r="AU929" s="33" t="str">
        <f t="shared" si="17"/>
        <v>库存为1</v>
      </c>
      <c r="AV929" s="38" t="str">
        <f>IFERROR(时间!$B$4+AU929,"上周无销量")</f>
        <v>上周无销量</v>
      </c>
    </row>
    <row r="930" spans="1:48">
      <c r="A930" s="21" t="s">
        <v>2038</v>
      </c>
      <c r="B930" t="s">
        <v>2039</v>
      </c>
      <c r="C930" t="s">
        <v>2037</v>
      </c>
      <c r="D930" s="33">
        <v>0</v>
      </c>
      <c r="E930" s="33">
        <v>0</v>
      </c>
      <c r="F930" s="33">
        <v>0</v>
      </c>
      <c r="G930" s="33">
        <v>0</v>
      </c>
      <c r="H930" s="34">
        <v>0</v>
      </c>
      <c r="I930">
        <v>1</v>
      </c>
      <c r="J930" s="35">
        <v>0</v>
      </c>
      <c r="K930" s="35">
        <v>0</v>
      </c>
      <c r="L930" s="35">
        <v>0</v>
      </c>
      <c r="M930">
        <v>1</v>
      </c>
      <c r="N930">
        <v>0</v>
      </c>
      <c r="O930">
        <v>1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5</v>
      </c>
      <c r="AK930">
        <v>2</v>
      </c>
      <c r="AL930">
        <v>2</v>
      </c>
      <c r="AM930">
        <v>0</v>
      </c>
      <c r="AN930" s="23">
        <v>0</v>
      </c>
      <c r="AO930" s="23">
        <v>0</v>
      </c>
      <c r="AP930" s="23">
        <v>0</v>
      </c>
      <c r="AQ930" s="23" t="s">
        <v>54</v>
      </c>
      <c r="AR930" s="37">
        <v>0</v>
      </c>
      <c r="AS930" s="37">
        <v>0</v>
      </c>
      <c r="AT930" s="37">
        <v>1</v>
      </c>
      <c r="AU930" s="33" t="str">
        <f t="shared" si="17"/>
        <v>库存为1</v>
      </c>
      <c r="AV930" s="38" t="str">
        <f>IFERROR(时间!$B$4+AU930,"上周无销量")</f>
        <v>上周无销量</v>
      </c>
    </row>
    <row r="931" spans="1:48">
      <c r="A931" s="21" t="s">
        <v>2040</v>
      </c>
      <c r="B931" t="s">
        <v>2041</v>
      </c>
      <c r="C931" t="s">
        <v>2037</v>
      </c>
      <c r="D931" s="33">
        <v>0</v>
      </c>
      <c r="E931" s="33">
        <v>0</v>
      </c>
      <c r="F931" s="33">
        <v>0</v>
      </c>
      <c r="G931" s="33">
        <v>0</v>
      </c>
      <c r="H931" s="34">
        <v>0</v>
      </c>
      <c r="I931">
        <v>0</v>
      </c>
      <c r="J931" s="35">
        <v>0</v>
      </c>
      <c r="K931" s="35">
        <v>0</v>
      </c>
      <c r="L931" s="35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s">
        <v>54</v>
      </c>
      <c r="AO931" s="23" t="s">
        <v>54</v>
      </c>
      <c r="AP931" s="23" t="s">
        <v>54</v>
      </c>
      <c r="AQ931" s="23" t="s">
        <v>54</v>
      </c>
      <c r="AR931" s="37">
        <v>0</v>
      </c>
      <c r="AS931" s="37">
        <v>0</v>
      </c>
      <c r="AT931" s="37">
        <v>0</v>
      </c>
      <c r="AU931" s="33" t="str">
        <f t="shared" si="17"/>
        <v>库存为0</v>
      </c>
      <c r="AV931" s="38" t="str">
        <f>IFERROR(时间!$B$4+AU931,"上周无销量")</f>
        <v>上周无销量</v>
      </c>
    </row>
    <row r="932" spans="1:48">
      <c r="A932" s="21" t="s">
        <v>2042</v>
      </c>
      <c r="B932" t="s">
        <v>2043</v>
      </c>
      <c r="C932" t="s">
        <v>2044</v>
      </c>
      <c r="D932" s="33">
        <v>0</v>
      </c>
      <c r="E932" s="33">
        <v>0</v>
      </c>
      <c r="F932" s="33">
        <v>0</v>
      </c>
      <c r="G932" s="33">
        <v>0</v>
      </c>
      <c r="H932" s="34">
        <v>0</v>
      </c>
      <c r="I932">
        <v>0</v>
      </c>
      <c r="J932" s="35">
        <v>0</v>
      </c>
      <c r="K932" s="35">
        <v>0</v>
      </c>
      <c r="L932" s="35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s">
        <v>54</v>
      </c>
      <c r="AO932" s="23" t="s">
        <v>54</v>
      </c>
      <c r="AP932" s="23" t="s">
        <v>54</v>
      </c>
      <c r="AQ932" s="23" t="s">
        <v>54</v>
      </c>
      <c r="AR932" s="37">
        <v>0</v>
      </c>
      <c r="AS932" s="37">
        <v>0</v>
      </c>
      <c r="AT932" s="37">
        <v>0</v>
      </c>
      <c r="AU932" s="33" t="str">
        <f t="shared" si="17"/>
        <v>库存为0</v>
      </c>
      <c r="AV932" s="38" t="str">
        <f>IFERROR(时间!$B$4+AU932,"上周无销量")</f>
        <v>上周无销量</v>
      </c>
    </row>
    <row r="933" spans="1:48">
      <c r="A933" s="21" t="s">
        <v>2045</v>
      </c>
      <c r="B933" t="s">
        <v>2046</v>
      </c>
      <c r="C933" t="s">
        <v>2044</v>
      </c>
      <c r="D933" s="33">
        <v>0</v>
      </c>
      <c r="E933" s="33">
        <v>0</v>
      </c>
      <c r="F933" s="33">
        <v>0</v>
      </c>
      <c r="G933" s="33">
        <v>0</v>
      </c>
      <c r="H933" s="34">
        <v>0</v>
      </c>
      <c r="I933">
        <v>8</v>
      </c>
      <c r="J933" s="35">
        <v>0</v>
      </c>
      <c r="K933" s="35">
        <v>0</v>
      </c>
      <c r="L933" s="35">
        <v>0</v>
      </c>
      <c r="M933">
        <v>8</v>
      </c>
      <c r="N933">
        <v>0</v>
      </c>
      <c r="O933">
        <v>7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6</v>
      </c>
      <c r="AK933">
        <v>2</v>
      </c>
      <c r="AL933">
        <v>2</v>
      </c>
      <c r="AM933">
        <v>3</v>
      </c>
      <c r="AN933" s="23">
        <v>0</v>
      </c>
      <c r="AO933" s="23">
        <v>0</v>
      </c>
      <c r="AP933" s="23">
        <v>0</v>
      </c>
      <c r="AQ933" s="23">
        <v>0</v>
      </c>
      <c r="AR933" s="37">
        <v>0</v>
      </c>
      <c r="AS933" s="37">
        <v>0</v>
      </c>
      <c r="AT933" s="37">
        <v>8</v>
      </c>
      <c r="AU933" s="33" t="str">
        <f t="shared" si="17"/>
        <v>库存为8</v>
      </c>
      <c r="AV933" s="38" t="str">
        <f>IFERROR(时间!$B$4+AU933,"上周无销量")</f>
        <v>上周无销量</v>
      </c>
    </row>
    <row r="934" spans="1:48">
      <c r="A934" s="21" t="s">
        <v>2047</v>
      </c>
      <c r="B934" t="s">
        <v>2048</v>
      </c>
      <c r="C934" t="s">
        <v>2049</v>
      </c>
      <c r="D934" s="33">
        <v>0</v>
      </c>
      <c r="E934" s="33">
        <v>0</v>
      </c>
      <c r="F934" s="33">
        <v>0</v>
      </c>
      <c r="G934" s="33">
        <v>0</v>
      </c>
      <c r="H934" s="34">
        <v>0</v>
      </c>
      <c r="I934">
        <v>3</v>
      </c>
      <c r="J934" s="35">
        <v>0</v>
      </c>
      <c r="K934" s="35">
        <v>0</v>
      </c>
      <c r="L934" s="35">
        <v>0</v>
      </c>
      <c r="M934">
        <v>3</v>
      </c>
      <c r="N934">
        <v>0</v>
      </c>
      <c r="O934">
        <v>3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3</v>
      </c>
      <c r="AK934">
        <v>1</v>
      </c>
      <c r="AL934">
        <v>1</v>
      </c>
      <c r="AM934">
        <v>0</v>
      </c>
      <c r="AN934" s="23">
        <v>0</v>
      </c>
      <c r="AO934" s="23">
        <v>0</v>
      </c>
      <c r="AP934" s="23">
        <v>0</v>
      </c>
      <c r="AQ934" s="23" t="s">
        <v>54</v>
      </c>
      <c r="AR934" s="37">
        <v>0</v>
      </c>
      <c r="AS934" s="37">
        <v>0</v>
      </c>
      <c r="AT934" s="37">
        <v>3</v>
      </c>
      <c r="AU934" s="33" t="str">
        <f t="shared" si="17"/>
        <v>库存为3</v>
      </c>
      <c r="AV934" s="38" t="str">
        <f>IFERROR(时间!$B$4+AU934,"上周无销量")</f>
        <v>上周无销量</v>
      </c>
    </row>
    <row r="935" spans="1:48">
      <c r="A935" s="21" t="s">
        <v>2050</v>
      </c>
      <c r="B935" t="s">
        <v>2051</v>
      </c>
      <c r="C935" t="s">
        <v>2049</v>
      </c>
      <c r="D935" s="33">
        <v>0</v>
      </c>
      <c r="E935" s="33">
        <v>0</v>
      </c>
      <c r="F935" s="33">
        <v>0</v>
      </c>
      <c r="G935" s="33">
        <v>0</v>
      </c>
      <c r="H935" s="34">
        <v>0</v>
      </c>
      <c r="I935">
        <v>3</v>
      </c>
      <c r="J935" s="35">
        <v>0</v>
      </c>
      <c r="K935" s="35">
        <v>0</v>
      </c>
      <c r="L935" s="35">
        <v>0</v>
      </c>
      <c r="M935">
        <v>3</v>
      </c>
      <c r="N935">
        <v>0</v>
      </c>
      <c r="O935">
        <v>3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2</v>
      </c>
      <c r="AK935">
        <v>0</v>
      </c>
      <c r="AL935">
        <v>0</v>
      </c>
      <c r="AM935">
        <v>0</v>
      </c>
      <c r="AN935" s="23">
        <v>0</v>
      </c>
      <c r="AO935" s="23" t="s">
        <v>54</v>
      </c>
      <c r="AP935" s="23" t="s">
        <v>54</v>
      </c>
      <c r="AQ935" s="23" t="s">
        <v>54</v>
      </c>
      <c r="AR935" s="37">
        <v>0</v>
      </c>
      <c r="AS935" s="37">
        <v>0</v>
      </c>
      <c r="AT935" s="37">
        <v>3</v>
      </c>
      <c r="AU935" s="33" t="str">
        <f t="shared" si="17"/>
        <v>库存为3</v>
      </c>
      <c r="AV935" s="38" t="str">
        <f>IFERROR(时间!$B$4+AU935,"上周无销量")</f>
        <v>上周无销量</v>
      </c>
    </row>
    <row r="936" spans="1:48">
      <c r="A936" s="21" t="s">
        <v>2052</v>
      </c>
      <c r="B936" t="s">
        <v>2053</v>
      </c>
      <c r="C936" t="s">
        <v>2049</v>
      </c>
      <c r="D936" s="33">
        <v>0</v>
      </c>
      <c r="E936" s="33">
        <v>0</v>
      </c>
      <c r="F936" s="33">
        <v>0</v>
      </c>
      <c r="G936" s="33">
        <v>0</v>
      </c>
      <c r="H936" s="34">
        <v>0</v>
      </c>
      <c r="I936">
        <v>1</v>
      </c>
      <c r="J936" s="35">
        <v>0</v>
      </c>
      <c r="K936" s="35">
        <v>0</v>
      </c>
      <c r="L936" s="35">
        <v>0</v>
      </c>
      <c r="M936">
        <v>1</v>
      </c>
      <c r="N936">
        <v>0</v>
      </c>
      <c r="O936">
        <v>1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2</v>
      </c>
      <c r="AK936">
        <v>1</v>
      </c>
      <c r="AL936">
        <v>1</v>
      </c>
      <c r="AM936">
        <v>1</v>
      </c>
      <c r="AN936" s="23">
        <v>0</v>
      </c>
      <c r="AO936" s="23">
        <v>0</v>
      </c>
      <c r="AP936" s="23">
        <v>0</v>
      </c>
      <c r="AQ936" s="23">
        <v>0</v>
      </c>
      <c r="AR936" s="37">
        <v>0</v>
      </c>
      <c r="AS936" s="37">
        <v>0</v>
      </c>
      <c r="AT936" s="37">
        <v>1</v>
      </c>
      <c r="AU936" s="33" t="str">
        <f t="shared" si="17"/>
        <v>库存为1</v>
      </c>
      <c r="AV936" s="38" t="str">
        <f>IFERROR(时间!$B$4+AU936,"上周无销量")</f>
        <v>上周无销量</v>
      </c>
    </row>
    <row r="937" spans="1:48">
      <c r="A937" s="21" t="s">
        <v>2054</v>
      </c>
      <c r="B937" t="s">
        <v>2055</v>
      </c>
      <c r="C937" t="s">
        <v>2049</v>
      </c>
      <c r="D937" s="33">
        <v>0</v>
      </c>
      <c r="E937" s="33">
        <v>0</v>
      </c>
      <c r="F937" s="33">
        <v>0</v>
      </c>
      <c r="G937" s="33">
        <v>0</v>
      </c>
      <c r="H937" s="34">
        <v>0</v>
      </c>
      <c r="I937">
        <v>2</v>
      </c>
      <c r="J937" s="35">
        <v>0</v>
      </c>
      <c r="K937" s="35">
        <v>0</v>
      </c>
      <c r="L937" s="35">
        <v>0</v>
      </c>
      <c r="M937">
        <v>2</v>
      </c>
      <c r="N937">
        <v>0</v>
      </c>
      <c r="O937">
        <v>2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3</v>
      </c>
      <c r="AK937">
        <v>0</v>
      </c>
      <c r="AL937">
        <v>0</v>
      </c>
      <c r="AM937">
        <v>1</v>
      </c>
      <c r="AN937" s="23">
        <v>0</v>
      </c>
      <c r="AO937" s="23" t="s">
        <v>54</v>
      </c>
      <c r="AP937" s="23" t="s">
        <v>54</v>
      </c>
      <c r="AQ937" s="23">
        <v>0</v>
      </c>
      <c r="AR937" s="37">
        <v>0</v>
      </c>
      <c r="AS937" s="37">
        <v>0</v>
      </c>
      <c r="AT937" s="37">
        <v>2</v>
      </c>
      <c r="AU937" s="33" t="str">
        <f t="shared" si="17"/>
        <v>库存为2</v>
      </c>
      <c r="AV937" s="38" t="str">
        <f>IFERROR(时间!$B$4+AU937,"上周无销量")</f>
        <v>上周无销量</v>
      </c>
    </row>
    <row r="938" spans="1:48">
      <c r="A938" s="21" t="s">
        <v>2056</v>
      </c>
      <c r="B938" t="s">
        <v>2057</v>
      </c>
      <c r="C938" t="s">
        <v>2049</v>
      </c>
      <c r="D938" s="33">
        <v>0</v>
      </c>
      <c r="E938" s="33">
        <v>0</v>
      </c>
      <c r="F938" s="33">
        <v>0</v>
      </c>
      <c r="G938" s="33">
        <v>0</v>
      </c>
      <c r="H938" s="34">
        <v>0</v>
      </c>
      <c r="I938">
        <v>3</v>
      </c>
      <c r="J938" s="35">
        <v>0</v>
      </c>
      <c r="K938" s="35">
        <v>0</v>
      </c>
      <c r="L938" s="35">
        <v>0</v>
      </c>
      <c r="M938">
        <v>3</v>
      </c>
      <c r="N938">
        <v>0</v>
      </c>
      <c r="O938">
        <v>3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1</v>
      </c>
      <c r="AK938">
        <v>0</v>
      </c>
      <c r="AL938">
        <v>0</v>
      </c>
      <c r="AM938">
        <v>1</v>
      </c>
      <c r="AN938" s="23">
        <v>0</v>
      </c>
      <c r="AO938" s="23" t="s">
        <v>54</v>
      </c>
      <c r="AP938" s="23" t="s">
        <v>54</v>
      </c>
      <c r="AQ938" s="23">
        <v>0</v>
      </c>
      <c r="AR938" s="37">
        <v>0</v>
      </c>
      <c r="AS938" s="37">
        <v>0</v>
      </c>
      <c r="AT938" s="37">
        <v>3</v>
      </c>
      <c r="AU938" s="33" t="str">
        <f t="shared" si="17"/>
        <v>库存为3</v>
      </c>
      <c r="AV938" s="38" t="str">
        <f>IFERROR(时间!$B$4+AU938,"上周无销量")</f>
        <v>上周无销量</v>
      </c>
    </row>
    <row r="939" spans="1:48">
      <c r="A939" s="21" t="s">
        <v>2058</v>
      </c>
      <c r="B939" t="s">
        <v>2059</v>
      </c>
      <c r="C939" t="s">
        <v>2049</v>
      </c>
      <c r="D939" s="33">
        <v>0</v>
      </c>
      <c r="E939" s="33">
        <v>0</v>
      </c>
      <c r="F939" s="33">
        <v>0</v>
      </c>
      <c r="G939" s="33">
        <v>0</v>
      </c>
      <c r="H939" s="34">
        <v>0</v>
      </c>
      <c r="I939">
        <v>5</v>
      </c>
      <c r="J939" s="35">
        <v>0</v>
      </c>
      <c r="K939" s="35">
        <v>0</v>
      </c>
      <c r="L939" s="35">
        <v>0</v>
      </c>
      <c r="M939">
        <v>5</v>
      </c>
      <c r="N939">
        <v>0</v>
      </c>
      <c r="O939">
        <v>5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3</v>
      </c>
      <c r="AK939">
        <v>1</v>
      </c>
      <c r="AL939">
        <v>1</v>
      </c>
      <c r="AM939">
        <v>0</v>
      </c>
      <c r="AN939" s="23">
        <v>0</v>
      </c>
      <c r="AO939" s="23">
        <v>0</v>
      </c>
      <c r="AP939" s="23">
        <v>0</v>
      </c>
      <c r="AQ939" s="23" t="s">
        <v>54</v>
      </c>
      <c r="AR939" s="37">
        <v>0</v>
      </c>
      <c r="AS939" s="37">
        <v>0</v>
      </c>
      <c r="AT939" s="37">
        <v>5</v>
      </c>
      <c r="AU939" s="33" t="str">
        <f t="shared" si="17"/>
        <v>库存为5</v>
      </c>
      <c r="AV939" s="38" t="str">
        <f>IFERROR(时间!$B$4+AU939,"上周无销量")</f>
        <v>上周无销量</v>
      </c>
    </row>
    <row r="940" spans="1:48">
      <c r="A940" s="21" t="s">
        <v>2060</v>
      </c>
      <c r="B940" t="s">
        <v>2061</v>
      </c>
      <c r="C940" t="s">
        <v>2049</v>
      </c>
      <c r="D940" s="33">
        <v>0</v>
      </c>
      <c r="E940" s="33">
        <v>0</v>
      </c>
      <c r="F940" s="33">
        <v>0</v>
      </c>
      <c r="G940" s="33">
        <v>0</v>
      </c>
      <c r="H940" s="34">
        <v>0</v>
      </c>
      <c r="I940">
        <v>2</v>
      </c>
      <c r="J940" s="35">
        <v>0</v>
      </c>
      <c r="K940" s="35">
        <v>0</v>
      </c>
      <c r="L940" s="35">
        <v>0</v>
      </c>
      <c r="M940">
        <v>2</v>
      </c>
      <c r="N940">
        <v>0</v>
      </c>
      <c r="O940">
        <v>2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4</v>
      </c>
      <c r="AK940">
        <v>2</v>
      </c>
      <c r="AL940">
        <v>2</v>
      </c>
      <c r="AM940">
        <v>0</v>
      </c>
      <c r="AN940" s="23">
        <v>0</v>
      </c>
      <c r="AO940" s="23">
        <v>0</v>
      </c>
      <c r="AP940" s="23">
        <v>0</v>
      </c>
      <c r="AQ940" s="23" t="s">
        <v>54</v>
      </c>
      <c r="AR940" s="37">
        <v>0</v>
      </c>
      <c r="AS940" s="37">
        <v>0</v>
      </c>
      <c r="AT940" s="37">
        <v>2</v>
      </c>
      <c r="AU940" s="33" t="str">
        <f t="shared" si="17"/>
        <v>库存为2</v>
      </c>
      <c r="AV940" s="38" t="str">
        <f>IFERROR(时间!$B$4+AU940,"上周无销量")</f>
        <v>上周无销量</v>
      </c>
    </row>
    <row r="941" spans="1:48">
      <c r="A941" s="21" t="s">
        <v>2062</v>
      </c>
      <c r="B941" t="s">
        <v>2063</v>
      </c>
      <c r="C941" t="s">
        <v>2049</v>
      </c>
      <c r="D941" s="33">
        <v>0</v>
      </c>
      <c r="E941" s="33">
        <v>0</v>
      </c>
      <c r="F941" s="33">
        <v>0</v>
      </c>
      <c r="G941" s="33">
        <v>0</v>
      </c>
      <c r="H941" s="34">
        <v>0</v>
      </c>
      <c r="I941">
        <v>1</v>
      </c>
      <c r="J941" s="35">
        <v>0</v>
      </c>
      <c r="K941" s="35">
        <v>0</v>
      </c>
      <c r="L941" s="35">
        <v>0</v>
      </c>
      <c r="M941">
        <v>1</v>
      </c>
      <c r="N941">
        <v>0</v>
      </c>
      <c r="O941">
        <v>1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2</v>
      </c>
      <c r="AK941">
        <v>1</v>
      </c>
      <c r="AL941">
        <v>1</v>
      </c>
      <c r="AM941">
        <v>1</v>
      </c>
      <c r="AN941" s="23">
        <v>0</v>
      </c>
      <c r="AO941" s="23">
        <v>0</v>
      </c>
      <c r="AP941" s="23">
        <v>0</v>
      </c>
      <c r="AQ941" s="23">
        <v>0</v>
      </c>
      <c r="AR941" s="37">
        <v>0</v>
      </c>
      <c r="AS941" s="37">
        <v>0</v>
      </c>
      <c r="AT941" s="37">
        <v>1</v>
      </c>
      <c r="AU941" s="33" t="str">
        <f t="shared" si="17"/>
        <v>库存为1</v>
      </c>
      <c r="AV941" s="38" t="str">
        <f>IFERROR(时间!$B$4+AU941,"上周无销量")</f>
        <v>上周无销量</v>
      </c>
    </row>
    <row r="942" spans="1:48">
      <c r="A942" s="21" t="s">
        <v>2064</v>
      </c>
      <c r="B942" t="s">
        <v>2065</v>
      </c>
      <c r="C942" t="s">
        <v>2049</v>
      </c>
      <c r="D942" s="33">
        <v>0</v>
      </c>
      <c r="E942" s="33">
        <v>0</v>
      </c>
      <c r="F942" s="33">
        <v>0</v>
      </c>
      <c r="G942" s="33">
        <v>0</v>
      </c>
      <c r="H942" s="34">
        <v>0</v>
      </c>
      <c r="I942">
        <v>4</v>
      </c>
      <c r="J942" s="35">
        <v>0</v>
      </c>
      <c r="K942" s="35">
        <v>0</v>
      </c>
      <c r="L942" s="35">
        <v>0</v>
      </c>
      <c r="M942">
        <v>4</v>
      </c>
      <c r="N942">
        <v>0</v>
      </c>
      <c r="O942">
        <v>4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2</v>
      </c>
      <c r="AK942">
        <v>0</v>
      </c>
      <c r="AL942">
        <v>0</v>
      </c>
      <c r="AM942">
        <v>0</v>
      </c>
      <c r="AN942" s="23">
        <v>0</v>
      </c>
      <c r="AO942" s="23" t="s">
        <v>54</v>
      </c>
      <c r="AP942" s="23" t="s">
        <v>54</v>
      </c>
      <c r="AQ942" s="23" t="s">
        <v>54</v>
      </c>
      <c r="AR942" s="37">
        <v>0</v>
      </c>
      <c r="AS942" s="37">
        <v>0</v>
      </c>
      <c r="AT942" s="37">
        <v>4</v>
      </c>
      <c r="AU942" s="33" t="str">
        <f t="shared" si="17"/>
        <v>库存为4</v>
      </c>
      <c r="AV942" s="38" t="str">
        <f>IFERROR(时间!$B$4+AU942,"上周无销量")</f>
        <v>上周无销量</v>
      </c>
    </row>
    <row r="943" spans="1:48">
      <c r="A943" s="21" t="s">
        <v>2066</v>
      </c>
      <c r="B943" t="s">
        <v>2067</v>
      </c>
      <c r="C943" t="s">
        <v>2049</v>
      </c>
      <c r="D943" s="33">
        <v>0</v>
      </c>
      <c r="E943" s="33">
        <v>0</v>
      </c>
      <c r="F943" s="33">
        <v>0</v>
      </c>
      <c r="G943" s="33">
        <v>0</v>
      </c>
      <c r="H943" s="34">
        <v>0</v>
      </c>
      <c r="I943">
        <v>1</v>
      </c>
      <c r="J943" s="35">
        <v>0</v>
      </c>
      <c r="K943" s="35">
        <v>0</v>
      </c>
      <c r="L943" s="35">
        <v>0</v>
      </c>
      <c r="M943">
        <v>1</v>
      </c>
      <c r="N943">
        <v>0</v>
      </c>
      <c r="O943">
        <v>1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1</v>
      </c>
      <c r="AK943">
        <v>1</v>
      </c>
      <c r="AL943">
        <v>1</v>
      </c>
      <c r="AM943">
        <v>0</v>
      </c>
      <c r="AN943" s="23">
        <v>0</v>
      </c>
      <c r="AO943" s="23">
        <v>0</v>
      </c>
      <c r="AP943" s="23">
        <v>0</v>
      </c>
      <c r="AQ943" s="23" t="s">
        <v>54</v>
      </c>
      <c r="AR943" s="37">
        <v>0</v>
      </c>
      <c r="AS943" s="37">
        <v>0</v>
      </c>
      <c r="AT943" s="37">
        <v>1</v>
      </c>
      <c r="AU943" s="33" t="str">
        <f t="shared" si="17"/>
        <v>库存为1</v>
      </c>
      <c r="AV943" s="38" t="str">
        <f>IFERROR(时间!$B$4+AU943,"上周无销量")</f>
        <v>上周无销量</v>
      </c>
    </row>
    <row r="944" spans="1:48">
      <c r="A944" s="21" t="s">
        <v>2068</v>
      </c>
      <c r="B944" t="s">
        <v>2069</v>
      </c>
      <c r="C944" t="s">
        <v>2049</v>
      </c>
      <c r="D944" s="33">
        <v>0</v>
      </c>
      <c r="E944" s="33">
        <v>0</v>
      </c>
      <c r="F944" s="33">
        <v>0</v>
      </c>
      <c r="G944" s="33">
        <v>0</v>
      </c>
      <c r="H944" s="34">
        <v>0</v>
      </c>
      <c r="I944">
        <v>5</v>
      </c>
      <c r="J944" s="35">
        <v>0</v>
      </c>
      <c r="K944" s="35">
        <v>0</v>
      </c>
      <c r="L944" s="35">
        <v>0</v>
      </c>
      <c r="M944">
        <v>5</v>
      </c>
      <c r="N944">
        <v>0</v>
      </c>
      <c r="O944">
        <v>5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3</v>
      </c>
      <c r="AK944">
        <v>1</v>
      </c>
      <c r="AL944">
        <v>1</v>
      </c>
      <c r="AM944">
        <v>1</v>
      </c>
      <c r="AN944" s="23">
        <v>0</v>
      </c>
      <c r="AO944" s="23">
        <v>0</v>
      </c>
      <c r="AP944" s="23">
        <v>0</v>
      </c>
      <c r="AQ944" s="23">
        <v>0</v>
      </c>
      <c r="AR944" s="37">
        <v>0</v>
      </c>
      <c r="AS944" s="37">
        <v>0</v>
      </c>
      <c r="AT944" s="37">
        <v>5</v>
      </c>
      <c r="AU944" s="33" t="str">
        <f t="shared" si="17"/>
        <v>库存为5</v>
      </c>
      <c r="AV944" s="38" t="str">
        <f>IFERROR(时间!$B$4+AU944,"上周无销量")</f>
        <v>上周无销量</v>
      </c>
    </row>
    <row r="945" spans="1:48">
      <c r="A945" s="21" t="s">
        <v>2070</v>
      </c>
      <c r="B945" t="s">
        <v>2071</v>
      </c>
      <c r="C945" t="s">
        <v>2049</v>
      </c>
      <c r="D945" s="33">
        <v>0</v>
      </c>
      <c r="E945" s="33">
        <v>0</v>
      </c>
      <c r="F945" s="33">
        <v>0</v>
      </c>
      <c r="G945" s="33">
        <v>0</v>
      </c>
      <c r="H945" s="34">
        <v>0</v>
      </c>
      <c r="I945">
        <v>1</v>
      </c>
      <c r="J945" s="35">
        <v>0</v>
      </c>
      <c r="K945" s="35">
        <v>0</v>
      </c>
      <c r="L945" s="35">
        <v>0</v>
      </c>
      <c r="M945">
        <v>1</v>
      </c>
      <c r="N945">
        <v>0</v>
      </c>
      <c r="O945">
        <v>1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2</v>
      </c>
      <c r="AK945">
        <v>1</v>
      </c>
      <c r="AL945">
        <v>1</v>
      </c>
      <c r="AM945">
        <v>0</v>
      </c>
      <c r="AN945" s="23">
        <v>0</v>
      </c>
      <c r="AO945" s="23">
        <v>0</v>
      </c>
      <c r="AP945" s="23">
        <v>0</v>
      </c>
      <c r="AQ945" s="23" t="s">
        <v>54</v>
      </c>
      <c r="AR945" s="37">
        <v>0</v>
      </c>
      <c r="AS945" s="37">
        <v>0</v>
      </c>
      <c r="AT945" s="37">
        <v>1</v>
      </c>
      <c r="AU945" s="33" t="str">
        <f t="shared" si="17"/>
        <v>库存为1</v>
      </c>
      <c r="AV945" s="38" t="str">
        <f>IFERROR(时间!$B$4+AU945,"上周无销量")</f>
        <v>上周无销量</v>
      </c>
    </row>
    <row r="946" spans="1:48">
      <c r="A946" s="21" t="s">
        <v>2072</v>
      </c>
      <c r="B946" t="s">
        <v>2073</v>
      </c>
      <c r="C946" t="s">
        <v>2049</v>
      </c>
      <c r="D946" s="33">
        <v>0</v>
      </c>
      <c r="E946" s="33">
        <v>1</v>
      </c>
      <c r="F946" s="33">
        <v>0</v>
      </c>
      <c r="G946" s="33">
        <v>0</v>
      </c>
      <c r="H946" s="34">
        <v>19.99</v>
      </c>
      <c r="I946">
        <v>5</v>
      </c>
      <c r="J946" s="35">
        <v>0</v>
      </c>
      <c r="K946" s="35">
        <v>0</v>
      </c>
      <c r="L946" s="35">
        <v>0</v>
      </c>
      <c r="M946">
        <v>5</v>
      </c>
      <c r="N946">
        <v>0</v>
      </c>
      <c r="O946">
        <v>4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4</v>
      </c>
      <c r="AK946">
        <v>1</v>
      </c>
      <c r="AL946">
        <v>1</v>
      </c>
      <c r="AM946">
        <v>1</v>
      </c>
      <c r="AN946" s="23">
        <v>0</v>
      </c>
      <c r="AO946" s="23">
        <v>1</v>
      </c>
      <c r="AP946" s="23">
        <v>0</v>
      </c>
      <c r="AQ946" s="23">
        <v>0</v>
      </c>
      <c r="AR946" s="37">
        <v>0</v>
      </c>
      <c r="AS946" s="37">
        <v>0</v>
      </c>
      <c r="AT946" s="37">
        <v>5</v>
      </c>
      <c r="AU946" s="33" t="str">
        <f t="shared" si="17"/>
        <v>库存为5</v>
      </c>
      <c r="AV946" s="38" t="str">
        <f>IFERROR(时间!$B$4+AU946,"上周无销量")</f>
        <v>上周无销量</v>
      </c>
    </row>
    <row r="947" spans="1:48">
      <c r="A947" s="21" t="s">
        <v>2074</v>
      </c>
      <c r="B947" t="s">
        <v>2075</v>
      </c>
      <c r="C947" t="s">
        <v>2049</v>
      </c>
      <c r="D947" s="33">
        <v>0</v>
      </c>
      <c r="E947" s="33">
        <v>0</v>
      </c>
      <c r="F947" s="33">
        <v>0</v>
      </c>
      <c r="G947" s="33">
        <v>0</v>
      </c>
      <c r="H947" s="34">
        <v>0</v>
      </c>
      <c r="I947">
        <v>5</v>
      </c>
      <c r="J947" s="35">
        <v>0</v>
      </c>
      <c r="K947" s="35">
        <v>0</v>
      </c>
      <c r="L947" s="35">
        <v>0</v>
      </c>
      <c r="M947">
        <v>5</v>
      </c>
      <c r="N947">
        <v>0</v>
      </c>
      <c r="O947">
        <v>5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1</v>
      </c>
      <c r="AK947">
        <v>0</v>
      </c>
      <c r="AL947">
        <v>0</v>
      </c>
      <c r="AM947">
        <v>0</v>
      </c>
      <c r="AN947" s="23">
        <v>0</v>
      </c>
      <c r="AO947" s="23" t="s">
        <v>54</v>
      </c>
      <c r="AP947" s="23" t="s">
        <v>54</v>
      </c>
      <c r="AQ947" s="23" t="s">
        <v>54</v>
      </c>
      <c r="AR947" s="37">
        <v>0</v>
      </c>
      <c r="AS947" s="37">
        <v>0</v>
      </c>
      <c r="AT947" s="37">
        <v>5</v>
      </c>
      <c r="AU947" s="33" t="str">
        <f t="shared" si="17"/>
        <v>库存为5</v>
      </c>
      <c r="AV947" s="38" t="str">
        <f>IFERROR(时间!$B$4+AU947,"上周无销量")</f>
        <v>上周无销量</v>
      </c>
    </row>
    <row r="948" spans="1:48">
      <c r="A948" s="21" t="s">
        <v>2076</v>
      </c>
      <c r="B948" t="s">
        <v>2077</v>
      </c>
      <c r="C948" t="s">
        <v>2049</v>
      </c>
      <c r="D948" s="33">
        <v>0</v>
      </c>
      <c r="E948" s="33">
        <v>0</v>
      </c>
      <c r="F948" s="33">
        <v>0</v>
      </c>
      <c r="G948" s="33">
        <v>0</v>
      </c>
      <c r="H948" s="34">
        <v>0</v>
      </c>
      <c r="I948">
        <v>3</v>
      </c>
      <c r="J948" s="35">
        <v>0</v>
      </c>
      <c r="K948" s="35">
        <v>0</v>
      </c>
      <c r="L948" s="35">
        <v>0</v>
      </c>
      <c r="M948">
        <v>3</v>
      </c>
      <c r="N948">
        <v>0</v>
      </c>
      <c r="O948">
        <v>3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1</v>
      </c>
      <c r="AL948">
        <v>1</v>
      </c>
      <c r="AM948">
        <v>0</v>
      </c>
      <c r="AN948" s="23" t="s">
        <v>54</v>
      </c>
      <c r="AO948" s="23">
        <v>0</v>
      </c>
      <c r="AP948" s="23">
        <v>0</v>
      </c>
      <c r="AQ948" s="23" t="s">
        <v>54</v>
      </c>
      <c r="AR948" s="37">
        <v>0</v>
      </c>
      <c r="AS948" s="37">
        <v>0</v>
      </c>
      <c r="AT948" s="37">
        <v>3</v>
      </c>
      <c r="AU948" s="33" t="str">
        <f t="shared" si="17"/>
        <v>库存为3</v>
      </c>
      <c r="AV948" s="38" t="str">
        <f>IFERROR(时间!$B$4+AU948,"上周无销量")</f>
        <v>上周无销量</v>
      </c>
    </row>
    <row r="949" spans="1:48">
      <c r="A949" s="21" t="s">
        <v>2078</v>
      </c>
      <c r="B949" t="s">
        <v>2079</v>
      </c>
      <c r="C949" t="s">
        <v>2049</v>
      </c>
      <c r="D949" s="33">
        <v>0</v>
      </c>
      <c r="E949" s="33">
        <v>0</v>
      </c>
      <c r="F949" s="33">
        <v>0</v>
      </c>
      <c r="G949" s="33">
        <v>0</v>
      </c>
      <c r="H949" s="34">
        <v>0</v>
      </c>
      <c r="I949">
        <v>2</v>
      </c>
      <c r="J949" s="35">
        <v>0</v>
      </c>
      <c r="K949" s="35">
        <v>0</v>
      </c>
      <c r="L949" s="35">
        <v>0</v>
      </c>
      <c r="M949">
        <v>2</v>
      </c>
      <c r="N949">
        <v>0</v>
      </c>
      <c r="O949">
        <v>2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2</v>
      </c>
      <c r="AK949">
        <v>0</v>
      </c>
      <c r="AL949">
        <v>0</v>
      </c>
      <c r="AM949">
        <v>0</v>
      </c>
      <c r="AN949" s="23">
        <v>0</v>
      </c>
      <c r="AO949" s="23" t="s">
        <v>54</v>
      </c>
      <c r="AP949" s="23" t="s">
        <v>54</v>
      </c>
      <c r="AQ949" s="23" t="s">
        <v>54</v>
      </c>
      <c r="AR949" s="37">
        <v>0</v>
      </c>
      <c r="AS949" s="37">
        <v>0</v>
      </c>
      <c r="AT949" s="37">
        <v>2</v>
      </c>
      <c r="AU949" s="33" t="str">
        <f t="shared" si="17"/>
        <v>库存为2</v>
      </c>
      <c r="AV949" s="38" t="str">
        <f>IFERROR(时间!$B$4+AU949,"上周无销量")</f>
        <v>上周无销量</v>
      </c>
    </row>
    <row r="950" spans="1:48">
      <c r="A950" s="21" t="s">
        <v>2080</v>
      </c>
      <c r="B950" t="s">
        <v>2081</v>
      </c>
      <c r="C950" t="s">
        <v>2082</v>
      </c>
      <c r="D950" s="33">
        <v>0</v>
      </c>
      <c r="E950" s="33">
        <v>0</v>
      </c>
      <c r="F950" s="33">
        <v>0</v>
      </c>
      <c r="G950" s="33">
        <v>0</v>
      </c>
      <c r="H950" s="34">
        <v>0</v>
      </c>
      <c r="I950">
        <v>0</v>
      </c>
      <c r="J950" s="35">
        <v>0</v>
      </c>
      <c r="K950" s="35">
        <v>0</v>
      </c>
      <c r="L950" s="35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s">
        <v>54</v>
      </c>
      <c r="AO950" s="23" t="s">
        <v>54</v>
      </c>
      <c r="AP950" s="23" t="s">
        <v>54</v>
      </c>
      <c r="AQ950" s="23" t="s">
        <v>54</v>
      </c>
      <c r="AR950" s="37">
        <v>0</v>
      </c>
      <c r="AS950" s="37">
        <v>0</v>
      </c>
      <c r="AT950" s="37">
        <v>0</v>
      </c>
      <c r="AU950" s="33" t="str">
        <f t="shared" si="17"/>
        <v>库存为0</v>
      </c>
      <c r="AV950" s="38" t="str">
        <f>IFERROR(时间!$B$4+AU950,"上周无销量")</f>
        <v>上周无销量</v>
      </c>
    </row>
    <row r="951" spans="1:48">
      <c r="A951" s="21" t="s">
        <v>2083</v>
      </c>
      <c r="B951" t="s">
        <v>2084</v>
      </c>
      <c r="C951" t="s">
        <v>2082</v>
      </c>
      <c r="D951" s="33">
        <v>0</v>
      </c>
      <c r="E951" s="33">
        <v>0</v>
      </c>
      <c r="F951" s="33">
        <v>0</v>
      </c>
      <c r="G951" s="33">
        <v>0</v>
      </c>
      <c r="H951" s="34">
        <v>0</v>
      </c>
      <c r="I951">
        <v>0</v>
      </c>
      <c r="J951" s="35">
        <v>0</v>
      </c>
      <c r="K951" s="35">
        <v>0</v>
      </c>
      <c r="L951" s="35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s">
        <v>54</v>
      </c>
      <c r="AO951" s="23" t="s">
        <v>54</v>
      </c>
      <c r="AP951" s="23" t="s">
        <v>54</v>
      </c>
      <c r="AQ951" s="23" t="s">
        <v>54</v>
      </c>
      <c r="AR951" s="37">
        <v>0</v>
      </c>
      <c r="AS951" s="37">
        <v>0</v>
      </c>
      <c r="AT951" s="37">
        <v>0</v>
      </c>
      <c r="AU951" s="33" t="str">
        <f t="shared" si="17"/>
        <v>库存为0</v>
      </c>
      <c r="AV951" s="38" t="str">
        <f>IFERROR(时间!$B$4+AU951,"上周无销量")</f>
        <v>上周无销量</v>
      </c>
    </row>
    <row r="952" spans="1:48">
      <c r="A952" s="21" t="s">
        <v>2085</v>
      </c>
      <c r="B952" t="s">
        <v>2086</v>
      </c>
      <c r="C952" t="s">
        <v>2087</v>
      </c>
      <c r="D952" s="33">
        <v>0</v>
      </c>
      <c r="E952" s="33">
        <v>0</v>
      </c>
      <c r="F952" s="33">
        <v>1</v>
      </c>
      <c r="G952" s="33">
        <v>0</v>
      </c>
      <c r="H952" s="34">
        <v>26.99</v>
      </c>
      <c r="I952">
        <v>1</v>
      </c>
      <c r="J952" s="35">
        <v>0</v>
      </c>
      <c r="K952" s="35">
        <v>0</v>
      </c>
      <c r="L952" s="35">
        <v>0</v>
      </c>
      <c r="M952">
        <v>1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4</v>
      </c>
      <c r="AK952">
        <v>1</v>
      </c>
      <c r="AL952">
        <v>1</v>
      </c>
      <c r="AM952">
        <v>1</v>
      </c>
      <c r="AN952" s="23">
        <v>0</v>
      </c>
      <c r="AO952" s="23">
        <v>0</v>
      </c>
      <c r="AP952" s="23">
        <v>1</v>
      </c>
      <c r="AQ952" s="23">
        <v>0</v>
      </c>
      <c r="AR952" s="37">
        <v>0</v>
      </c>
      <c r="AS952" s="37">
        <v>0</v>
      </c>
      <c r="AT952" s="37">
        <v>1</v>
      </c>
      <c r="AU952" s="33" t="str">
        <f t="shared" si="17"/>
        <v>库存为1</v>
      </c>
      <c r="AV952" s="38" t="str">
        <f>IFERROR(时间!$B$4+AU952,"上周无销量")</f>
        <v>上周无销量</v>
      </c>
    </row>
    <row r="953" spans="1:48">
      <c r="A953" s="21" t="s">
        <v>2088</v>
      </c>
      <c r="B953" t="s">
        <v>2089</v>
      </c>
      <c r="C953" t="s">
        <v>2087</v>
      </c>
      <c r="D953" s="33">
        <v>0</v>
      </c>
      <c r="E953" s="33">
        <v>0</v>
      </c>
      <c r="F953" s="33">
        <v>0</v>
      </c>
      <c r="G953" s="33">
        <v>1</v>
      </c>
      <c r="H953" s="34">
        <v>23.99</v>
      </c>
      <c r="I953">
        <v>1</v>
      </c>
      <c r="J953" s="35">
        <v>0</v>
      </c>
      <c r="K953" s="35">
        <v>0</v>
      </c>
      <c r="L953" s="35">
        <v>0</v>
      </c>
      <c r="M953">
        <v>1</v>
      </c>
      <c r="N953">
        <v>0</v>
      </c>
      <c r="O953">
        <v>1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6</v>
      </c>
      <c r="AK953">
        <v>3</v>
      </c>
      <c r="AL953">
        <v>3</v>
      </c>
      <c r="AM953">
        <v>2</v>
      </c>
      <c r="AN953" s="23">
        <v>0</v>
      </c>
      <c r="AO953" s="23">
        <v>0</v>
      </c>
      <c r="AP953" s="23">
        <v>0</v>
      </c>
      <c r="AQ953" s="23">
        <v>0.5</v>
      </c>
      <c r="AR953" s="37">
        <v>0</v>
      </c>
      <c r="AS953" s="37">
        <v>0</v>
      </c>
      <c r="AT953" s="37">
        <v>1</v>
      </c>
      <c r="AU953" s="33" t="str">
        <f t="shared" si="17"/>
        <v>库存为1</v>
      </c>
      <c r="AV953" s="38" t="str">
        <f>IFERROR(时间!$B$4+AU953,"上周无销量")</f>
        <v>上周无销量</v>
      </c>
    </row>
    <row r="954" spans="1:48">
      <c r="A954" s="21" t="s">
        <v>2090</v>
      </c>
      <c r="B954" t="s">
        <v>2091</v>
      </c>
      <c r="C954" t="s">
        <v>2087</v>
      </c>
      <c r="D954" s="33">
        <v>0</v>
      </c>
      <c r="E954" s="33">
        <v>0</v>
      </c>
      <c r="F954" s="33">
        <v>0</v>
      </c>
      <c r="G954" s="33">
        <v>0</v>
      </c>
      <c r="H954" s="34">
        <v>0</v>
      </c>
      <c r="I954">
        <v>0</v>
      </c>
      <c r="J954" s="35">
        <v>0</v>
      </c>
      <c r="K954" s="35">
        <v>0</v>
      </c>
      <c r="L954" s="35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s">
        <v>54</v>
      </c>
      <c r="AO954" s="23" t="s">
        <v>54</v>
      </c>
      <c r="AP954" s="23" t="s">
        <v>54</v>
      </c>
      <c r="AQ954" s="23" t="s">
        <v>54</v>
      </c>
      <c r="AR954" s="37">
        <v>0</v>
      </c>
      <c r="AS954" s="37">
        <v>0</v>
      </c>
      <c r="AT954" s="37">
        <v>0</v>
      </c>
      <c r="AU954" s="33" t="str">
        <f t="shared" si="17"/>
        <v>库存为0</v>
      </c>
      <c r="AV954" s="38" t="str">
        <f>IFERROR(时间!$B$4+AU954,"上周无销量")</f>
        <v>上周无销量</v>
      </c>
    </row>
    <row r="955" spans="1:48">
      <c r="A955" s="21" t="s">
        <v>2092</v>
      </c>
      <c r="B955" t="s">
        <v>2093</v>
      </c>
      <c r="C955" t="s">
        <v>2087</v>
      </c>
      <c r="D955" s="33">
        <v>0</v>
      </c>
      <c r="E955" s="33">
        <v>1</v>
      </c>
      <c r="F955" s="33">
        <v>0</v>
      </c>
      <c r="G955" s="33">
        <v>1</v>
      </c>
      <c r="H955" s="34">
        <v>26.99</v>
      </c>
      <c r="I955">
        <v>0</v>
      </c>
      <c r="J955" s="35">
        <v>0</v>
      </c>
      <c r="K955" s="35">
        <v>0</v>
      </c>
      <c r="L955" s="35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3</v>
      </c>
      <c r="AL955">
        <v>3</v>
      </c>
      <c r="AM955">
        <v>2</v>
      </c>
      <c r="AN955" s="23" t="s">
        <v>54</v>
      </c>
      <c r="AO955" s="23">
        <v>0.333333333333333</v>
      </c>
      <c r="AP955" s="23">
        <v>0</v>
      </c>
      <c r="AQ955" s="23">
        <v>0.5</v>
      </c>
      <c r="AR955" s="37">
        <v>0</v>
      </c>
      <c r="AS955" s="37">
        <v>0</v>
      </c>
      <c r="AT955" s="37">
        <v>0</v>
      </c>
      <c r="AU955" s="33" t="str">
        <f t="shared" si="17"/>
        <v>库存为0</v>
      </c>
      <c r="AV955" s="38" t="str">
        <f>IFERROR(时间!$B$4+AU955,"上周无销量")</f>
        <v>上周无销量</v>
      </c>
    </row>
    <row r="956" spans="1:48">
      <c r="A956" s="21" t="s">
        <v>2094</v>
      </c>
      <c r="B956" t="s">
        <v>2095</v>
      </c>
      <c r="C956" t="s">
        <v>2087</v>
      </c>
      <c r="D956" s="33">
        <v>0</v>
      </c>
      <c r="E956" s="33">
        <v>0</v>
      </c>
      <c r="F956" s="33">
        <v>0</v>
      </c>
      <c r="G956" s="33">
        <v>0</v>
      </c>
      <c r="H956" s="34">
        <v>0</v>
      </c>
      <c r="I956">
        <v>0</v>
      </c>
      <c r="J956" s="35">
        <v>0</v>
      </c>
      <c r="K956" s="35">
        <v>0</v>
      </c>
      <c r="L956" s="35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s">
        <v>54</v>
      </c>
      <c r="AO956" s="23" t="s">
        <v>54</v>
      </c>
      <c r="AP956" s="23" t="s">
        <v>54</v>
      </c>
      <c r="AQ956" s="23" t="s">
        <v>54</v>
      </c>
      <c r="AR956" s="37">
        <v>0</v>
      </c>
      <c r="AS956" s="37">
        <v>0</v>
      </c>
      <c r="AT956" s="37">
        <v>0</v>
      </c>
      <c r="AU956" s="33" t="str">
        <f t="shared" si="17"/>
        <v>库存为0</v>
      </c>
      <c r="AV956" s="38" t="str">
        <f>IFERROR(时间!$B$4+AU956,"上周无销量")</f>
        <v>上周无销量</v>
      </c>
    </row>
    <row r="957" spans="1:48">
      <c r="A957" s="21" t="s">
        <v>2096</v>
      </c>
      <c r="B957" t="s">
        <v>2097</v>
      </c>
      <c r="C957" t="s">
        <v>2087</v>
      </c>
      <c r="D957" s="33">
        <v>0</v>
      </c>
      <c r="E957" s="33">
        <v>0</v>
      </c>
      <c r="F957" s="33">
        <v>0</v>
      </c>
      <c r="G957" s="33">
        <v>0</v>
      </c>
      <c r="H957" s="34">
        <v>0</v>
      </c>
      <c r="I957">
        <v>0</v>
      </c>
      <c r="J957" s="35">
        <v>0</v>
      </c>
      <c r="K957" s="35">
        <v>0</v>
      </c>
      <c r="L957" s="35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s">
        <v>54</v>
      </c>
      <c r="AO957" s="23" t="s">
        <v>54</v>
      </c>
      <c r="AP957" s="23" t="s">
        <v>54</v>
      </c>
      <c r="AQ957" s="23" t="s">
        <v>54</v>
      </c>
      <c r="AR957" s="37">
        <v>0</v>
      </c>
      <c r="AS957" s="37">
        <v>0</v>
      </c>
      <c r="AT957" s="37">
        <v>0</v>
      </c>
      <c r="AU957" s="33" t="str">
        <f t="shared" si="17"/>
        <v>库存为0</v>
      </c>
      <c r="AV957" s="38" t="str">
        <f>IFERROR(时间!$B$4+AU957,"上周无销量")</f>
        <v>上周无销量</v>
      </c>
    </row>
    <row r="958" spans="1:48">
      <c r="A958" s="21" t="s">
        <v>2098</v>
      </c>
      <c r="B958" t="s">
        <v>2099</v>
      </c>
      <c r="C958" t="s">
        <v>2087</v>
      </c>
      <c r="D958" s="33">
        <v>1</v>
      </c>
      <c r="E958" s="33">
        <v>0</v>
      </c>
      <c r="F958" s="33">
        <v>0</v>
      </c>
      <c r="G958" s="33">
        <v>0</v>
      </c>
      <c r="H958" s="34">
        <v>23.99</v>
      </c>
      <c r="I958">
        <v>1</v>
      </c>
      <c r="J958" s="35">
        <v>0</v>
      </c>
      <c r="K958" s="35">
        <v>0</v>
      </c>
      <c r="L958" s="35">
        <v>0</v>
      </c>
      <c r="M958">
        <v>1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7</v>
      </c>
      <c r="AK958">
        <v>1</v>
      </c>
      <c r="AL958">
        <v>1</v>
      </c>
      <c r="AM958">
        <v>2</v>
      </c>
      <c r="AN958" s="23">
        <v>0.142857142857143</v>
      </c>
      <c r="AO958" s="23">
        <v>0</v>
      </c>
      <c r="AP958" s="23">
        <v>0</v>
      </c>
      <c r="AQ958" s="23">
        <v>0</v>
      </c>
      <c r="AR958" s="37">
        <v>0.142857142857143</v>
      </c>
      <c r="AS958" s="37">
        <v>8.57142857142857</v>
      </c>
      <c r="AT958" s="37">
        <v>-7.57142857142857</v>
      </c>
      <c r="AU958" s="33">
        <f t="shared" si="17"/>
        <v>7</v>
      </c>
      <c r="AV958" s="38">
        <f>IFERROR(时间!$B$4+AU958,"上周无销量")</f>
        <v>43297</v>
      </c>
    </row>
    <row r="959" spans="1:48">
      <c r="A959" s="21" t="s">
        <v>2100</v>
      </c>
      <c r="B959" t="s">
        <v>2101</v>
      </c>
      <c r="C959" t="s">
        <v>2087</v>
      </c>
      <c r="D959" s="33">
        <v>0</v>
      </c>
      <c r="E959" s="33">
        <v>0</v>
      </c>
      <c r="F959" s="33">
        <v>0</v>
      </c>
      <c r="G959" s="33">
        <v>0</v>
      </c>
      <c r="H959" s="34">
        <v>0</v>
      </c>
      <c r="I959">
        <v>0</v>
      </c>
      <c r="J959" s="35">
        <v>0</v>
      </c>
      <c r="K959" s="35">
        <v>0</v>
      </c>
      <c r="L959" s="35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0</v>
      </c>
      <c r="AK959">
        <v>0</v>
      </c>
      <c r="AL959">
        <v>0</v>
      </c>
      <c r="AM959">
        <v>0</v>
      </c>
      <c r="AN959" s="23" t="s">
        <v>54</v>
      </c>
      <c r="AO959" s="23" t="s">
        <v>54</v>
      </c>
      <c r="AP959" s="23" t="s">
        <v>54</v>
      </c>
      <c r="AQ959" s="23" t="s">
        <v>54</v>
      </c>
      <c r="AR959" s="37">
        <v>0</v>
      </c>
      <c r="AS959" s="37">
        <v>0</v>
      </c>
      <c r="AT959" s="37">
        <v>0</v>
      </c>
      <c r="AU959" s="33" t="str">
        <f t="shared" si="17"/>
        <v>库存为0</v>
      </c>
      <c r="AV959" s="38" t="str">
        <f>IFERROR(时间!$B$4+AU959,"上周无销量")</f>
        <v>上周无销量</v>
      </c>
    </row>
    <row r="960" spans="1:48">
      <c r="A960" s="21" t="s">
        <v>2102</v>
      </c>
      <c r="B960" t="s">
        <v>2103</v>
      </c>
      <c r="C960" t="s">
        <v>2087</v>
      </c>
      <c r="D960" s="33">
        <v>0</v>
      </c>
      <c r="E960" s="33">
        <v>0</v>
      </c>
      <c r="F960" s="33">
        <v>0</v>
      </c>
      <c r="G960" s="33">
        <v>0</v>
      </c>
      <c r="H960" s="34">
        <v>0</v>
      </c>
      <c r="I960">
        <v>1</v>
      </c>
      <c r="J960" s="35">
        <v>0</v>
      </c>
      <c r="K960" s="35">
        <v>0</v>
      </c>
      <c r="L960" s="35">
        <v>0</v>
      </c>
      <c r="M960">
        <v>1</v>
      </c>
      <c r="N960">
        <v>0</v>
      </c>
      <c r="O960">
        <v>1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1</v>
      </c>
      <c r="AK960">
        <v>0</v>
      </c>
      <c r="AL960">
        <v>0</v>
      </c>
      <c r="AM960">
        <v>0</v>
      </c>
      <c r="AN960" s="23">
        <v>0</v>
      </c>
      <c r="AO960" s="23" t="s">
        <v>54</v>
      </c>
      <c r="AP960" s="23" t="s">
        <v>54</v>
      </c>
      <c r="AQ960" s="23" t="s">
        <v>54</v>
      </c>
      <c r="AR960" s="37">
        <v>0</v>
      </c>
      <c r="AS960" s="37">
        <v>0</v>
      </c>
      <c r="AT960" s="37">
        <v>1</v>
      </c>
      <c r="AU960" s="33" t="str">
        <f t="shared" si="17"/>
        <v>库存为1</v>
      </c>
      <c r="AV960" s="38" t="str">
        <f>IFERROR(时间!$B$4+AU960,"上周无销量")</f>
        <v>上周无销量</v>
      </c>
    </row>
    <row r="961" spans="1:48">
      <c r="A961" s="21" t="s">
        <v>2104</v>
      </c>
      <c r="B961" t="s">
        <v>2105</v>
      </c>
      <c r="C961" t="s">
        <v>2087</v>
      </c>
      <c r="D961" s="33">
        <v>0</v>
      </c>
      <c r="E961" s="33">
        <v>0</v>
      </c>
      <c r="F961" s="33">
        <v>0</v>
      </c>
      <c r="G961" s="33">
        <v>0</v>
      </c>
      <c r="H961" s="34">
        <v>0</v>
      </c>
      <c r="I961">
        <v>6</v>
      </c>
      <c r="J961" s="35">
        <v>0</v>
      </c>
      <c r="K961" s="35">
        <v>0</v>
      </c>
      <c r="L961" s="35">
        <v>0</v>
      </c>
      <c r="M961">
        <v>6</v>
      </c>
      <c r="N961">
        <v>0</v>
      </c>
      <c r="O961">
        <v>6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4</v>
      </c>
      <c r="AK961">
        <v>0</v>
      </c>
      <c r="AL961">
        <v>0</v>
      </c>
      <c r="AM961">
        <v>2</v>
      </c>
      <c r="AN961" s="23">
        <v>0</v>
      </c>
      <c r="AO961" s="23" t="s">
        <v>54</v>
      </c>
      <c r="AP961" s="23" t="s">
        <v>54</v>
      </c>
      <c r="AQ961" s="23">
        <v>0</v>
      </c>
      <c r="AR961" s="37">
        <v>0</v>
      </c>
      <c r="AS961" s="37">
        <v>0</v>
      </c>
      <c r="AT961" s="37">
        <v>6</v>
      </c>
      <c r="AU961" s="33" t="str">
        <f t="shared" si="17"/>
        <v>库存为6</v>
      </c>
      <c r="AV961" s="38" t="str">
        <f>IFERROR(时间!$B$4+AU961,"上周无销量")</f>
        <v>上周无销量</v>
      </c>
    </row>
    <row r="962" spans="1:48">
      <c r="A962" s="21" t="s">
        <v>2106</v>
      </c>
      <c r="B962" t="s">
        <v>2107</v>
      </c>
      <c r="C962" t="s">
        <v>2087</v>
      </c>
      <c r="D962" s="33">
        <v>0</v>
      </c>
      <c r="E962" s="33">
        <v>0</v>
      </c>
      <c r="F962" s="33">
        <v>0</v>
      </c>
      <c r="G962" s="33">
        <v>0</v>
      </c>
      <c r="H962" s="34">
        <v>0</v>
      </c>
      <c r="I962">
        <v>0</v>
      </c>
      <c r="J962" s="35">
        <v>0</v>
      </c>
      <c r="K962" s="35">
        <v>0</v>
      </c>
      <c r="L962" s="35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0</v>
      </c>
      <c r="AM962">
        <v>0</v>
      </c>
      <c r="AN962" s="23" t="s">
        <v>54</v>
      </c>
      <c r="AO962" s="23" t="s">
        <v>54</v>
      </c>
      <c r="AP962" s="23" t="s">
        <v>54</v>
      </c>
      <c r="AQ962" s="23" t="s">
        <v>54</v>
      </c>
      <c r="AR962" s="37">
        <v>0</v>
      </c>
      <c r="AS962" s="37">
        <v>0</v>
      </c>
      <c r="AT962" s="37">
        <v>0</v>
      </c>
      <c r="AU962" s="33" t="str">
        <f t="shared" si="17"/>
        <v>库存为0</v>
      </c>
      <c r="AV962" s="38" t="str">
        <f>IFERROR(时间!$B$4+AU962,"上周无销量")</f>
        <v>上周无销量</v>
      </c>
    </row>
    <row r="963" spans="1:48">
      <c r="A963" s="21" t="s">
        <v>2108</v>
      </c>
      <c r="B963" t="s">
        <v>2109</v>
      </c>
      <c r="C963" t="s">
        <v>2087</v>
      </c>
      <c r="D963" s="33">
        <v>0</v>
      </c>
      <c r="E963" s="33">
        <v>0</v>
      </c>
      <c r="F963" s="33">
        <v>0</v>
      </c>
      <c r="G963" s="33">
        <v>0</v>
      </c>
      <c r="H963" s="34">
        <v>0</v>
      </c>
      <c r="I963">
        <v>0</v>
      </c>
      <c r="J963" s="35">
        <v>0</v>
      </c>
      <c r="K963" s="35">
        <v>0</v>
      </c>
      <c r="L963" s="35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s">
        <v>54</v>
      </c>
      <c r="AO963" s="23" t="s">
        <v>54</v>
      </c>
      <c r="AP963" s="23" t="s">
        <v>54</v>
      </c>
      <c r="AQ963" s="23" t="s">
        <v>54</v>
      </c>
      <c r="AR963" s="37">
        <v>0</v>
      </c>
      <c r="AS963" s="37">
        <v>0</v>
      </c>
      <c r="AT963" s="37">
        <v>0</v>
      </c>
      <c r="AU963" s="33" t="str">
        <f t="shared" si="17"/>
        <v>库存为0</v>
      </c>
      <c r="AV963" s="38" t="str">
        <f>IFERROR(时间!$B$4+AU963,"上周无销量")</f>
        <v>上周无销量</v>
      </c>
    </row>
    <row r="964" spans="1:48">
      <c r="A964" s="21" t="s">
        <v>2110</v>
      </c>
      <c r="B964" t="s">
        <v>2111</v>
      </c>
      <c r="C964" t="s">
        <v>2087</v>
      </c>
      <c r="D964" s="33">
        <v>0</v>
      </c>
      <c r="E964" s="33">
        <v>0</v>
      </c>
      <c r="F964" s="33">
        <v>0</v>
      </c>
      <c r="G964" s="33">
        <v>0</v>
      </c>
      <c r="H964" s="34">
        <v>0</v>
      </c>
      <c r="I964">
        <v>0</v>
      </c>
      <c r="J964" s="35">
        <v>0</v>
      </c>
      <c r="K964" s="35">
        <v>0</v>
      </c>
      <c r="L964" s="35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0</v>
      </c>
      <c r="AK964">
        <v>0</v>
      </c>
      <c r="AL964">
        <v>0</v>
      </c>
      <c r="AM964">
        <v>0</v>
      </c>
      <c r="AN964" s="23" t="s">
        <v>54</v>
      </c>
      <c r="AO964" s="23" t="s">
        <v>54</v>
      </c>
      <c r="AP964" s="23" t="s">
        <v>54</v>
      </c>
      <c r="AQ964" s="23" t="s">
        <v>54</v>
      </c>
      <c r="AR964" s="37">
        <v>0</v>
      </c>
      <c r="AS964" s="37">
        <v>0</v>
      </c>
      <c r="AT964" s="37">
        <v>0</v>
      </c>
      <c r="AU964" s="33" t="str">
        <f t="shared" si="17"/>
        <v>库存为0</v>
      </c>
      <c r="AV964" s="38" t="str">
        <f>IFERROR(时间!$B$4+AU964,"上周无销量")</f>
        <v>上周无销量</v>
      </c>
    </row>
    <row r="965" spans="1:48">
      <c r="A965" s="21" t="s">
        <v>2112</v>
      </c>
      <c r="B965" t="s">
        <v>2113</v>
      </c>
      <c r="C965" t="s">
        <v>2114</v>
      </c>
      <c r="D965" s="33">
        <v>0</v>
      </c>
      <c r="E965" s="33">
        <v>0</v>
      </c>
      <c r="F965" s="33">
        <v>0</v>
      </c>
      <c r="G965" s="33">
        <v>0</v>
      </c>
      <c r="H965" s="34">
        <v>0</v>
      </c>
      <c r="I965">
        <v>0</v>
      </c>
      <c r="J965" s="35">
        <v>0</v>
      </c>
      <c r="K965" s="35">
        <v>0</v>
      </c>
      <c r="L965" s="35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0</v>
      </c>
      <c r="AK965">
        <v>0</v>
      </c>
      <c r="AL965">
        <v>0</v>
      </c>
      <c r="AM965">
        <v>0</v>
      </c>
      <c r="AN965" s="23" t="s">
        <v>54</v>
      </c>
      <c r="AO965" s="23" t="s">
        <v>54</v>
      </c>
      <c r="AP965" s="23" t="s">
        <v>54</v>
      </c>
      <c r="AQ965" s="23" t="s">
        <v>54</v>
      </c>
      <c r="AR965" s="37">
        <v>0</v>
      </c>
      <c r="AS965" s="37">
        <v>0</v>
      </c>
      <c r="AT965" s="37">
        <v>0</v>
      </c>
      <c r="AU965" s="33" t="str">
        <f t="shared" ref="AU965:AU1028" si="18">IF(AR965="","库存为"&amp;M965,IF(AS965=0,"库存为"&amp;M965,INT(M965/AR965)))</f>
        <v>库存为0</v>
      </c>
      <c r="AV965" s="38" t="str">
        <f>IFERROR(时间!$B$4+AU965,"上周无销量")</f>
        <v>上周无销量</v>
      </c>
    </row>
    <row r="966" spans="1:48">
      <c r="A966" s="21" t="s">
        <v>2115</v>
      </c>
      <c r="B966" t="s">
        <v>2116</v>
      </c>
      <c r="C966" t="s">
        <v>2114</v>
      </c>
      <c r="D966" s="33">
        <v>0</v>
      </c>
      <c r="E966" s="33">
        <v>0</v>
      </c>
      <c r="F966" s="33">
        <v>0</v>
      </c>
      <c r="G966" s="33">
        <v>0</v>
      </c>
      <c r="H966" s="34">
        <v>0</v>
      </c>
      <c r="I966">
        <v>3</v>
      </c>
      <c r="J966" s="35">
        <v>0</v>
      </c>
      <c r="K966" s="35">
        <v>0</v>
      </c>
      <c r="L966" s="35">
        <v>0</v>
      </c>
      <c r="M966">
        <v>3</v>
      </c>
      <c r="N966">
        <v>0</v>
      </c>
      <c r="O966">
        <v>3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3</v>
      </c>
      <c r="AK966">
        <v>2</v>
      </c>
      <c r="AL966">
        <v>2</v>
      </c>
      <c r="AM966">
        <v>1</v>
      </c>
      <c r="AN966" s="23">
        <v>0</v>
      </c>
      <c r="AO966" s="23">
        <v>0</v>
      </c>
      <c r="AP966" s="23">
        <v>0</v>
      </c>
      <c r="AQ966" s="23">
        <v>0</v>
      </c>
      <c r="AR966" s="37">
        <v>0</v>
      </c>
      <c r="AS966" s="37">
        <v>0</v>
      </c>
      <c r="AT966" s="37">
        <v>3</v>
      </c>
      <c r="AU966" s="33" t="str">
        <f t="shared" si="18"/>
        <v>库存为3</v>
      </c>
      <c r="AV966" s="38" t="str">
        <f>IFERROR(时间!$B$4+AU966,"上周无销量")</f>
        <v>上周无销量</v>
      </c>
    </row>
    <row r="967" spans="1:48">
      <c r="A967" s="21" t="s">
        <v>2117</v>
      </c>
      <c r="B967" t="s">
        <v>2118</v>
      </c>
      <c r="C967" t="s">
        <v>2114</v>
      </c>
      <c r="D967" s="33">
        <v>0</v>
      </c>
      <c r="E967" s="33">
        <v>0</v>
      </c>
      <c r="F967" s="33">
        <v>0</v>
      </c>
      <c r="G967" s="33">
        <v>0</v>
      </c>
      <c r="H967" s="34">
        <v>0</v>
      </c>
      <c r="I967">
        <v>0</v>
      </c>
      <c r="J967" s="35">
        <v>0</v>
      </c>
      <c r="K967" s="35">
        <v>0</v>
      </c>
      <c r="L967" s="35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0</v>
      </c>
      <c r="AK967">
        <v>0</v>
      </c>
      <c r="AL967">
        <v>0</v>
      </c>
      <c r="AM967">
        <v>0</v>
      </c>
      <c r="AN967" s="23" t="s">
        <v>54</v>
      </c>
      <c r="AO967" s="23" t="s">
        <v>54</v>
      </c>
      <c r="AP967" s="23" t="s">
        <v>54</v>
      </c>
      <c r="AQ967" s="23" t="s">
        <v>54</v>
      </c>
      <c r="AR967" s="37">
        <v>0</v>
      </c>
      <c r="AS967" s="37">
        <v>0</v>
      </c>
      <c r="AT967" s="37">
        <v>0</v>
      </c>
      <c r="AU967" s="33" t="str">
        <f t="shared" si="18"/>
        <v>库存为0</v>
      </c>
      <c r="AV967" s="38" t="str">
        <f>IFERROR(时间!$B$4+AU967,"上周无销量")</f>
        <v>上周无销量</v>
      </c>
    </row>
    <row r="968" spans="1:48">
      <c r="A968" s="21" t="s">
        <v>2119</v>
      </c>
      <c r="B968" t="s">
        <v>2120</v>
      </c>
      <c r="C968" t="s">
        <v>2114</v>
      </c>
      <c r="D968" s="33">
        <v>0</v>
      </c>
      <c r="E968" s="33">
        <v>0</v>
      </c>
      <c r="F968" s="33">
        <v>0</v>
      </c>
      <c r="G968" s="33">
        <v>0</v>
      </c>
      <c r="H968" s="34">
        <v>0</v>
      </c>
      <c r="I968">
        <v>1</v>
      </c>
      <c r="J968" s="35">
        <v>0</v>
      </c>
      <c r="K968" s="35">
        <v>0</v>
      </c>
      <c r="L968" s="35">
        <v>0</v>
      </c>
      <c r="M968">
        <v>1</v>
      </c>
      <c r="N968">
        <v>0</v>
      </c>
      <c r="O968">
        <v>1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5</v>
      </c>
      <c r="AK968">
        <v>2</v>
      </c>
      <c r="AL968">
        <v>2</v>
      </c>
      <c r="AM968">
        <v>0</v>
      </c>
      <c r="AN968" s="23">
        <v>0</v>
      </c>
      <c r="AO968" s="23">
        <v>0</v>
      </c>
      <c r="AP968" s="23">
        <v>0</v>
      </c>
      <c r="AQ968" s="23" t="s">
        <v>54</v>
      </c>
      <c r="AR968" s="37">
        <v>0</v>
      </c>
      <c r="AS968" s="37">
        <v>0</v>
      </c>
      <c r="AT968" s="37">
        <v>1</v>
      </c>
      <c r="AU968" s="33" t="str">
        <f t="shared" si="18"/>
        <v>库存为1</v>
      </c>
      <c r="AV968" s="38" t="str">
        <f>IFERROR(时间!$B$4+AU968,"上周无销量")</f>
        <v>上周无销量</v>
      </c>
    </row>
    <row r="969" spans="1:48">
      <c r="A969" s="21" t="s">
        <v>2121</v>
      </c>
      <c r="B969" t="s">
        <v>2122</v>
      </c>
      <c r="C969" t="s">
        <v>2114</v>
      </c>
      <c r="D969" s="33">
        <v>0</v>
      </c>
      <c r="E969" s="33">
        <v>0</v>
      </c>
      <c r="F969" s="33">
        <v>0</v>
      </c>
      <c r="G969" s="33">
        <v>0</v>
      </c>
      <c r="H969" s="34">
        <v>0</v>
      </c>
      <c r="I969">
        <v>0</v>
      </c>
      <c r="J969" s="35">
        <v>0</v>
      </c>
      <c r="K969" s="35">
        <v>0</v>
      </c>
      <c r="L969" s="35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0</v>
      </c>
      <c r="AK969">
        <v>0</v>
      </c>
      <c r="AL969">
        <v>0</v>
      </c>
      <c r="AM969">
        <v>0</v>
      </c>
      <c r="AN969" s="23" t="s">
        <v>54</v>
      </c>
      <c r="AO969" s="23" t="s">
        <v>54</v>
      </c>
      <c r="AP969" s="23" t="s">
        <v>54</v>
      </c>
      <c r="AQ969" s="23" t="s">
        <v>54</v>
      </c>
      <c r="AR969" s="37">
        <v>0</v>
      </c>
      <c r="AS969" s="37">
        <v>0</v>
      </c>
      <c r="AT969" s="37">
        <v>0</v>
      </c>
      <c r="AU969" s="33" t="str">
        <f t="shared" si="18"/>
        <v>库存为0</v>
      </c>
      <c r="AV969" s="38" t="str">
        <f>IFERROR(时间!$B$4+AU969,"上周无销量")</f>
        <v>上周无销量</v>
      </c>
    </row>
    <row r="970" spans="1:48">
      <c r="A970" s="21" t="s">
        <v>2123</v>
      </c>
      <c r="B970" t="s">
        <v>2124</v>
      </c>
      <c r="C970" t="s">
        <v>2114</v>
      </c>
      <c r="D970" s="33">
        <v>0</v>
      </c>
      <c r="E970" s="33">
        <v>0</v>
      </c>
      <c r="F970" s="33">
        <v>0</v>
      </c>
      <c r="G970" s="33">
        <v>0</v>
      </c>
      <c r="H970" s="34">
        <v>0</v>
      </c>
      <c r="I970">
        <v>0</v>
      </c>
      <c r="J970" s="35">
        <v>0</v>
      </c>
      <c r="K970" s="35">
        <v>0</v>
      </c>
      <c r="L970" s="35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0</v>
      </c>
      <c r="AK970">
        <v>0</v>
      </c>
      <c r="AL970">
        <v>0</v>
      </c>
      <c r="AM970">
        <v>0</v>
      </c>
      <c r="AN970" s="23" t="s">
        <v>54</v>
      </c>
      <c r="AO970" s="23" t="s">
        <v>54</v>
      </c>
      <c r="AP970" s="23" t="s">
        <v>54</v>
      </c>
      <c r="AQ970" s="23" t="s">
        <v>54</v>
      </c>
      <c r="AR970" s="37">
        <v>0</v>
      </c>
      <c r="AS970" s="37">
        <v>0</v>
      </c>
      <c r="AT970" s="37">
        <v>0</v>
      </c>
      <c r="AU970" s="33" t="str">
        <f t="shared" si="18"/>
        <v>库存为0</v>
      </c>
      <c r="AV970" s="38" t="str">
        <f>IFERROR(时间!$B$4+AU970,"上周无销量")</f>
        <v>上周无销量</v>
      </c>
    </row>
    <row r="971" spans="1:48">
      <c r="A971" s="21" t="s">
        <v>2125</v>
      </c>
      <c r="B971" t="s">
        <v>2126</v>
      </c>
      <c r="C971" t="s">
        <v>2114</v>
      </c>
      <c r="D971" s="33">
        <v>0</v>
      </c>
      <c r="E971" s="33">
        <v>1</v>
      </c>
      <c r="F971" s="33">
        <v>0</v>
      </c>
      <c r="G971" s="33">
        <v>0</v>
      </c>
      <c r="H971" s="34">
        <v>23.99</v>
      </c>
      <c r="I971">
        <v>2</v>
      </c>
      <c r="J971" s="35">
        <v>0</v>
      </c>
      <c r="K971" s="35">
        <v>0</v>
      </c>
      <c r="L971" s="35">
        <v>0</v>
      </c>
      <c r="M971">
        <v>2</v>
      </c>
      <c r="N971">
        <v>0</v>
      </c>
      <c r="O971">
        <v>2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3</v>
      </c>
      <c r="AK971">
        <v>0</v>
      </c>
      <c r="AL971">
        <v>0</v>
      </c>
      <c r="AM971">
        <v>1</v>
      </c>
      <c r="AN971" s="23">
        <v>0</v>
      </c>
      <c r="AO971" s="23" t="s">
        <v>54</v>
      </c>
      <c r="AP971" s="23" t="s">
        <v>54</v>
      </c>
      <c r="AQ971" s="23">
        <v>0</v>
      </c>
      <c r="AR971" s="37">
        <v>0</v>
      </c>
      <c r="AS971" s="37">
        <v>0</v>
      </c>
      <c r="AT971" s="37">
        <v>2</v>
      </c>
      <c r="AU971" s="33" t="str">
        <f t="shared" si="18"/>
        <v>库存为2</v>
      </c>
      <c r="AV971" s="38" t="str">
        <f>IFERROR(时间!$B$4+AU971,"上周无销量")</f>
        <v>上周无销量</v>
      </c>
    </row>
    <row r="972" spans="1:48">
      <c r="A972" s="21" t="s">
        <v>2127</v>
      </c>
      <c r="B972" t="s">
        <v>2128</v>
      </c>
      <c r="C972" t="s">
        <v>2114</v>
      </c>
      <c r="D972" s="33">
        <v>0</v>
      </c>
      <c r="E972" s="33">
        <v>0</v>
      </c>
      <c r="F972" s="33">
        <v>0</v>
      </c>
      <c r="G972" s="33">
        <v>0</v>
      </c>
      <c r="H972" s="34">
        <v>0</v>
      </c>
      <c r="I972">
        <v>0</v>
      </c>
      <c r="J972" s="35">
        <v>0</v>
      </c>
      <c r="K972" s="35">
        <v>0</v>
      </c>
      <c r="L972" s="35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0</v>
      </c>
      <c r="AK972">
        <v>0</v>
      </c>
      <c r="AL972">
        <v>0</v>
      </c>
      <c r="AM972">
        <v>0</v>
      </c>
      <c r="AN972" s="23" t="s">
        <v>54</v>
      </c>
      <c r="AO972" s="23" t="s">
        <v>54</v>
      </c>
      <c r="AP972" s="23" t="s">
        <v>54</v>
      </c>
      <c r="AQ972" s="23" t="s">
        <v>54</v>
      </c>
      <c r="AR972" s="37">
        <v>0</v>
      </c>
      <c r="AS972" s="37">
        <v>0</v>
      </c>
      <c r="AT972" s="37">
        <v>0</v>
      </c>
      <c r="AU972" s="33" t="str">
        <f t="shared" si="18"/>
        <v>库存为0</v>
      </c>
      <c r="AV972" s="38" t="str">
        <f>IFERROR(时间!$B$4+AU972,"上周无销量")</f>
        <v>上周无销量</v>
      </c>
    </row>
    <row r="973" spans="1:48">
      <c r="A973" s="21" t="s">
        <v>2129</v>
      </c>
      <c r="B973" t="s">
        <v>2130</v>
      </c>
      <c r="C973" t="s">
        <v>2131</v>
      </c>
      <c r="D973" s="33">
        <v>0</v>
      </c>
      <c r="E973" s="33">
        <v>2</v>
      </c>
      <c r="F973" s="33">
        <v>1</v>
      </c>
      <c r="G973" s="33">
        <v>0</v>
      </c>
      <c r="H973" s="34">
        <v>15.99</v>
      </c>
      <c r="I973">
        <v>0</v>
      </c>
      <c r="J973" s="35">
        <v>0</v>
      </c>
      <c r="K973" s="35">
        <v>0</v>
      </c>
      <c r="L973" s="35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0</v>
      </c>
      <c r="AK973">
        <v>5</v>
      </c>
      <c r="AL973">
        <v>5</v>
      </c>
      <c r="AM973">
        <v>3</v>
      </c>
      <c r="AN973" s="23" t="s">
        <v>54</v>
      </c>
      <c r="AO973" s="23">
        <v>0.4</v>
      </c>
      <c r="AP973" s="23">
        <v>0.2</v>
      </c>
      <c r="AQ973" s="23">
        <v>0</v>
      </c>
      <c r="AR973" s="37">
        <v>0</v>
      </c>
      <c r="AS973" s="37">
        <v>0</v>
      </c>
      <c r="AT973" s="37">
        <v>0</v>
      </c>
      <c r="AU973" s="33" t="str">
        <f t="shared" si="18"/>
        <v>库存为0</v>
      </c>
      <c r="AV973" s="38" t="str">
        <f>IFERROR(时间!$B$4+AU973,"上周无销量")</f>
        <v>上周无销量</v>
      </c>
    </row>
    <row r="974" spans="1:48">
      <c r="A974" s="21" t="s">
        <v>2132</v>
      </c>
      <c r="B974" t="s">
        <v>2133</v>
      </c>
      <c r="C974" t="s">
        <v>2131</v>
      </c>
      <c r="D974" s="33">
        <v>0</v>
      </c>
      <c r="E974" s="33">
        <v>0</v>
      </c>
      <c r="F974" s="33">
        <v>1</v>
      </c>
      <c r="G974" s="33">
        <v>0</v>
      </c>
      <c r="H974" s="34">
        <v>17.99</v>
      </c>
      <c r="I974">
        <v>0</v>
      </c>
      <c r="J974" s="35">
        <v>0</v>
      </c>
      <c r="K974" s="35">
        <v>0</v>
      </c>
      <c r="L974" s="35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0</v>
      </c>
      <c r="AK974">
        <v>1</v>
      </c>
      <c r="AL974">
        <v>1</v>
      </c>
      <c r="AM974">
        <v>1</v>
      </c>
      <c r="AN974" s="23" t="s">
        <v>54</v>
      </c>
      <c r="AO974" s="23">
        <v>0</v>
      </c>
      <c r="AP974" s="23">
        <v>1</v>
      </c>
      <c r="AQ974" s="23">
        <v>0</v>
      </c>
      <c r="AR974" s="37">
        <v>0</v>
      </c>
      <c r="AS974" s="37">
        <v>0</v>
      </c>
      <c r="AT974" s="37">
        <v>0</v>
      </c>
      <c r="AU974" s="33" t="str">
        <f t="shared" si="18"/>
        <v>库存为0</v>
      </c>
      <c r="AV974" s="38" t="str">
        <f>IFERROR(时间!$B$4+AU974,"上周无销量")</f>
        <v>上周无销量</v>
      </c>
    </row>
    <row r="975" spans="1:48">
      <c r="A975" s="21" t="s">
        <v>2134</v>
      </c>
      <c r="B975" t="s">
        <v>2135</v>
      </c>
      <c r="C975" t="s">
        <v>2131</v>
      </c>
      <c r="D975" s="33">
        <v>1</v>
      </c>
      <c r="E975" s="33">
        <v>1</v>
      </c>
      <c r="F975" s="33">
        <v>1</v>
      </c>
      <c r="G975" s="33">
        <v>0</v>
      </c>
      <c r="H975" s="34">
        <v>15.99</v>
      </c>
      <c r="I975">
        <v>2</v>
      </c>
      <c r="J975" s="35">
        <v>0</v>
      </c>
      <c r="K975" s="35">
        <v>0</v>
      </c>
      <c r="L975" s="35">
        <v>0</v>
      </c>
      <c r="M975">
        <v>2</v>
      </c>
      <c r="N975">
        <v>1</v>
      </c>
      <c r="O975">
        <v>2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2</v>
      </c>
      <c r="AK975">
        <v>3</v>
      </c>
      <c r="AL975">
        <v>3</v>
      </c>
      <c r="AM975">
        <v>3</v>
      </c>
      <c r="AN975" s="23">
        <v>0.5</v>
      </c>
      <c r="AO975" s="23">
        <v>0.333333333333333</v>
      </c>
      <c r="AP975" s="23">
        <v>0.333333333333333</v>
      </c>
      <c r="AQ975" s="23">
        <v>0</v>
      </c>
      <c r="AR975" s="37">
        <v>0.142857142857143</v>
      </c>
      <c r="AS975" s="37">
        <v>8.57142857142857</v>
      </c>
      <c r="AT975" s="37">
        <v>-6.57142857142857</v>
      </c>
      <c r="AU975" s="33">
        <f t="shared" si="18"/>
        <v>14</v>
      </c>
      <c r="AV975" s="38">
        <f>IFERROR(时间!$B$4+AU975,"上周无销量")</f>
        <v>43304</v>
      </c>
    </row>
    <row r="976" spans="1:48">
      <c r="A976" s="21" t="s">
        <v>2136</v>
      </c>
      <c r="B976" t="s">
        <v>2137</v>
      </c>
      <c r="C976" t="s">
        <v>2131</v>
      </c>
      <c r="D976" s="33">
        <v>0</v>
      </c>
      <c r="E976" s="33">
        <v>0</v>
      </c>
      <c r="F976" s="33">
        <v>0</v>
      </c>
      <c r="G976" s="33">
        <v>0</v>
      </c>
      <c r="H976" s="34">
        <v>0</v>
      </c>
      <c r="I976">
        <v>4</v>
      </c>
      <c r="J976" s="35">
        <v>0</v>
      </c>
      <c r="K976" s="35">
        <v>0</v>
      </c>
      <c r="L976" s="35">
        <v>1</v>
      </c>
      <c r="M976">
        <v>5</v>
      </c>
      <c r="N976">
        <v>0</v>
      </c>
      <c r="O976">
        <v>6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3</v>
      </c>
      <c r="AK976">
        <v>1</v>
      </c>
      <c r="AL976">
        <v>1</v>
      </c>
      <c r="AM976">
        <v>6</v>
      </c>
      <c r="AN976" s="23">
        <v>0</v>
      </c>
      <c r="AO976" s="23">
        <v>0</v>
      </c>
      <c r="AP976" s="23">
        <v>0</v>
      </c>
      <c r="AQ976" s="23">
        <v>0</v>
      </c>
      <c r="AR976" s="37">
        <v>0</v>
      </c>
      <c r="AS976" s="37">
        <v>0</v>
      </c>
      <c r="AT976" s="37">
        <v>5</v>
      </c>
      <c r="AU976" s="33" t="str">
        <f t="shared" si="18"/>
        <v>库存为5</v>
      </c>
      <c r="AV976" s="38" t="str">
        <f>IFERROR(时间!$B$4+AU976,"上周无销量")</f>
        <v>上周无销量</v>
      </c>
    </row>
    <row r="977" spans="1:48">
      <c r="A977" s="21" t="s">
        <v>2138</v>
      </c>
      <c r="B977" t="s">
        <v>2139</v>
      </c>
      <c r="C977" t="s">
        <v>2131</v>
      </c>
      <c r="D977" s="33">
        <v>0</v>
      </c>
      <c r="E977" s="33">
        <v>0</v>
      </c>
      <c r="F977" s="33">
        <v>0</v>
      </c>
      <c r="G977" s="33">
        <v>1</v>
      </c>
      <c r="H977" s="34">
        <v>15.99</v>
      </c>
      <c r="I977">
        <v>3</v>
      </c>
      <c r="J977" s="35">
        <v>0</v>
      </c>
      <c r="K977" s="35">
        <v>0</v>
      </c>
      <c r="L977" s="35">
        <v>0</v>
      </c>
      <c r="M977">
        <v>3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8</v>
      </c>
      <c r="AK977">
        <v>8</v>
      </c>
      <c r="AL977">
        <v>8</v>
      </c>
      <c r="AM977">
        <v>14</v>
      </c>
      <c r="AN977" s="23">
        <v>0</v>
      </c>
      <c r="AO977" s="23">
        <v>0</v>
      </c>
      <c r="AP977" s="23">
        <v>0</v>
      </c>
      <c r="AQ977" s="23">
        <v>0.0714285714285714</v>
      </c>
      <c r="AR977" s="37">
        <v>0</v>
      </c>
      <c r="AS977" s="37">
        <v>0</v>
      </c>
      <c r="AT977" s="37">
        <v>3</v>
      </c>
      <c r="AU977" s="33" t="str">
        <f t="shared" si="18"/>
        <v>库存为3</v>
      </c>
      <c r="AV977" s="38" t="str">
        <f>IFERROR(时间!$B$4+AU977,"上周无销量")</f>
        <v>上周无销量</v>
      </c>
    </row>
    <row r="978" spans="1:48">
      <c r="A978" s="21" t="s">
        <v>2140</v>
      </c>
      <c r="B978" t="s">
        <v>2141</v>
      </c>
      <c r="C978" t="s">
        <v>2131</v>
      </c>
      <c r="D978" s="33">
        <v>0</v>
      </c>
      <c r="E978" s="33">
        <v>0</v>
      </c>
      <c r="F978" s="33">
        <v>1</v>
      </c>
      <c r="G978" s="33">
        <v>0</v>
      </c>
      <c r="H978" s="34">
        <v>11.99</v>
      </c>
      <c r="I978">
        <v>8</v>
      </c>
      <c r="J978" s="35">
        <v>0</v>
      </c>
      <c r="K978" s="35">
        <v>0</v>
      </c>
      <c r="L978" s="35">
        <v>1</v>
      </c>
      <c r="M978">
        <v>9</v>
      </c>
      <c r="N978">
        <v>0</v>
      </c>
      <c r="O978">
        <v>8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3</v>
      </c>
      <c r="AK978">
        <v>6</v>
      </c>
      <c r="AL978">
        <v>6</v>
      </c>
      <c r="AM978">
        <v>3</v>
      </c>
      <c r="AN978" s="23">
        <v>0</v>
      </c>
      <c r="AO978" s="23">
        <v>0</v>
      </c>
      <c r="AP978" s="23">
        <v>0.166666666666667</v>
      </c>
      <c r="AQ978" s="23">
        <v>0</v>
      </c>
      <c r="AR978" s="37">
        <v>0</v>
      </c>
      <c r="AS978" s="37">
        <v>0</v>
      </c>
      <c r="AT978" s="37">
        <v>9</v>
      </c>
      <c r="AU978" s="33" t="str">
        <f t="shared" si="18"/>
        <v>库存为9</v>
      </c>
      <c r="AV978" s="38" t="str">
        <f>IFERROR(时间!$B$4+AU978,"上周无销量")</f>
        <v>上周无销量</v>
      </c>
    </row>
    <row r="979" spans="1:48">
      <c r="A979" s="21" t="s">
        <v>2142</v>
      </c>
      <c r="B979" t="s">
        <v>2143</v>
      </c>
      <c r="C979" t="s">
        <v>2144</v>
      </c>
      <c r="D979" s="33">
        <v>0</v>
      </c>
      <c r="E979" s="33">
        <v>0</v>
      </c>
      <c r="F979" s="33">
        <v>0</v>
      </c>
      <c r="G979" s="33">
        <v>0</v>
      </c>
      <c r="H979" s="34">
        <v>0</v>
      </c>
      <c r="I979">
        <v>12</v>
      </c>
      <c r="J979" s="35">
        <v>0</v>
      </c>
      <c r="K979" s="35">
        <v>0</v>
      </c>
      <c r="L979" s="35">
        <v>0</v>
      </c>
      <c r="M979">
        <v>12</v>
      </c>
      <c r="N979">
        <v>0</v>
      </c>
      <c r="O979">
        <v>12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3</v>
      </c>
      <c r="AK979">
        <v>3</v>
      </c>
      <c r="AL979">
        <v>3</v>
      </c>
      <c r="AM979">
        <v>2</v>
      </c>
      <c r="AN979" s="23">
        <v>0</v>
      </c>
      <c r="AO979" s="23">
        <v>0</v>
      </c>
      <c r="AP979" s="23">
        <v>0</v>
      </c>
      <c r="AQ979" s="23">
        <v>0</v>
      </c>
      <c r="AR979" s="37">
        <v>0</v>
      </c>
      <c r="AS979" s="37">
        <v>0</v>
      </c>
      <c r="AT979" s="37">
        <v>12</v>
      </c>
      <c r="AU979" s="33" t="str">
        <f t="shared" si="18"/>
        <v>库存为12</v>
      </c>
      <c r="AV979" s="38" t="str">
        <f>IFERROR(时间!$B$4+AU979,"上周无销量")</f>
        <v>上周无销量</v>
      </c>
    </row>
    <row r="980" spans="1:48">
      <c r="A980" s="21" t="s">
        <v>2145</v>
      </c>
      <c r="B980" t="s">
        <v>2146</v>
      </c>
      <c r="C980" t="s">
        <v>2144</v>
      </c>
      <c r="D980" s="33">
        <v>0</v>
      </c>
      <c r="E980" s="33">
        <v>0</v>
      </c>
      <c r="F980" s="33">
        <v>0</v>
      </c>
      <c r="G980" s="33">
        <v>0</v>
      </c>
      <c r="H980" s="34">
        <v>0</v>
      </c>
      <c r="I980">
        <v>7</v>
      </c>
      <c r="J980" s="35">
        <v>0</v>
      </c>
      <c r="K980" s="35">
        <v>0</v>
      </c>
      <c r="L980" s="35">
        <v>0</v>
      </c>
      <c r="M980">
        <v>7</v>
      </c>
      <c r="N980">
        <v>0</v>
      </c>
      <c r="O980">
        <v>7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5</v>
      </c>
      <c r="AK980">
        <v>4</v>
      </c>
      <c r="AL980">
        <v>4</v>
      </c>
      <c r="AM980">
        <v>2</v>
      </c>
      <c r="AN980" s="23">
        <v>0</v>
      </c>
      <c r="AO980" s="23">
        <v>0</v>
      </c>
      <c r="AP980" s="23">
        <v>0</v>
      </c>
      <c r="AQ980" s="23">
        <v>0</v>
      </c>
      <c r="AR980" s="37">
        <v>0</v>
      </c>
      <c r="AS980" s="37">
        <v>0</v>
      </c>
      <c r="AT980" s="37">
        <v>7</v>
      </c>
      <c r="AU980" s="33" t="str">
        <f t="shared" si="18"/>
        <v>库存为7</v>
      </c>
      <c r="AV980" s="38" t="str">
        <f>IFERROR(时间!$B$4+AU980,"上周无销量")</f>
        <v>上周无销量</v>
      </c>
    </row>
    <row r="981" spans="1:48">
      <c r="A981" s="21" t="s">
        <v>2147</v>
      </c>
      <c r="B981" t="s">
        <v>2148</v>
      </c>
      <c r="C981" t="s">
        <v>2144</v>
      </c>
      <c r="D981" s="33">
        <v>0</v>
      </c>
      <c r="E981" s="33">
        <v>0</v>
      </c>
      <c r="F981" s="33">
        <v>0</v>
      </c>
      <c r="G981" s="33">
        <v>0</v>
      </c>
      <c r="H981" s="34">
        <v>0</v>
      </c>
      <c r="I981">
        <v>1</v>
      </c>
      <c r="J981" s="35">
        <v>0</v>
      </c>
      <c r="K981" s="35">
        <v>0</v>
      </c>
      <c r="L981" s="35">
        <v>0</v>
      </c>
      <c r="M981">
        <v>1</v>
      </c>
      <c r="N981">
        <v>1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3</v>
      </c>
      <c r="AK981">
        <v>7</v>
      </c>
      <c r="AL981">
        <v>7</v>
      </c>
      <c r="AM981">
        <v>1</v>
      </c>
      <c r="AN981" s="23">
        <v>0</v>
      </c>
      <c r="AO981" s="23">
        <v>0</v>
      </c>
      <c r="AP981" s="23">
        <v>0</v>
      </c>
      <c r="AQ981" s="23">
        <v>0</v>
      </c>
      <c r="AR981" s="37">
        <v>0</v>
      </c>
      <c r="AS981" s="37">
        <v>0</v>
      </c>
      <c r="AT981" s="37">
        <v>1</v>
      </c>
      <c r="AU981" s="33" t="str">
        <f t="shared" si="18"/>
        <v>库存为1</v>
      </c>
      <c r="AV981" s="38" t="str">
        <f>IFERROR(时间!$B$4+AU981,"上周无销量")</f>
        <v>上周无销量</v>
      </c>
    </row>
    <row r="982" spans="1:48">
      <c r="A982" s="21" t="s">
        <v>2149</v>
      </c>
      <c r="B982" t="s">
        <v>2150</v>
      </c>
      <c r="C982" t="s">
        <v>2151</v>
      </c>
      <c r="D982" s="33">
        <v>0</v>
      </c>
      <c r="E982" s="33">
        <v>0</v>
      </c>
      <c r="F982" s="33">
        <v>0</v>
      </c>
      <c r="G982" s="33">
        <v>0</v>
      </c>
      <c r="H982" s="34">
        <v>0</v>
      </c>
      <c r="I982">
        <v>1</v>
      </c>
      <c r="J982" s="35">
        <v>0</v>
      </c>
      <c r="K982" s="35">
        <v>0</v>
      </c>
      <c r="L982" s="35">
        <v>0</v>
      </c>
      <c r="M982">
        <v>1</v>
      </c>
      <c r="N982">
        <v>0</v>
      </c>
      <c r="O982">
        <v>1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3</v>
      </c>
      <c r="AK982">
        <v>1</v>
      </c>
      <c r="AL982">
        <v>1</v>
      </c>
      <c r="AM982">
        <v>1</v>
      </c>
      <c r="AN982" s="23">
        <v>0</v>
      </c>
      <c r="AO982" s="23">
        <v>0</v>
      </c>
      <c r="AP982" s="23">
        <v>0</v>
      </c>
      <c r="AQ982" s="23">
        <v>0</v>
      </c>
      <c r="AR982" s="37">
        <v>0</v>
      </c>
      <c r="AS982" s="37">
        <v>0</v>
      </c>
      <c r="AT982" s="37">
        <v>1</v>
      </c>
      <c r="AU982" s="33" t="str">
        <f t="shared" si="18"/>
        <v>库存为1</v>
      </c>
      <c r="AV982" s="38" t="str">
        <f>IFERROR(时间!$B$4+AU982,"上周无销量")</f>
        <v>上周无销量</v>
      </c>
    </row>
    <row r="983" spans="1:48">
      <c r="A983" s="21" t="s">
        <v>2152</v>
      </c>
      <c r="B983" t="s">
        <v>2153</v>
      </c>
      <c r="C983" t="s">
        <v>2151</v>
      </c>
      <c r="D983" s="33">
        <v>1</v>
      </c>
      <c r="E983" s="33">
        <v>0</v>
      </c>
      <c r="F983" s="33">
        <v>0</v>
      </c>
      <c r="G983" s="33">
        <v>1</v>
      </c>
      <c r="H983" s="34">
        <v>11.99</v>
      </c>
      <c r="I983">
        <v>0</v>
      </c>
      <c r="J983" s="35">
        <v>0</v>
      </c>
      <c r="K983" s="35">
        <v>0</v>
      </c>
      <c r="L983" s="35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7</v>
      </c>
      <c r="AK983">
        <v>3</v>
      </c>
      <c r="AL983">
        <v>3</v>
      </c>
      <c r="AM983">
        <v>2</v>
      </c>
      <c r="AN983" s="23">
        <v>0.142857142857143</v>
      </c>
      <c r="AO983" s="23">
        <v>0</v>
      </c>
      <c r="AP983" s="23">
        <v>0</v>
      </c>
      <c r="AQ983" s="23">
        <v>0.5</v>
      </c>
      <c r="AR983" s="37">
        <v>0.142857142857143</v>
      </c>
      <c r="AS983" s="37">
        <v>8.57142857142857</v>
      </c>
      <c r="AT983" s="37">
        <v>-8.57142857142857</v>
      </c>
      <c r="AU983" s="33">
        <f t="shared" si="18"/>
        <v>0</v>
      </c>
      <c r="AV983" s="38">
        <f>IFERROR(时间!$B$4+AU983,"上周无销量")</f>
        <v>43290</v>
      </c>
    </row>
    <row r="984" spans="1:48">
      <c r="A984" s="21" t="s">
        <v>2154</v>
      </c>
      <c r="B984" t="s">
        <v>2155</v>
      </c>
      <c r="C984" t="s">
        <v>2151</v>
      </c>
      <c r="D984" s="33">
        <v>1</v>
      </c>
      <c r="E984" s="33">
        <v>0</v>
      </c>
      <c r="F984" s="33">
        <v>0</v>
      </c>
      <c r="G984" s="33">
        <v>0</v>
      </c>
      <c r="H984" s="34">
        <v>15.99</v>
      </c>
      <c r="I984">
        <v>0</v>
      </c>
      <c r="J984" s="35">
        <v>0</v>
      </c>
      <c r="K984" s="35">
        <v>0</v>
      </c>
      <c r="L984" s="35">
        <v>0</v>
      </c>
      <c r="M984">
        <v>0</v>
      </c>
      <c r="N984">
        <v>1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0</v>
      </c>
      <c r="AK984">
        <v>0</v>
      </c>
      <c r="AL984">
        <v>0</v>
      </c>
      <c r="AM984">
        <v>0</v>
      </c>
      <c r="AN984" s="23" t="s">
        <v>54</v>
      </c>
      <c r="AO984" s="23" t="s">
        <v>54</v>
      </c>
      <c r="AP984" s="23" t="s">
        <v>54</v>
      </c>
      <c r="AQ984" s="23" t="s">
        <v>54</v>
      </c>
      <c r="AR984" s="37">
        <v>0.142857142857143</v>
      </c>
      <c r="AS984" s="37">
        <v>8.57142857142857</v>
      </c>
      <c r="AT984" s="37">
        <v>-8.57142857142857</v>
      </c>
      <c r="AU984" s="33">
        <f t="shared" si="18"/>
        <v>0</v>
      </c>
      <c r="AV984" s="38">
        <f>IFERROR(时间!$B$4+AU984,"上周无销量")</f>
        <v>43290</v>
      </c>
    </row>
    <row r="985" spans="1:48">
      <c r="A985" s="21" t="s">
        <v>2156</v>
      </c>
      <c r="B985" t="s">
        <v>2157</v>
      </c>
      <c r="C985" t="s">
        <v>2151</v>
      </c>
      <c r="D985" s="33">
        <v>0</v>
      </c>
      <c r="E985" s="33">
        <v>0</v>
      </c>
      <c r="F985" s="33">
        <v>0</v>
      </c>
      <c r="G985" s="33">
        <v>0</v>
      </c>
      <c r="H985" s="34">
        <v>0</v>
      </c>
      <c r="I985">
        <v>0</v>
      </c>
      <c r="J985" s="35">
        <v>0</v>
      </c>
      <c r="K985" s="35">
        <v>0</v>
      </c>
      <c r="L985" s="35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0</v>
      </c>
      <c r="AK985">
        <v>0</v>
      </c>
      <c r="AL985">
        <v>0</v>
      </c>
      <c r="AM985">
        <v>0</v>
      </c>
      <c r="AN985" s="23" t="s">
        <v>54</v>
      </c>
      <c r="AO985" s="23" t="s">
        <v>54</v>
      </c>
      <c r="AP985" s="23" t="s">
        <v>54</v>
      </c>
      <c r="AQ985" s="23" t="s">
        <v>54</v>
      </c>
      <c r="AR985" s="37">
        <v>0</v>
      </c>
      <c r="AS985" s="37">
        <v>0</v>
      </c>
      <c r="AT985" s="37">
        <v>0</v>
      </c>
      <c r="AU985" s="33" t="str">
        <f t="shared" si="18"/>
        <v>库存为0</v>
      </c>
      <c r="AV985" s="38" t="str">
        <f>IFERROR(时间!$B$4+AU985,"上周无销量")</f>
        <v>上周无销量</v>
      </c>
    </row>
    <row r="986" spans="1:48">
      <c r="A986" s="21" t="s">
        <v>2158</v>
      </c>
      <c r="B986" t="s">
        <v>2159</v>
      </c>
      <c r="C986" t="s">
        <v>2160</v>
      </c>
      <c r="D986" s="33">
        <v>0</v>
      </c>
      <c r="E986" s="33">
        <v>0</v>
      </c>
      <c r="F986" s="33">
        <v>0</v>
      </c>
      <c r="G986" s="33">
        <v>0</v>
      </c>
      <c r="H986" s="34">
        <v>0</v>
      </c>
      <c r="I986">
        <v>8</v>
      </c>
      <c r="J986" s="35">
        <v>0</v>
      </c>
      <c r="K986" s="35">
        <v>0</v>
      </c>
      <c r="L986" s="35">
        <v>0</v>
      </c>
      <c r="M986">
        <v>8</v>
      </c>
      <c r="N986">
        <v>0</v>
      </c>
      <c r="O986">
        <v>8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1</v>
      </c>
      <c r="AK986">
        <v>0</v>
      </c>
      <c r="AL986">
        <v>0</v>
      </c>
      <c r="AM986">
        <v>1</v>
      </c>
      <c r="AN986" s="23">
        <v>0</v>
      </c>
      <c r="AO986" s="23" t="s">
        <v>54</v>
      </c>
      <c r="AP986" s="23" t="s">
        <v>54</v>
      </c>
      <c r="AQ986" s="23">
        <v>0</v>
      </c>
      <c r="AR986" s="37">
        <v>0</v>
      </c>
      <c r="AS986" s="37">
        <v>0</v>
      </c>
      <c r="AT986" s="37">
        <v>8</v>
      </c>
      <c r="AU986" s="33" t="str">
        <f t="shared" si="18"/>
        <v>库存为8</v>
      </c>
      <c r="AV986" s="38" t="str">
        <f>IFERROR(时间!$B$4+AU986,"上周无销量")</f>
        <v>上周无销量</v>
      </c>
    </row>
    <row r="987" spans="1:48">
      <c r="A987" s="21" t="s">
        <v>2161</v>
      </c>
      <c r="B987" t="s">
        <v>2162</v>
      </c>
      <c r="C987" t="s">
        <v>2163</v>
      </c>
      <c r="D987" s="33">
        <v>4</v>
      </c>
      <c r="E987" s="33">
        <v>3</v>
      </c>
      <c r="F987" s="33">
        <v>1</v>
      </c>
      <c r="G987" s="33">
        <v>0</v>
      </c>
      <c r="H987" s="34">
        <v>19.99</v>
      </c>
      <c r="I987">
        <v>8</v>
      </c>
      <c r="J987" s="35">
        <v>0</v>
      </c>
      <c r="K987" s="35">
        <v>0</v>
      </c>
      <c r="L987" s="35">
        <v>0</v>
      </c>
      <c r="M987">
        <v>8</v>
      </c>
      <c r="N987">
        <v>1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15</v>
      </c>
      <c r="AK987">
        <v>10</v>
      </c>
      <c r="AL987">
        <v>10</v>
      </c>
      <c r="AM987">
        <v>0</v>
      </c>
      <c r="AN987" s="23">
        <v>0.266666666666667</v>
      </c>
      <c r="AO987" s="23">
        <v>0.3</v>
      </c>
      <c r="AP987" s="23">
        <v>0.1</v>
      </c>
      <c r="AQ987" s="23" t="s">
        <v>54</v>
      </c>
      <c r="AR987" s="37">
        <v>0.571428571428571</v>
      </c>
      <c r="AS987" s="37">
        <v>34.2857142857143</v>
      </c>
      <c r="AT987" s="37">
        <v>-26.2857142857143</v>
      </c>
      <c r="AU987" s="33">
        <f t="shared" si="18"/>
        <v>14</v>
      </c>
      <c r="AV987" s="38">
        <f>IFERROR(时间!$B$4+AU987,"上周无销量")</f>
        <v>43304</v>
      </c>
    </row>
    <row r="988" spans="1:48">
      <c r="A988" s="21" t="s">
        <v>2164</v>
      </c>
      <c r="B988" t="s">
        <v>2165</v>
      </c>
      <c r="C988" t="s">
        <v>2163</v>
      </c>
      <c r="D988" s="33">
        <v>0</v>
      </c>
      <c r="E988" s="33">
        <v>0</v>
      </c>
      <c r="F988" s="33">
        <v>0</v>
      </c>
      <c r="G988" s="33">
        <v>1</v>
      </c>
      <c r="H988" s="34">
        <v>19.99</v>
      </c>
      <c r="I988">
        <v>8</v>
      </c>
      <c r="J988" s="35">
        <v>0</v>
      </c>
      <c r="K988" s="35">
        <v>0</v>
      </c>
      <c r="L988" s="35">
        <v>0</v>
      </c>
      <c r="M988">
        <v>8</v>
      </c>
      <c r="N988">
        <v>2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15</v>
      </c>
      <c r="AK988">
        <v>33</v>
      </c>
      <c r="AL988">
        <v>33</v>
      </c>
      <c r="AM988">
        <v>46</v>
      </c>
      <c r="AN988" s="23">
        <v>0</v>
      </c>
      <c r="AO988" s="23">
        <v>0</v>
      </c>
      <c r="AP988" s="23">
        <v>0</v>
      </c>
      <c r="AQ988" s="23">
        <v>0.0217391304347826</v>
      </c>
      <c r="AR988" s="37">
        <v>0</v>
      </c>
      <c r="AS988" s="37">
        <v>0</v>
      </c>
      <c r="AT988" s="37">
        <v>8</v>
      </c>
      <c r="AU988" s="33" t="str">
        <f t="shared" si="18"/>
        <v>库存为8</v>
      </c>
      <c r="AV988" s="38" t="str">
        <f>IFERROR(时间!$B$4+AU988,"上周无销量")</f>
        <v>上周无销量</v>
      </c>
    </row>
    <row r="989" spans="1:48">
      <c r="A989" s="21" t="s">
        <v>2166</v>
      </c>
      <c r="B989" t="s">
        <v>2167</v>
      </c>
      <c r="C989" t="s">
        <v>2163</v>
      </c>
      <c r="D989" s="33">
        <v>0</v>
      </c>
      <c r="E989" s="33">
        <v>3</v>
      </c>
      <c r="F989" s="33">
        <v>1</v>
      </c>
      <c r="G989" s="33">
        <v>0</v>
      </c>
      <c r="H989" s="34">
        <v>19.99</v>
      </c>
      <c r="I989">
        <v>0</v>
      </c>
      <c r="J989" s="35">
        <v>0</v>
      </c>
      <c r="K989" s="35">
        <v>0</v>
      </c>
      <c r="L989" s="35">
        <v>0</v>
      </c>
      <c r="M989">
        <v>0</v>
      </c>
      <c r="N989">
        <v>3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0</v>
      </c>
      <c r="AK989">
        <v>4</v>
      </c>
      <c r="AL989">
        <v>4</v>
      </c>
      <c r="AM989">
        <v>0</v>
      </c>
      <c r="AN989" s="23" t="s">
        <v>54</v>
      </c>
      <c r="AO989" s="23">
        <v>0.75</v>
      </c>
      <c r="AP989" s="23">
        <v>0.25</v>
      </c>
      <c r="AQ989" s="23" t="s">
        <v>54</v>
      </c>
      <c r="AR989" s="37">
        <v>0</v>
      </c>
      <c r="AS989" s="37">
        <v>0</v>
      </c>
      <c r="AT989" s="37">
        <v>0</v>
      </c>
      <c r="AU989" s="33" t="str">
        <f t="shared" si="18"/>
        <v>库存为0</v>
      </c>
      <c r="AV989" s="38" t="str">
        <f>IFERROR(时间!$B$4+AU989,"上周无销量")</f>
        <v>上周无销量</v>
      </c>
    </row>
    <row r="990" spans="1:48">
      <c r="A990" s="21" t="s">
        <v>2168</v>
      </c>
      <c r="B990" t="s">
        <v>2169</v>
      </c>
      <c r="C990" t="s">
        <v>2163</v>
      </c>
      <c r="D990" s="33">
        <v>4</v>
      </c>
      <c r="E990" s="33">
        <v>6</v>
      </c>
      <c r="F990" s="33">
        <v>1</v>
      </c>
      <c r="G990" s="33">
        <v>2</v>
      </c>
      <c r="H990" s="34">
        <v>19.99</v>
      </c>
      <c r="I990">
        <v>0</v>
      </c>
      <c r="J990" s="35">
        <v>0</v>
      </c>
      <c r="K990" s="35">
        <v>0</v>
      </c>
      <c r="L990" s="35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2</v>
      </c>
      <c r="AK990">
        <v>17</v>
      </c>
      <c r="AL990">
        <v>17</v>
      </c>
      <c r="AM990">
        <v>29</v>
      </c>
      <c r="AN990" s="23">
        <v>2</v>
      </c>
      <c r="AO990" s="23">
        <v>0.352941176470588</v>
      </c>
      <c r="AP990" s="23">
        <v>0.0588235294117647</v>
      </c>
      <c r="AQ990" s="23">
        <v>0.0689655172413793</v>
      </c>
      <c r="AR990" s="37">
        <v>0.571428571428571</v>
      </c>
      <c r="AS990" s="37">
        <v>34.2857142857143</v>
      </c>
      <c r="AT990" s="37">
        <v>-34.2857142857143</v>
      </c>
      <c r="AU990" s="33">
        <f t="shared" si="18"/>
        <v>0</v>
      </c>
      <c r="AV990" s="38">
        <f>IFERROR(时间!$B$4+AU990,"上周无销量")</f>
        <v>43290</v>
      </c>
    </row>
    <row r="991" spans="1:48">
      <c r="A991" s="21" t="s">
        <v>2170</v>
      </c>
      <c r="B991" t="s">
        <v>2171</v>
      </c>
      <c r="C991" t="s">
        <v>2163</v>
      </c>
      <c r="D991" s="33">
        <v>4</v>
      </c>
      <c r="E991" s="33">
        <v>2</v>
      </c>
      <c r="F991" s="33">
        <v>0</v>
      </c>
      <c r="G991" s="33">
        <v>1</v>
      </c>
      <c r="H991" s="34">
        <v>19.99</v>
      </c>
      <c r="I991">
        <v>4</v>
      </c>
      <c r="J991" s="35">
        <v>0</v>
      </c>
      <c r="K991" s="35">
        <v>0</v>
      </c>
      <c r="L991" s="35">
        <v>1</v>
      </c>
      <c r="M991">
        <v>5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64</v>
      </c>
      <c r="AK991">
        <v>0</v>
      </c>
      <c r="AL991">
        <v>0</v>
      </c>
      <c r="AM991">
        <v>1</v>
      </c>
      <c r="AN991" s="23">
        <v>0.0625</v>
      </c>
      <c r="AO991" s="23" t="s">
        <v>54</v>
      </c>
      <c r="AP991" s="23" t="s">
        <v>54</v>
      </c>
      <c r="AQ991" s="23">
        <v>1</v>
      </c>
      <c r="AR991" s="37">
        <v>0.571428571428571</v>
      </c>
      <c r="AS991" s="37">
        <v>34.2857142857143</v>
      </c>
      <c r="AT991" s="37">
        <v>-29.2857142857143</v>
      </c>
      <c r="AU991" s="33">
        <f t="shared" si="18"/>
        <v>8</v>
      </c>
      <c r="AV991" s="38">
        <f>IFERROR(时间!$B$4+AU991,"上周无销量")</f>
        <v>43298</v>
      </c>
    </row>
    <row r="992" spans="1:48">
      <c r="A992" s="21" t="s">
        <v>2172</v>
      </c>
      <c r="B992" t="s">
        <v>2173</v>
      </c>
      <c r="C992" t="s">
        <v>2163</v>
      </c>
      <c r="D992" s="33">
        <v>0</v>
      </c>
      <c r="E992" s="33">
        <v>4</v>
      </c>
      <c r="F992" s="33">
        <v>0</v>
      </c>
      <c r="G992" s="33">
        <v>0</v>
      </c>
      <c r="H992" s="34">
        <v>19.99</v>
      </c>
      <c r="I992">
        <v>0</v>
      </c>
      <c r="J992" s="35">
        <v>0</v>
      </c>
      <c r="K992" s="35">
        <v>0</v>
      </c>
      <c r="L992" s="35">
        <v>0</v>
      </c>
      <c r="M992">
        <v>0</v>
      </c>
      <c r="N992">
        <v>2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0</v>
      </c>
      <c r="AK992">
        <v>0</v>
      </c>
      <c r="AL992">
        <v>0</v>
      </c>
      <c r="AM992">
        <v>0</v>
      </c>
      <c r="AN992" s="23" t="s">
        <v>54</v>
      </c>
      <c r="AO992" s="23" t="s">
        <v>54</v>
      </c>
      <c r="AP992" s="23" t="s">
        <v>54</v>
      </c>
      <c r="AQ992" s="23" t="s">
        <v>54</v>
      </c>
      <c r="AR992" s="37">
        <v>0</v>
      </c>
      <c r="AS992" s="37">
        <v>0</v>
      </c>
      <c r="AT992" s="37">
        <v>0</v>
      </c>
      <c r="AU992" s="33" t="str">
        <f t="shared" si="18"/>
        <v>库存为0</v>
      </c>
      <c r="AV992" s="38" t="str">
        <f>IFERROR(时间!$B$4+AU992,"上周无销量")</f>
        <v>上周无销量</v>
      </c>
    </row>
    <row r="993" spans="1:48">
      <c r="A993" s="21" t="s">
        <v>2174</v>
      </c>
      <c r="B993" t="s">
        <v>2175</v>
      </c>
      <c r="C993" t="s">
        <v>2163</v>
      </c>
      <c r="D993" s="33">
        <v>7</v>
      </c>
      <c r="E993" s="33">
        <v>8</v>
      </c>
      <c r="F993" s="33">
        <v>16</v>
      </c>
      <c r="G993" s="33">
        <v>19</v>
      </c>
      <c r="H993" s="34">
        <v>21.99</v>
      </c>
      <c r="I993">
        <v>17</v>
      </c>
      <c r="J993" s="35">
        <v>0</v>
      </c>
      <c r="K993" s="35">
        <v>0</v>
      </c>
      <c r="L993" s="35">
        <v>0</v>
      </c>
      <c r="M993">
        <v>17</v>
      </c>
      <c r="N993">
        <v>15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45</v>
      </c>
      <c r="AK993">
        <v>40</v>
      </c>
      <c r="AL993">
        <v>40</v>
      </c>
      <c r="AM993">
        <v>71</v>
      </c>
      <c r="AN993" s="23">
        <v>0.155555555555556</v>
      </c>
      <c r="AO993" s="23">
        <v>0.2</v>
      </c>
      <c r="AP993" s="23">
        <v>0.4</v>
      </c>
      <c r="AQ993" s="23">
        <v>0.267605633802817</v>
      </c>
      <c r="AR993" s="37">
        <v>1</v>
      </c>
      <c r="AS993" s="37">
        <v>60</v>
      </c>
      <c r="AT993" s="37">
        <v>-43</v>
      </c>
      <c r="AU993" s="33">
        <f t="shared" si="18"/>
        <v>17</v>
      </c>
      <c r="AV993" s="38">
        <f>IFERROR(时间!$B$4+AU993,"上周无销量")</f>
        <v>43307</v>
      </c>
    </row>
    <row r="994" spans="1:48">
      <c r="A994" s="21" t="s">
        <v>2176</v>
      </c>
      <c r="B994" t="s">
        <v>2177</v>
      </c>
      <c r="C994" t="s">
        <v>2163</v>
      </c>
      <c r="D994" s="33">
        <v>3</v>
      </c>
      <c r="E994" s="33">
        <v>1</v>
      </c>
      <c r="F994" s="33">
        <v>2</v>
      </c>
      <c r="G994" s="33">
        <v>5</v>
      </c>
      <c r="H994" s="34">
        <v>21.99</v>
      </c>
      <c r="I994">
        <v>7</v>
      </c>
      <c r="J994" s="35">
        <v>0</v>
      </c>
      <c r="K994" s="35">
        <v>0</v>
      </c>
      <c r="L994" s="35">
        <v>0</v>
      </c>
      <c r="M994">
        <v>7</v>
      </c>
      <c r="N994">
        <v>2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10</v>
      </c>
      <c r="AK994">
        <v>23</v>
      </c>
      <c r="AL994">
        <v>23</v>
      </c>
      <c r="AM994">
        <v>21</v>
      </c>
      <c r="AN994" s="23">
        <v>0.3</v>
      </c>
      <c r="AO994" s="23">
        <v>0.0434782608695652</v>
      </c>
      <c r="AP994" s="23">
        <v>0.0869565217391304</v>
      </c>
      <c r="AQ994" s="23">
        <v>0.238095238095238</v>
      </c>
      <c r="AR994" s="37">
        <v>0.428571428571429</v>
      </c>
      <c r="AS994" s="37">
        <v>25.7142857142857</v>
      </c>
      <c r="AT994" s="37">
        <v>-18.7142857142857</v>
      </c>
      <c r="AU994" s="33">
        <f t="shared" si="18"/>
        <v>16</v>
      </c>
      <c r="AV994" s="38">
        <f>IFERROR(时间!$B$4+AU994,"上周无销量")</f>
        <v>43306</v>
      </c>
    </row>
    <row r="995" spans="1:48">
      <c r="A995" s="21" t="s">
        <v>2178</v>
      </c>
      <c r="B995" t="s">
        <v>2179</v>
      </c>
      <c r="C995" t="s">
        <v>2163</v>
      </c>
      <c r="D995" s="33">
        <v>4</v>
      </c>
      <c r="E995" s="33">
        <v>5</v>
      </c>
      <c r="F995" s="33">
        <v>8</v>
      </c>
      <c r="G995" s="33">
        <v>20</v>
      </c>
      <c r="H995" s="34">
        <v>21.99</v>
      </c>
      <c r="I995">
        <v>0</v>
      </c>
      <c r="J995" s="35">
        <v>0</v>
      </c>
      <c r="K995" s="35">
        <v>0</v>
      </c>
      <c r="L995" s="35">
        <v>2</v>
      </c>
      <c r="M995">
        <v>2</v>
      </c>
      <c r="N995">
        <v>18</v>
      </c>
      <c r="O995">
        <v>0</v>
      </c>
      <c r="P995">
        <v>18222</v>
      </c>
      <c r="Q995">
        <v>43380</v>
      </c>
      <c r="R995">
        <v>112649</v>
      </c>
      <c r="S995">
        <v>127229</v>
      </c>
      <c r="T995">
        <v>161</v>
      </c>
      <c r="U995">
        <v>264</v>
      </c>
      <c r="V995">
        <v>573</v>
      </c>
      <c r="W995">
        <v>587</v>
      </c>
      <c r="X995" s="23">
        <v>0.00883547360333663</v>
      </c>
      <c r="Y995" s="23">
        <v>0.00608575380359613</v>
      </c>
      <c r="Z995" s="23">
        <v>0.0050865964189651</v>
      </c>
      <c r="AA995" s="23">
        <v>0.00461372800226363</v>
      </c>
      <c r="AB995">
        <v>35.17</v>
      </c>
      <c r="AC995">
        <v>56.02</v>
      </c>
      <c r="AD995">
        <v>122.59</v>
      </c>
      <c r="AE995">
        <v>127.25</v>
      </c>
      <c r="AF995" s="23">
        <v>0.399840836743975</v>
      </c>
      <c r="AG995" s="23">
        <v>0.509504320145521</v>
      </c>
      <c r="AH995" s="23">
        <v>0.696850841291496</v>
      </c>
      <c r="AI995" s="23">
        <v>0.289336061846294</v>
      </c>
      <c r="AJ995">
        <v>32</v>
      </c>
      <c r="AK995">
        <v>161</v>
      </c>
      <c r="AL995">
        <v>161</v>
      </c>
      <c r="AM995">
        <v>259</v>
      </c>
      <c r="AN995" s="23">
        <v>0.125</v>
      </c>
      <c r="AO995" s="23">
        <v>0.031055900621118</v>
      </c>
      <c r="AP995" s="23">
        <v>0.0496894409937888</v>
      </c>
      <c r="AQ995" s="23">
        <v>0.0772200772200772</v>
      </c>
      <c r="AR995" s="37">
        <v>0.571428571428571</v>
      </c>
      <c r="AS995" s="37">
        <v>34.2857142857143</v>
      </c>
      <c r="AT995" s="37">
        <v>-32.2857142857143</v>
      </c>
      <c r="AU995" s="33">
        <f t="shared" si="18"/>
        <v>3</v>
      </c>
      <c r="AV995" s="38">
        <f>IFERROR(时间!$B$4+AU995,"上周无销量")</f>
        <v>43293</v>
      </c>
    </row>
    <row r="996" spans="1:48">
      <c r="A996" s="21" t="s">
        <v>2180</v>
      </c>
      <c r="B996" t="s">
        <v>2181</v>
      </c>
      <c r="C996" t="s">
        <v>2163</v>
      </c>
      <c r="D996" s="33">
        <v>11</v>
      </c>
      <c r="E996" s="33">
        <v>20</v>
      </c>
      <c r="F996" s="33">
        <v>19</v>
      </c>
      <c r="G996" s="33">
        <v>26</v>
      </c>
      <c r="H996" s="34">
        <v>19.99</v>
      </c>
      <c r="I996">
        <v>1</v>
      </c>
      <c r="J996" s="35">
        <v>0</v>
      </c>
      <c r="K996" s="35">
        <v>0</v>
      </c>
      <c r="L996" s="35">
        <v>3</v>
      </c>
      <c r="M996">
        <v>4</v>
      </c>
      <c r="N996">
        <v>21</v>
      </c>
      <c r="O996">
        <v>0</v>
      </c>
      <c r="P996">
        <v>3928</v>
      </c>
      <c r="Q996">
        <v>13686</v>
      </c>
      <c r="R996">
        <v>32452</v>
      </c>
      <c r="S996">
        <v>39837</v>
      </c>
      <c r="T996">
        <v>92</v>
      </c>
      <c r="U996">
        <v>68</v>
      </c>
      <c r="V996">
        <v>158</v>
      </c>
      <c r="W996">
        <v>151</v>
      </c>
      <c r="X996" s="23">
        <v>0.0234215885947047</v>
      </c>
      <c r="Y996" s="23">
        <v>0.00496858103171124</v>
      </c>
      <c r="Z996" s="23">
        <v>0.0048687292000493</v>
      </c>
      <c r="AA996" s="23">
        <v>0.00379044606772598</v>
      </c>
      <c r="AB996">
        <v>23.45</v>
      </c>
      <c r="AC996">
        <v>15.47</v>
      </c>
      <c r="AD996">
        <v>39.73</v>
      </c>
      <c r="AE996">
        <v>34.96</v>
      </c>
      <c r="AF996" s="23">
        <v>0.106644231206512</v>
      </c>
      <c r="AG996" s="23">
        <v>0.0386943471735868</v>
      </c>
      <c r="AH996" s="23">
        <v>0.10460493404597</v>
      </c>
      <c r="AI996" s="23">
        <v>0.067264401431485</v>
      </c>
      <c r="AJ996">
        <v>200</v>
      </c>
      <c r="AK996">
        <v>154</v>
      </c>
      <c r="AL996">
        <v>154</v>
      </c>
      <c r="AM996">
        <v>144</v>
      </c>
      <c r="AN996" s="23">
        <v>0.055</v>
      </c>
      <c r="AO996" s="23">
        <v>0.12987012987013</v>
      </c>
      <c r="AP996" s="23">
        <v>0.123376623376623</v>
      </c>
      <c r="AQ996" s="23">
        <v>0.180555555555556</v>
      </c>
      <c r="AR996" s="37">
        <v>1.57142857142857</v>
      </c>
      <c r="AS996" s="37">
        <v>94.2857142857143</v>
      </c>
      <c r="AT996" s="37">
        <v>-90.2857142857143</v>
      </c>
      <c r="AU996" s="33">
        <f t="shared" si="18"/>
        <v>2</v>
      </c>
      <c r="AV996" s="38">
        <f>IFERROR(时间!$B$4+AU996,"上周无销量")</f>
        <v>43292</v>
      </c>
    </row>
    <row r="997" spans="1:48">
      <c r="A997" s="21" t="s">
        <v>2182</v>
      </c>
      <c r="B997" t="s">
        <v>2183</v>
      </c>
      <c r="C997" t="s">
        <v>2163</v>
      </c>
      <c r="D997" s="33">
        <v>1</v>
      </c>
      <c r="E997" s="33">
        <v>0</v>
      </c>
      <c r="F997" s="33">
        <v>2</v>
      </c>
      <c r="G997" s="33">
        <v>4</v>
      </c>
      <c r="H997" s="34">
        <v>19.99</v>
      </c>
      <c r="I997">
        <v>0</v>
      </c>
      <c r="J997" s="35">
        <v>0</v>
      </c>
      <c r="K997" s="35">
        <v>0</v>
      </c>
      <c r="L997" s="35">
        <v>0</v>
      </c>
      <c r="M997">
        <v>0</v>
      </c>
      <c r="N997">
        <v>5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24</v>
      </c>
      <c r="AK997">
        <v>2</v>
      </c>
      <c r="AL997">
        <v>2</v>
      </c>
      <c r="AM997">
        <v>60</v>
      </c>
      <c r="AN997" s="23">
        <v>0.0416666666666667</v>
      </c>
      <c r="AO997" s="23">
        <v>0</v>
      </c>
      <c r="AP997" s="23">
        <v>1</v>
      </c>
      <c r="AQ997" s="23">
        <v>0.0666666666666667</v>
      </c>
      <c r="AR997" s="37">
        <v>0.142857142857143</v>
      </c>
      <c r="AS997" s="37">
        <v>8.57142857142857</v>
      </c>
      <c r="AT997" s="37">
        <v>-8.57142857142857</v>
      </c>
      <c r="AU997" s="33">
        <f t="shared" si="18"/>
        <v>0</v>
      </c>
      <c r="AV997" s="38">
        <f>IFERROR(时间!$B$4+AU997,"上周无销量")</f>
        <v>43290</v>
      </c>
    </row>
    <row r="998" spans="1:48">
      <c r="A998" s="21" t="s">
        <v>2184</v>
      </c>
      <c r="B998" t="s">
        <v>2185</v>
      </c>
      <c r="C998" t="s">
        <v>2163</v>
      </c>
      <c r="D998" s="33">
        <v>3</v>
      </c>
      <c r="E998" s="33">
        <v>4</v>
      </c>
      <c r="F998" s="33">
        <v>2</v>
      </c>
      <c r="G998" s="33">
        <v>8</v>
      </c>
      <c r="H998" s="34">
        <v>21.99</v>
      </c>
      <c r="I998">
        <v>0</v>
      </c>
      <c r="J998" s="35">
        <v>0</v>
      </c>
      <c r="K998" s="35">
        <v>0</v>
      </c>
      <c r="L998" s="35">
        <v>0</v>
      </c>
      <c r="M998">
        <v>0</v>
      </c>
      <c r="N998">
        <v>14</v>
      </c>
      <c r="O998">
        <v>0</v>
      </c>
      <c r="P998">
        <v>9126</v>
      </c>
      <c r="Q998">
        <v>9027</v>
      </c>
      <c r="R998">
        <v>5345</v>
      </c>
      <c r="S998">
        <v>14228</v>
      </c>
      <c r="T998">
        <v>79</v>
      </c>
      <c r="U998">
        <v>76</v>
      </c>
      <c r="V998">
        <v>37</v>
      </c>
      <c r="W998">
        <v>86</v>
      </c>
      <c r="X998" s="23">
        <v>0.0086565855796625</v>
      </c>
      <c r="Y998" s="23">
        <v>0.00841918688379307</v>
      </c>
      <c r="Z998" s="23">
        <v>0.00692235734331151</v>
      </c>
      <c r="AA998" s="23">
        <v>0.00604441945459657</v>
      </c>
      <c r="AB998">
        <v>18.24</v>
      </c>
      <c r="AC998">
        <v>18.23</v>
      </c>
      <c r="AD998">
        <v>9.26</v>
      </c>
      <c r="AE998">
        <v>21.11</v>
      </c>
      <c r="AF998" s="23">
        <v>0.276489313324238</v>
      </c>
      <c r="AG998" s="23">
        <v>0.207253296953161</v>
      </c>
      <c r="AH998" s="23">
        <v>0.210550250113688</v>
      </c>
      <c r="AI998" s="23">
        <v>0.1199977262392</v>
      </c>
      <c r="AJ998">
        <v>5</v>
      </c>
      <c r="AK998">
        <v>27</v>
      </c>
      <c r="AL998">
        <v>27</v>
      </c>
      <c r="AM998">
        <v>24</v>
      </c>
      <c r="AN998" s="23">
        <v>0.6</v>
      </c>
      <c r="AO998" s="23">
        <v>0.148148148148148</v>
      </c>
      <c r="AP998" s="23">
        <v>0.0740740740740741</v>
      </c>
      <c r="AQ998" s="23">
        <v>0.333333333333333</v>
      </c>
      <c r="AR998" s="37">
        <v>0.428571428571429</v>
      </c>
      <c r="AS998" s="37">
        <v>25.7142857142857</v>
      </c>
      <c r="AT998" s="37">
        <v>-25.7142857142857</v>
      </c>
      <c r="AU998" s="33">
        <f t="shared" si="18"/>
        <v>0</v>
      </c>
      <c r="AV998" s="38">
        <f>IFERROR(时间!$B$4+AU998,"上周无销量")</f>
        <v>43290</v>
      </c>
    </row>
    <row r="999" spans="1:48">
      <c r="A999" s="21" t="s">
        <v>2186</v>
      </c>
      <c r="B999" t="s">
        <v>2187</v>
      </c>
      <c r="C999" t="s">
        <v>2163</v>
      </c>
      <c r="D999" s="33">
        <v>4</v>
      </c>
      <c r="E999" s="33">
        <v>3</v>
      </c>
      <c r="F999" s="33">
        <v>0</v>
      </c>
      <c r="G999" s="33">
        <v>0</v>
      </c>
      <c r="H999" s="34">
        <v>19.99</v>
      </c>
      <c r="I999">
        <v>0</v>
      </c>
      <c r="J999" s="35">
        <v>0</v>
      </c>
      <c r="K999" s="35">
        <v>0</v>
      </c>
      <c r="L999" s="35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15</v>
      </c>
      <c r="AK999">
        <v>0</v>
      </c>
      <c r="AL999">
        <v>0</v>
      </c>
      <c r="AM999">
        <v>0</v>
      </c>
      <c r="AN999" s="23">
        <v>0.266666666666667</v>
      </c>
      <c r="AO999" s="23" t="s">
        <v>54</v>
      </c>
      <c r="AP999" s="23" t="s">
        <v>54</v>
      </c>
      <c r="AQ999" s="23" t="s">
        <v>54</v>
      </c>
      <c r="AR999" s="37">
        <v>0.571428571428571</v>
      </c>
      <c r="AS999" s="37">
        <v>34.2857142857143</v>
      </c>
      <c r="AT999" s="37">
        <v>-34.2857142857143</v>
      </c>
      <c r="AU999" s="33">
        <f t="shared" si="18"/>
        <v>0</v>
      </c>
      <c r="AV999" s="38">
        <f>IFERROR(时间!$B$4+AU999,"上周无销量")</f>
        <v>43290</v>
      </c>
    </row>
    <row r="1000" spans="1:48">
      <c r="A1000" s="21" t="s">
        <v>2188</v>
      </c>
      <c r="B1000" t="s">
        <v>2189</v>
      </c>
      <c r="C1000" t="s">
        <v>2163</v>
      </c>
      <c r="D1000" s="33">
        <v>4</v>
      </c>
      <c r="E1000" s="33">
        <v>1</v>
      </c>
      <c r="F1000" s="33">
        <v>1</v>
      </c>
      <c r="G1000" s="33">
        <v>5</v>
      </c>
      <c r="H1000" s="34">
        <v>19.99</v>
      </c>
      <c r="I1000">
        <v>0</v>
      </c>
      <c r="J1000" s="35">
        <v>0</v>
      </c>
      <c r="K1000" s="35">
        <v>0</v>
      </c>
      <c r="L1000" s="35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13</v>
      </c>
      <c r="AK1000">
        <v>11</v>
      </c>
      <c r="AL1000">
        <v>11</v>
      </c>
      <c r="AM1000">
        <v>12</v>
      </c>
      <c r="AN1000" s="23">
        <v>0.307692307692308</v>
      </c>
      <c r="AO1000" s="23">
        <v>0.0909090909090909</v>
      </c>
      <c r="AP1000" s="23">
        <v>0.0909090909090909</v>
      </c>
      <c r="AQ1000" s="23">
        <v>0.416666666666667</v>
      </c>
      <c r="AR1000" s="37">
        <v>0.571428571428571</v>
      </c>
      <c r="AS1000" s="37">
        <v>34.2857142857143</v>
      </c>
      <c r="AT1000" s="37">
        <v>-34.2857142857143</v>
      </c>
      <c r="AU1000" s="33">
        <f t="shared" si="18"/>
        <v>0</v>
      </c>
      <c r="AV1000" s="38">
        <f>IFERROR(时间!$B$4+AU1000,"上周无销量")</f>
        <v>43290</v>
      </c>
    </row>
    <row r="1001" spans="1:48">
      <c r="A1001" s="21" t="s">
        <v>2190</v>
      </c>
      <c r="B1001" t="s">
        <v>2191</v>
      </c>
      <c r="C1001" t="s">
        <v>2163</v>
      </c>
      <c r="D1001" s="33">
        <v>8</v>
      </c>
      <c r="E1001" s="33">
        <v>2</v>
      </c>
      <c r="F1001" s="33">
        <v>0</v>
      </c>
      <c r="G1001" s="33">
        <v>0</v>
      </c>
      <c r="H1001" s="34">
        <v>19.99</v>
      </c>
      <c r="I1001">
        <v>0</v>
      </c>
      <c r="J1001" s="35">
        <v>0</v>
      </c>
      <c r="K1001" s="35">
        <v>0</v>
      </c>
      <c r="L1001" s="35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38</v>
      </c>
      <c r="AK1001">
        <v>0</v>
      </c>
      <c r="AL1001">
        <v>0</v>
      </c>
      <c r="AM1001">
        <v>0</v>
      </c>
      <c r="AN1001" s="23">
        <v>0.210526315789474</v>
      </c>
      <c r="AO1001" s="23" t="s">
        <v>54</v>
      </c>
      <c r="AP1001" s="23" t="s">
        <v>54</v>
      </c>
      <c r="AQ1001" s="23" t="s">
        <v>54</v>
      </c>
      <c r="AR1001" s="37">
        <v>1.14285714285714</v>
      </c>
      <c r="AS1001" s="37">
        <v>68.5714285714286</v>
      </c>
      <c r="AT1001" s="37">
        <v>-68.5714285714286</v>
      </c>
      <c r="AU1001" s="33">
        <f t="shared" si="18"/>
        <v>0</v>
      </c>
      <c r="AV1001" s="38">
        <f>IFERROR(时间!$B$4+AU1001,"上周无销量")</f>
        <v>43290</v>
      </c>
    </row>
    <row r="1002" spans="1:48">
      <c r="A1002" s="21" t="s">
        <v>2192</v>
      </c>
      <c r="B1002" t="s">
        <v>2193</v>
      </c>
      <c r="C1002" t="s">
        <v>2163</v>
      </c>
      <c r="D1002" s="33">
        <v>1</v>
      </c>
      <c r="E1002" s="33">
        <v>2</v>
      </c>
      <c r="F1002" s="33">
        <v>5</v>
      </c>
      <c r="G1002" s="33">
        <v>0</v>
      </c>
      <c r="H1002" s="34">
        <v>19.99</v>
      </c>
      <c r="I1002">
        <v>0</v>
      </c>
      <c r="J1002" s="35">
        <v>0</v>
      </c>
      <c r="K1002" s="35">
        <v>0</v>
      </c>
      <c r="L1002" s="35">
        <v>0</v>
      </c>
      <c r="M1002">
        <v>0</v>
      </c>
      <c r="N1002">
        <v>1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3</v>
      </c>
      <c r="AK1002">
        <v>28</v>
      </c>
      <c r="AL1002">
        <v>28</v>
      </c>
      <c r="AM1002">
        <v>5</v>
      </c>
      <c r="AN1002" s="23">
        <v>0.333333333333333</v>
      </c>
      <c r="AO1002" s="23">
        <v>0.0714285714285714</v>
      </c>
      <c r="AP1002" s="23">
        <v>0.178571428571429</v>
      </c>
      <c r="AQ1002" s="23">
        <v>0</v>
      </c>
      <c r="AR1002" s="37">
        <v>0.142857142857143</v>
      </c>
      <c r="AS1002" s="37">
        <v>8.57142857142857</v>
      </c>
      <c r="AT1002" s="37">
        <v>-8.57142857142857</v>
      </c>
      <c r="AU1002" s="33">
        <f t="shared" si="18"/>
        <v>0</v>
      </c>
      <c r="AV1002" s="38">
        <f>IFERROR(时间!$B$4+AU1002,"上周无销量")</f>
        <v>43290</v>
      </c>
    </row>
    <row r="1003" spans="1:48">
      <c r="A1003" s="21" t="s">
        <v>2194</v>
      </c>
      <c r="B1003" t="s">
        <v>2195</v>
      </c>
      <c r="C1003" t="s">
        <v>2163</v>
      </c>
      <c r="D1003" s="33">
        <v>2</v>
      </c>
      <c r="E1003" s="33">
        <v>2</v>
      </c>
      <c r="F1003" s="33">
        <v>0</v>
      </c>
      <c r="G1003" s="33">
        <v>4</v>
      </c>
      <c r="H1003" s="34">
        <v>19.99</v>
      </c>
      <c r="I1003">
        <v>1</v>
      </c>
      <c r="J1003" s="35">
        <v>0</v>
      </c>
      <c r="K1003" s="35">
        <v>0</v>
      </c>
      <c r="L1003" s="35">
        <v>0</v>
      </c>
      <c r="M1003">
        <v>1</v>
      </c>
      <c r="N1003">
        <v>1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62</v>
      </c>
      <c r="AK1003">
        <v>37</v>
      </c>
      <c r="AL1003">
        <v>37</v>
      </c>
      <c r="AM1003">
        <v>42</v>
      </c>
      <c r="AN1003" s="23">
        <v>0.032258064516129</v>
      </c>
      <c r="AO1003" s="23">
        <v>0.0540540540540541</v>
      </c>
      <c r="AP1003" s="23">
        <v>0</v>
      </c>
      <c r="AQ1003" s="23">
        <v>0.0952380952380952</v>
      </c>
      <c r="AR1003" s="37">
        <v>0.285714285714286</v>
      </c>
      <c r="AS1003" s="37">
        <v>17.1428571428571</v>
      </c>
      <c r="AT1003" s="37">
        <v>-16.1428571428571</v>
      </c>
      <c r="AU1003" s="33">
        <f t="shared" si="18"/>
        <v>3</v>
      </c>
      <c r="AV1003" s="38">
        <f>IFERROR(时间!$B$4+AU1003,"上周无销量")</f>
        <v>43293</v>
      </c>
    </row>
    <row r="1004" spans="1:48">
      <c r="A1004" s="21" t="s">
        <v>2196</v>
      </c>
      <c r="B1004" t="s">
        <v>2197</v>
      </c>
      <c r="C1004" t="s">
        <v>2163</v>
      </c>
      <c r="D1004" s="33">
        <v>4</v>
      </c>
      <c r="E1004" s="33">
        <v>4</v>
      </c>
      <c r="F1004" s="33">
        <v>0</v>
      </c>
      <c r="G1004" s="33">
        <v>1</v>
      </c>
      <c r="H1004" s="34">
        <v>19.99</v>
      </c>
      <c r="I1004">
        <v>1</v>
      </c>
      <c r="J1004" s="35">
        <v>0</v>
      </c>
      <c r="K1004" s="35">
        <v>0</v>
      </c>
      <c r="L1004" s="35">
        <v>0</v>
      </c>
      <c r="M1004">
        <v>1</v>
      </c>
      <c r="N1004">
        <v>3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21</v>
      </c>
      <c r="AK1004">
        <v>0</v>
      </c>
      <c r="AL1004">
        <v>0</v>
      </c>
      <c r="AM1004">
        <v>0</v>
      </c>
      <c r="AN1004" s="23">
        <v>0.19047619047619</v>
      </c>
      <c r="AO1004" s="23" t="s">
        <v>54</v>
      </c>
      <c r="AP1004" s="23" t="s">
        <v>54</v>
      </c>
      <c r="AQ1004" s="23" t="s">
        <v>54</v>
      </c>
      <c r="AR1004" s="37">
        <v>0.571428571428571</v>
      </c>
      <c r="AS1004" s="37">
        <v>34.2857142857143</v>
      </c>
      <c r="AT1004" s="37">
        <v>-33.2857142857143</v>
      </c>
      <c r="AU1004" s="33">
        <f t="shared" si="18"/>
        <v>1</v>
      </c>
      <c r="AV1004" s="38">
        <f>IFERROR(时间!$B$4+AU1004,"上周无销量")</f>
        <v>43291</v>
      </c>
    </row>
    <row r="1005" spans="1:48">
      <c r="A1005" s="21" t="s">
        <v>2198</v>
      </c>
      <c r="B1005" t="s">
        <v>2199</v>
      </c>
      <c r="C1005" t="s">
        <v>2200</v>
      </c>
      <c r="D1005" s="33">
        <v>0</v>
      </c>
      <c r="E1005" s="33">
        <v>0</v>
      </c>
      <c r="F1005" s="33">
        <v>0</v>
      </c>
      <c r="G1005" s="33">
        <v>0</v>
      </c>
      <c r="H1005" s="34">
        <v>0</v>
      </c>
      <c r="I1005">
        <v>0</v>
      </c>
      <c r="J1005" s="35">
        <v>10</v>
      </c>
      <c r="K1005" s="35">
        <v>0</v>
      </c>
      <c r="L1005" s="35">
        <v>0</v>
      </c>
      <c r="M1005">
        <v>10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18992</v>
      </c>
      <c r="T1005">
        <v>0</v>
      </c>
      <c r="U1005">
        <v>0</v>
      </c>
      <c r="V1005">
        <v>0</v>
      </c>
      <c r="W1005">
        <v>59</v>
      </c>
      <c r="X1005" s="23" t="s">
        <v>54</v>
      </c>
      <c r="Y1005" s="23" t="s">
        <v>54</v>
      </c>
      <c r="Z1005" s="23" t="s">
        <v>54</v>
      </c>
      <c r="AA1005" s="23">
        <v>0.00310657118786858</v>
      </c>
      <c r="AB1005">
        <v>0</v>
      </c>
      <c r="AC1005">
        <v>0</v>
      </c>
      <c r="AD1005">
        <v>0</v>
      </c>
      <c r="AE1005">
        <v>24.19</v>
      </c>
      <c r="AF1005" s="23" t="s">
        <v>54</v>
      </c>
      <c r="AG1005" s="23" t="s">
        <v>54</v>
      </c>
      <c r="AH1005" s="23" t="s">
        <v>54</v>
      </c>
      <c r="AI1005" s="23">
        <v>0</v>
      </c>
      <c r="AJ1005">
        <v>0</v>
      </c>
      <c r="AK1005">
        <v>0</v>
      </c>
      <c r="AL1005">
        <v>0</v>
      </c>
      <c r="AM1005">
        <v>0</v>
      </c>
      <c r="AN1005" s="23" t="s">
        <v>54</v>
      </c>
      <c r="AO1005" s="23" t="s">
        <v>54</v>
      </c>
      <c r="AP1005" s="23" t="s">
        <v>54</v>
      </c>
      <c r="AQ1005" s="23" t="s">
        <v>54</v>
      </c>
      <c r="AR1005" s="37">
        <v>0</v>
      </c>
      <c r="AS1005" s="37">
        <v>0</v>
      </c>
      <c r="AT1005" s="37">
        <v>10</v>
      </c>
      <c r="AU1005" s="33" t="str">
        <f t="shared" si="18"/>
        <v>库存为10</v>
      </c>
      <c r="AV1005" s="38" t="str">
        <f>IFERROR(时间!$B$4+AU1005,"上周无销量")</f>
        <v>上周无销量</v>
      </c>
    </row>
    <row r="1006" spans="1:48">
      <c r="A1006" s="21" t="s">
        <v>2201</v>
      </c>
      <c r="B1006" t="s">
        <v>2202</v>
      </c>
      <c r="C1006" t="s">
        <v>2200</v>
      </c>
      <c r="D1006" s="33">
        <v>2</v>
      </c>
      <c r="E1006" s="33">
        <v>1</v>
      </c>
      <c r="F1006" s="33">
        <v>2</v>
      </c>
      <c r="G1006" s="33">
        <v>0</v>
      </c>
      <c r="H1006" s="34">
        <v>19.99</v>
      </c>
      <c r="I1006">
        <v>6</v>
      </c>
      <c r="J1006" s="35">
        <v>3</v>
      </c>
      <c r="K1006" s="35">
        <v>0</v>
      </c>
      <c r="L1006" s="35">
        <v>0</v>
      </c>
      <c r="M1006">
        <v>9</v>
      </c>
      <c r="N1006">
        <v>2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24</v>
      </c>
      <c r="AK1006">
        <v>4</v>
      </c>
      <c r="AL1006">
        <v>4</v>
      </c>
      <c r="AM1006">
        <v>0</v>
      </c>
      <c r="AN1006" s="23">
        <v>0.0833333333333333</v>
      </c>
      <c r="AO1006" s="23">
        <v>0.25</v>
      </c>
      <c r="AP1006" s="23">
        <v>0.5</v>
      </c>
      <c r="AQ1006" s="23" t="s">
        <v>54</v>
      </c>
      <c r="AR1006" s="37">
        <v>0.285714285714286</v>
      </c>
      <c r="AS1006" s="37">
        <v>17.1428571428571</v>
      </c>
      <c r="AT1006" s="37">
        <v>-8.14285714285714</v>
      </c>
      <c r="AU1006" s="33">
        <f t="shared" si="18"/>
        <v>31</v>
      </c>
      <c r="AV1006" s="38">
        <f>IFERROR(时间!$B$4+AU1006,"上周无销量")</f>
        <v>43321</v>
      </c>
    </row>
    <row r="1007" spans="1:48">
      <c r="A1007" s="21" t="s">
        <v>2203</v>
      </c>
      <c r="B1007" t="s">
        <v>2204</v>
      </c>
      <c r="C1007" t="s">
        <v>2200</v>
      </c>
      <c r="D1007" s="33">
        <v>3</v>
      </c>
      <c r="E1007" s="33">
        <v>0</v>
      </c>
      <c r="F1007" s="33">
        <v>2</v>
      </c>
      <c r="G1007" s="33">
        <v>1</v>
      </c>
      <c r="H1007" s="34">
        <v>19.99</v>
      </c>
      <c r="I1007">
        <v>0</v>
      </c>
      <c r="J1007" s="35">
        <v>3</v>
      </c>
      <c r="K1007" s="35">
        <v>0</v>
      </c>
      <c r="L1007" s="35">
        <v>0</v>
      </c>
      <c r="M1007">
        <v>3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14</v>
      </c>
      <c r="AK1007">
        <v>7</v>
      </c>
      <c r="AL1007">
        <v>7</v>
      </c>
      <c r="AM1007">
        <v>0</v>
      </c>
      <c r="AN1007" s="23">
        <v>0.214285714285714</v>
      </c>
      <c r="AO1007" s="23">
        <v>0</v>
      </c>
      <c r="AP1007" s="23">
        <v>0.285714285714286</v>
      </c>
      <c r="AQ1007" s="23" t="s">
        <v>54</v>
      </c>
      <c r="AR1007" s="37">
        <v>0.428571428571429</v>
      </c>
      <c r="AS1007" s="37">
        <v>25.7142857142857</v>
      </c>
      <c r="AT1007" s="37">
        <v>-22.7142857142857</v>
      </c>
      <c r="AU1007" s="33">
        <f t="shared" si="18"/>
        <v>7</v>
      </c>
      <c r="AV1007" s="38">
        <f>IFERROR(时间!$B$4+AU1007,"上周无销量")</f>
        <v>43297</v>
      </c>
    </row>
    <row r="1008" spans="1:48">
      <c r="A1008" s="21" t="s">
        <v>2205</v>
      </c>
      <c r="B1008" t="s">
        <v>2206</v>
      </c>
      <c r="C1008" t="s">
        <v>2200</v>
      </c>
      <c r="D1008" s="33">
        <v>1</v>
      </c>
      <c r="E1008" s="33">
        <v>0</v>
      </c>
      <c r="F1008" s="33">
        <v>0</v>
      </c>
      <c r="G1008" s="33">
        <v>0</v>
      </c>
      <c r="H1008" s="34">
        <v>19.99</v>
      </c>
      <c r="I1008">
        <v>2</v>
      </c>
      <c r="J1008" s="35">
        <v>3</v>
      </c>
      <c r="K1008" s="35">
        <v>0</v>
      </c>
      <c r="L1008" s="35">
        <v>0</v>
      </c>
      <c r="M1008">
        <v>5</v>
      </c>
      <c r="N1008">
        <v>1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12</v>
      </c>
      <c r="AK1008">
        <v>0</v>
      </c>
      <c r="AL1008">
        <v>0</v>
      </c>
      <c r="AM1008">
        <v>0</v>
      </c>
      <c r="AN1008" s="23">
        <v>0.0833333333333333</v>
      </c>
      <c r="AO1008" s="23" t="s">
        <v>54</v>
      </c>
      <c r="AP1008" s="23" t="s">
        <v>54</v>
      </c>
      <c r="AQ1008" s="23" t="s">
        <v>54</v>
      </c>
      <c r="AR1008" s="37">
        <v>0.142857142857143</v>
      </c>
      <c r="AS1008" s="37">
        <v>8.57142857142857</v>
      </c>
      <c r="AT1008" s="37">
        <v>-3.57142857142857</v>
      </c>
      <c r="AU1008" s="33">
        <f t="shared" si="18"/>
        <v>35</v>
      </c>
      <c r="AV1008" s="38">
        <f>IFERROR(时间!$B$4+AU1008,"上周无销量")</f>
        <v>43325</v>
      </c>
    </row>
    <row r="1009" spans="1:48">
      <c r="A1009" s="21" t="s">
        <v>2207</v>
      </c>
      <c r="B1009" t="s">
        <v>2208</v>
      </c>
      <c r="C1009" t="s">
        <v>2200</v>
      </c>
      <c r="D1009" s="33">
        <v>1</v>
      </c>
      <c r="E1009" s="33">
        <v>2</v>
      </c>
      <c r="F1009" s="33">
        <v>2</v>
      </c>
      <c r="G1009" s="33">
        <v>0</v>
      </c>
      <c r="H1009" s="34">
        <v>19.99</v>
      </c>
      <c r="I1009">
        <v>0</v>
      </c>
      <c r="J1009" s="35">
        <v>15</v>
      </c>
      <c r="K1009" s="35">
        <v>0</v>
      </c>
      <c r="L1009" s="35">
        <v>0</v>
      </c>
      <c r="M1009">
        <v>15</v>
      </c>
      <c r="N1009">
        <v>4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14</v>
      </c>
      <c r="AK1009">
        <v>11</v>
      </c>
      <c r="AL1009">
        <v>11</v>
      </c>
      <c r="AM1009">
        <v>1</v>
      </c>
      <c r="AN1009" s="23">
        <v>0.0714285714285714</v>
      </c>
      <c r="AO1009" s="23">
        <v>0.181818181818182</v>
      </c>
      <c r="AP1009" s="23">
        <v>0.181818181818182</v>
      </c>
      <c r="AQ1009" s="23">
        <v>0</v>
      </c>
      <c r="AR1009" s="37">
        <v>0.142857142857143</v>
      </c>
      <c r="AS1009" s="37">
        <v>8.57142857142857</v>
      </c>
      <c r="AT1009" s="37">
        <v>6.42857142857143</v>
      </c>
      <c r="AU1009" s="33">
        <f t="shared" si="18"/>
        <v>105</v>
      </c>
      <c r="AV1009" s="38">
        <f>IFERROR(时间!$B$4+AU1009,"上周无销量")</f>
        <v>43395</v>
      </c>
    </row>
    <row r="1010" spans="1:48">
      <c r="A1010" s="21" t="s">
        <v>2209</v>
      </c>
      <c r="B1010" t="s">
        <v>2210</v>
      </c>
      <c r="C1010" t="s">
        <v>2200</v>
      </c>
      <c r="D1010" s="33">
        <v>1</v>
      </c>
      <c r="E1010" s="33">
        <v>0</v>
      </c>
      <c r="F1010" s="33">
        <v>2</v>
      </c>
      <c r="G1010" s="33">
        <v>2</v>
      </c>
      <c r="H1010" s="34">
        <v>19.99</v>
      </c>
      <c r="I1010">
        <v>6</v>
      </c>
      <c r="J1010" s="35">
        <v>0</v>
      </c>
      <c r="K1010" s="35">
        <v>0</v>
      </c>
      <c r="L1010" s="35">
        <v>0</v>
      </c>
      <c r="M1010">
        <v>6</v>
      </c>
      <c r="N1010">
        <v>1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11</v>
      </c>
      <c r="AK1010">
        <v>15</v>
      </c>
      <c r="AL1010">
        <v>15</v>
      </c>
      <c r="AM1010">
        <v>5</v>
      </c>
      <c r="AN1010" s="23">
        <v>0.0909090909090909</v>
      </c>
      <c r="AO1010" s="23">
        <v>0</v>
      </c>
      <c r="AP1010" s="23">
        <v>0.133333333333333</v>
      </c>
      <c r="AQ1010" s="23">
        <v>0.4</v>
      </c>
      <c r="AR1010" s="37">
        <v>0.142857142857143</v>
      </c>
      <c r="AS1010" s="37">
        <v>8.57142857142857</v>
      </c>
      <c r="AT1010" s="37">
        <v>-2.57142857142857</v>
      </c>
      <c r="AU1010" s="33">
        <f t="shared" si="18"/>
        <v>42</v>
      </c>
      <c r="AV1010" s="38">
        <f>IFERROR(时间!$B$4+AU1010,"上周无销量")</f>
        <v>43332</v>
      </c>
    </row>
    <row r="1011" spans="1:48">
      <c r="A1011" s="21" t="s">
        <v>2211</v>
      </c>
      <c r="B1011" t="s">
        <v>2212</v>
      </c>
      <c r="C1011" t="s">
        <v>2200</v>
      </c>
      <c r="D1011" s="33">
        <v>0</v>
      </c>
      <c r="E1011" s="33">
        <v>1</v>
      </c>
      <c r="F1011" s="33">
        <v>0</v>
      </c>
      <c r="G1011" s="33">
        <v>0</v>
      </c>
      <c r="H1011" s="34">
        <v>19.99</v>
      </c>
      <c r="I1011">
        <v>2</v>
      </c>
      <c r="J1011" s="35">
        <v>5</v>
      </c>
      <c r="K1011" s="35">
        <v>0</v>
      </c>
      <c r="L1011" s="35">
        <v>0</v>
      </c>
      <c r="M1011">
        <v>7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33</v>
      </c>
      <c r="AK1011">
        <v>37</v>
      </c>
      <c r="AL1011">
        <v>37</v>
      </c>
      <c r="AM1011">
        <v>24</v>
      </c>
      <c r="AN1011" s="23">
        <v>0</v>
      </c>
      <c r="AO1011" s="23">
        <v>0.027027027027027</v>
      </c>
      <c r="AP1011" s="23">
        <v>0</v>
      </c>
      <c r="AQ1011" s="23">
        <v>0</v>
      </c>
      <c r="AR1011" s="37">
        <v>0</v>
      </c>
      <c r="AS1011" s="37">
        <v>0</v>
      </c>
      <c r="AT1011" s="37">
        <v>7</v>
      </c>
      <c r="AU1011" s="33" t="str">
        <f t="shared" si="18"/>
        <v>库存为7</v>
      </c>
      <c r="AV1011" s="38" t="str">
        <f>IFERROR(时间!$B$4+AU1011,"上周无销量")</f>
        <v>上周无销量</v>
      </c>
    </row>
    <row r="1012" spans="1:48">
      <c r="A1012" s="21" t="s">
        <v>2213</v>
      </c>
      <c r="B1012" t="s">
        <v>2214</v>
      </c>
      <c r="C1012" t="s">
        <v>2200</v>
      </c>
      <c r="D1012" s="33">
        <v>0</v>
      </c>
      <c r="E1012" s="33">
        <v>0</v>
      </c>
      <c r="F1012" s="33">
        <v>0</v>
      </c>
      <c r="G1012" s="33">
        <v>0</v>
      </c>
      <c r="H1012" s="34">
        <v>0</v>
      </c>
      <c r="I1012">
        <v>0</v>
      </c>
      <c r="J1012" s="35">
        <v>0</v>
      </c>
      <c r="K1012" s="35">
        <v>0</v>
      </c>
      <c r="L1012" s="35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0</v>
      </c>
      <c r="AN1012" s="23" t="s">
        <v>54</v>
      </c>
      <c r="AO1012" s="23" t="s">
        <v>54</v>
      </c>
      <c r="AP1012" s="23" t="s">
        <v>54</v>
      </c>
      <c r="AQ1012" s="23" t="s">
        <v>54</v>
      </c>
      <c r="AR1012" s="37">
        <v>0</v>
      </c>
      <c r="AS1012" s="37">
        <v>0</v>
      </c>
      <c r="AT1012" s="37">
        <v>0</v>
      </c>
      <c r="AU1012" s="33" t="str">
        <f t="shared" si="18"/>
        <v>库存为0</v>
      </c>
      <c r="AV1012" s="38" t="str">
        <f>IFERROR(时间!$B$4+AU1012,"上周无销量")</f>
        <v>上周无销量</v>
      </c>
    </row>
    <row r="1013" spans="1:48">
      <c r="A1013" s="21" t="s">
        <v>2215</v>
      </c>
      <c r="B1013" t="s">
        <v>2216</v>
      </c>
      <c r="C1013" t="s">
        <v>2200</v>
      </c>
      <c r="D1013" s="33">
        <v>0</v>
      </c>
      <c r="E1013" s="33">
        <v>0</v>
      </c>
      <c r="F1013" s="33">
        <v>0</v>
      </c>
      <c r="G1013" s="33">
        <v>0</v>
      </c>
      <c r="H1013" s="34">
        <v>0</v>
      </c>
      <c r="I1013">
        <v>0</v>
      </c>
      <c r="J1013" s="35">
        <v>10</v>
      </c>
      <c r="K1013" s="35">
        <v>0</v>
      </c>
      <c r="L1013" s="35">
        <v>0</v>
      </c>
      <c r="M1013">
        <v>10</v>
      </c>
      <c r="N1013">
        <v>1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0</v>
      </c>
      <c r="AL1013">
        <v>0</v>
      </c>
      <c r="AM1013">
        <v>0</v>
      </c>
      <c r="AN1013" s="23" t="s">
        <v>54</v>
      </c>
      <c r="AO1013" s="23" t="s">
        <v>54</v>
      </c>
      <c r="AP1013" s="23" t="s">
        <v>54</v>
      </c>
      <c r="AQ1013" s="23" t="s">
        <v>54</v>
      </c>
      <c r="AR1013" s="37">
        <v>0</v>
      </c>
      <c r="AS1013" s="37">
        <v>0</v>
      </c>
      <c r="AT1013" s="37">
        <v>10</v>
      </c>
      <c r="AU1013" s="33" t="str">
        <f t="shared" si="18"/>
        <v>库存为10</v>
      </c>
      <c r="AV1013" s="38" t="str">
        <f>IFERROR(时间!$B$4+AU1013,"上周无销量")</f>
        <v>上周无销量</v>
      </c>
    </row>
    <row r="1014" spans="1:48">
      <c r="A1014" s="21" t="s">
        <v>2217</v>
      </c>
      <c r="B1014" t="s">
        <v>2218</v>
      </c>
      <c r="C1014" t="s">
        <v>2200</v>
      </c>
      <c r="D1014" s="33">
        <v>0</v>
      </c>
      <c r="E1014" s="33">
        <v>0</v>
      </c>
      <c r="F1014" s="33">
        <v>2</v>
      </c>
      <c r="G1014" s="33">
        <v>0</v>
      </c>
      <c r="H1014" s="34">
        <v>19.99</v>
      </c>
      <c r="I1014">
        <v>0</v>
      </c>
      <c r="J1014" s="35">
        <v>0</v>
      </c>
      <c r="K1014" s="35">
        <v>0</v>
      </c>
      <c r="L1014" s="35">
        <v>0</v>
      </c>
      <c r="M1014">
        <v>0</v>
      </c>
      <c r="N1014">
        <v>1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0</v>
      </c>
      <c r="AK1014">
        <v>6</v>
      </c>
      <c r="AL1014">
        <v>6</v>
      </c>
      <c r="AM1014">
        <v>0</v>
      </c>
      <c r="AN1014" s="23" t="s">
        <v>54</v>
      </c>
      <c r="AO1014" s="23">
        <v>0</v>
      </c>
      <c r="AP1014" s="23">
        <v>0.333333333333333</v>
      </c>
      <c r="AQ1014" s="23" t="s">
        <v>54</v>
      </c>
      <c r="AR1014" s="37">
        <v>0</v>
      </c>
      <c r="AS1014" s="37">
        <v>0</v>
      </c>
      <c r="AT1014" s="37">
        <v>0</v>
      </c>
      <c r="AU1014" s="33" t="str">
        <f t="shared" si="18"/>
        <v>库存为0</v>
      </c>
      <c r="AV1014" s="38" t="str">
        <f>IFERROR(时间!$B$4+AU1014,"上周无销量")</f>
        <v>上周无销量</v>
      </c>
    </row>
    <row r="1015" spans="1:48">
      <c r="A1015" s="21" t="s">
        <v>2219</v>
      </c>
      <c r="B1015" t="s">
        <v>2220</v>
      </c>
      <c r="C1015" t="s">
        <v>2200</v>
      </c>
      <c r="D1015" s="33">
        <v>0</v>
      </c>
      <c r="E1015" s="33">
        <v>0</v>
      </c>
      <c r="F1015" s="33">
        <v>1</v>
      </c>
      <c r="G1015" s="33">
        <v>0</v>
      </c>
      <c r="H1015" s="34">
        <v>19.99</v>
      </c>
      <c r="I1015">
        <v>0</v>
      </c>
      <c r="J1015" s="35">
        <v>6</v>
      </c>
      <c r="K1015" s="35">
        <v>0</v>
      </c>
      <c r="L1015" s="35">
        <v>0</v>
      </c>
      <c r="M1015">
        <v>6</v>
      </c>
      <c r="N1015">
        <v>2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11</v>
      </c>
      <c r="AK1015">
        <v>3</v>
      </c>
      <c r="AL1015">
        <v>3</v>
      </c>
      <c r="AM1015">
        <v>0</v>
      </c>
      <c r="AN1015" s="23">
        <v>0</v>
      </c>
      <c r="AO1015" s="23">
        <v>0</v>
      </c>
      <c r="AP1015" s="23">
        <v>0.333333333333333</v>
      </c>
      <c r="AQ1015" s="23" t="s">
        <v>54</v>
      </c>
      <c r="AR1015" s="37">
        <v>0</v>
      </c>
      <c r="AS1015" s="37">
        <v>0</v>
      </c>
      <c r="AT1015" s="37">
        <v>6</v>
      </c>
      <c r="AU1015" s="33" t="str">
        <f t="shared" si="18"/>
        <v>库存为6</v>
      </c>
      <c r="AV1015" s="38" t="str">
        <f>IFERROR(时间!$B$4+AU1015,"上周无销量")</f>
        <v>上周无销量</v>
      </c>
    </row>
    <row r="1016" spans="1:48">
      <c r="A1016" s="21" t="s">
        <v>2221</v>
      </c>
      <c r="B1016" t="s">
        <v>2222</v>
      </c>
      <c r="C1016" t="s">
        <v>2200</v>
      </c>
      <c r="D1016" s="33">
        <v>0</v>
      </c>
      <c r="E1016" s="33">
        <v>1</v>
      </c>
      <c r="F1016" s="33">
        <v>0</v>
      </c>
      <c r="G1016" s="33">
        <v>0</v>
      </c>
      <c r="H1016" s="34">
        <v>19.99</v>
      </c>
      <c r="I1016">
        <v>0</v>
      </c>
      <c r="J1016" s="35">
        <v>5</v>
      </c>
      <c r="K1016" s="35">
        <v>0</v>
      </c>
      <c r="L1016" s="35">
        <v>0</v>
      </c>
      <c r="M1016">
        <v>5</v>
      </c>
      <c r="N1016">
        <v>2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0</v>
      </c>
      <c r="AL1016">
        <v>0</v>
      </c>
      <c r="AM1016">
        <v>0</v>
      </c>
      <c r="AN1016" s="23" t="s">
        <v>54</v>
      </c>
      <c r="AO1016" s="23" t="s">
        <v>54</v>
      </c>
      <c r="AP1016" s="23" t="s">
        <v>54</v>
      </c>
      <c r="AQ1016" s="23" t="s">
        <v>54</v>
      </c>
      <c r="AR1016" s="37">
        <v>0</v>
      </c>
      <c r="AS1016" s="37">
        <v>0</v>
      </c>
      <c r="AT1016" s="37">
        <v>5</v>
      </c>
      <c r="AU1016" s="33" t="str">
        <f t="shared" si="18"/>
        <v>库存为5</v>
      </c>
      <c r="AV1016" s="38" t="str">
        <f>IFERROR(时间!$B$4+AU1016,"上周无销量")</f>
        <v>上周无销量</v>
      </c>
    </row>
    <row r="1017" spans="1:48">
      <c r="A1017" s="21" t="s">
        <v>2223</v>
      </c>
      <c r="B1017" t="s">
        <v>2224</v>
      </c>
      <c r="C1017" t="s">
        <v>2200</v>
      </c>
      <c r="D1017" s="33">
        <v>0</v>
      </c>
      <c r="E1017" s="33">
        <v>1</v>
      </c>
      <c r="F1017" s="33">
        <v>0</v>
      </c>
      <c r="G1017" s="33">
        <v>1</v>
      </c>
      <c r="H1017" s="34">
        <v>19.99</v>
      </c>
      <c r="I1017">
        <v>0</v>
      </c>
      <c r="J1017" s="35">
        <v>10</v>
      </c>
      <c r="K1017" s="35">
        <v>0</v>
      </c>
      <c r="L1017" s="35">
        <v>0</v>
      </c>
      <c r="M1017">
        <v>10</v>
      </c>
      <c r="N1017">
        <v>4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0</v>
      </c>
      <c r="AK1017">
        <v>0</v>
      </c>
      <c r="AL1017">
        <v>0</v>
      </c>
      <c r="AM1017">
        <v>1</v>
      </c>
      <c r="AN1017" s="23" t="s">
        <v>54</v>
      </c>
      <c r="AO1017" s="23" t="s">
        <v>54</v>
      </c>
      <c r="AP1017" s="23" t="s">
        <v>54</v>
      </c>
      <c r="AQ1017" s="23">
        <v>1</v>
      </c>
      <c r="AR1017" s="37">
        <v>0</v>
      </c>
      <c r="AS1017" s="37">
        <v>0</v>
      </c>
      <c r="AT1017" s="37">
        <v>10</v>
      </c>
      <c r="AU1017" s="33" t="str">
        <f t="shared" si="18"/>
        <v>库存为10</v>
      </c>
      <c r="AV1017" s="38" t="str">
        <f>IFERROR(时间!$B$4+AU1017,"上周无销量")</f>
        <v>上周无销量</v>
      </c>
    </row>
    <row r="1018" spans="1:48">
      <c r="A1018" s="21" t="s">
        <v>2225</v>
      </c>
      <c r="B1018" t="s">
        <v>2226</v>
      </c>
      <c r="C1018" t="s">
        <v>2200</v>
      </c>
      <c r="D1018" s="33">
        <v>0</v>
      </c>
      <c r="E1018" s="33">
        <v>1</v>
      </c>
      <c r="F1018" s="33">
        <v>2</v>
      </c>
      <c r="G1018" s="33">
        <v>1</v>
      </c>
      <c r="H1018" s="34">
        <v>19.99</v>
      </c>
      <c r="I1018">
        <v>9</v>
      </c>
      <c r="J1018" s="35">
        <v>5</v>
      </c>
      <c r="K1018" s="35">
        <v>0</v>
      </c>
      <c r="L1018" s="35">
        <v>0</v>
      </c>
      <c r="M1018">
        <v>14</v>
      </c>
      <c r="N1018">
        <v>2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6</v>
      </c>
      <c r="AK1018">
        <v>9</v>
      </c>
      <c r="AL1018">
        <v>9</v>
      </c>
      <c r="AM1018">
        <v>8</v>
      </c>
      <c r="AN1018" s="23">
        <v>0</v>
      </c>
      <c r="AO1018" s="23">
        <v>0.111111111111111</v>
      </c>
      <c r="AP1018" s="23">
        <v>0.222222222222222</v>
      </c>
      <c r="AQ1018" s="23">
        <v>0.125</v>
      </c>
      <c r="AR1018" s="37">
        <v>0</v>
      </c>
      <c r="AS1018" s="37">
        <v>0</v>
      </c>
      <c r="AT1018" s="37">
        <v>14</v>
      </c>
      <c r="AU1018" s="33" t="str">
        <f t="shared" si="18"/>
        <v>库存为14</v>
      </c>
      <c r="AV1018" s="38" t="str">
        <f>IFERROR(时间!$B$4+AU1018,"上周无销量")</f>
        <v>上周无销量</v>
      </c>
    </row>
    <row r="1019" spans="1:48">
      <c r="A1019" s="21" t="s">
        <v>2227</v>
      </c>
      <c r="B1019" t="s">
        <v>2228</v>
      </c>
      <c r="C1019" t="s">
        <v>2200</v>
      </c>
      <c r="D1019" s="33">
        <v>0</v>
      </c>
      <c r="E1019" s="33">
        <v>0</v>
      </c>
      <c r="F1019" s="33">
        <v>0</v>
      </c>
      <c r="G1019" s="33">
        <v>0</v>
      </c>
      <c r="H1019" s="34">
        <v>0</v>
      </c>
      <c r="I1019">
        <v>8</v>
      </c>
      <c r="J1019" s="35">
        <v>5</v>
      </c>
      <c r="K1019" s="35">
        <v>0</v>
      </c>
      <c r="L1019" s="35">
        <v>0</v>
      </c>
      <c r="M1019">
        <v>13</v>
      </c>
      <c r="N1019">
        <v>2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22</v>
      </c>
      <c r="AK1019">
        <v>28</v>
      </c>
      <c r="AL1019">
        <v>28</v>
      </c>
      <c r="AM1019">
        <v>17</v>
      </c>
      <c r="AN1019" s="23">
        <v>0</v>
      </c>
      <c r="AO1019" s="23">
        <v>0</v>
      </c>
      <c r="AP1019" s="23">
        <v>0</v>
      </c>
      <c r="AQ1019" s="23">
        <v>0</v>
      </c>
      <c r="AR1019" s="37">
        <v>0</v>
      </c>
      <c r="AS1019" s="37">
        <v>0</v>
      </c>
      <c r="AT1019" s="37">
        <v>13</v>
      </c>
      <c r="AU1019" s="33" t="str">
        <f t="shared" si="18"/>
        <v>库存为13</v>
      </c>
      <c r="AV1019" s="38" t="str">
        <f>IFERROR(时间!$B$4+AU1019,"上周无销量")</f>
        <v>上周无销量</v>
      </c>
    </row>
    <row r="1020" spans="1:48">
      <c r="A1020" s="21" t="s">
        <v>2229</v>
      </c>
      <c r="B1020" t="s">
        <v>2230</v>
      </c>
      <c r="C1020" t="s">
        <v>2200</v>
      </c>
      <c r="D1020" s="33">
        <v>0</v>
      </c>
      <c r="E1020" s="33">
        <v>0</v>
      </c>
      <c r="F1020" s="33">
        <v>0</v>
      </c>
      <c r="G1020" s="33">
        <v>0</v>
      </c>
      <c r="H1020" s="34">
        <v>0</v>
      </c>
      <c r="I1020">
        <v>0</v>
      </c>
      <c r="J1020" s="35">
        <v>0</v>
      </c>
      <c r="K1020" s="35">
        <v>0</v>
      </c>
      <c r="L1020" s="35">
        <v>0</v>
      </c>
      <c r="M1020">
        <v>0</v>
      </c>
      <c r="N1020">
        <v>3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0</v>
      </c>
      <c r="AK1020">
        <v>0</v>
      </c>
      <c r="AL1020">
        <v>0</v>
      </c>
      <c r="AM1020">
        <v>0</v>
      </c>
      <c r="AN1020" s="23" t="s">
        <v>54</v>
      </c>
      <c r="AO1020" s="23" t="s">
        <v>54</v>
      </c>
      <c r="AP1020" s="23" t="s">
        <v>54</v>
      </c>
      <c r="AQ1020" s="23" t="s">
        <v>54</v>
      </c>
      <c r="AR1020" s="37">
        <v>0</v>
      </c>
      <c r="AS1020" s="37">
        <v>0</v>
      </c>
      <c r="AT1020" s="37">
        <v>0</v>
      </c>
      <c r="AU1020" s="33" t="str">
        <f t="shared" si="18"/>
        <v>库存为0</v>
      </c>
      <c r="AV1020" s="38" t="str">
        <f>IFERROR(时间!$B$4+AU1020,"上周无销量")</f>
        <v>上周无销量</v>
      </c>
    </row>
    <row r="1021" spans="1:48">
      <c r="A1021" s="21" t="s">
        <v>2231</v>
      </c>
      <c r="B1021" t="s">
        <v>2232</v>
      </c>
      <c r="C1021" t="s">
        <v>2233</v>
      </c>
      <c r="D1021" s="33">
        <v>0</v>
      </c>
      <c r="E1021" s="33">
        <v>0</v>
      </c>
      <c r="F1021" s="33">
        <v>0</v>
      </c>
      <c r="G1021" s="33">
        <v>0</v>
      </c>
      <c r="H1021" s="34">
        <v>0</v>
      </c>
      <c r="I1021">
        <v>0</v>
      </c>
      <c r="J1021" s="35">
        <v>0</v>
      </c>
      <c r="K1021" s="35">
        <v>0</v>
      </c>
      <c r="L1021" s="35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0</v>
      </c>
      <c r="AK1021">
        <v>0</v>
      </c>
      <c r="AL1021">
        <v>0</v>
      </c>
      <c r="AM1021">
        <v>0</v>
      </c>
      <c r="AN1021" s="23" t="s">
        <v>54</v>
      </c>
      <c r="AO1021" s="23" t="s">
        <v>54</v>
      </c>
      <c r="AP1021" s="23" t="s">
        <v>54</v>
      </c>
      <c r="AQ1021" s="23" t="s">
        <v>54</v>
      </c>
      <c r="AR1021" s="37">
        <v>0</v>
      </c>
      <c r="AS1021" s="37">
        <v>0</v>
      </c>
      <c r="AT1021" s="37">
        <v>0</v>
      </c>
      <c r="AU1021" s="33" t="str">
        <f t="shared" si="18"/>
        <v>库存为0</v>
      </c>
      <c r="AV1021" s="38" t="str">
        <f>IFERROR(时间!$B$4+AU1021,"上周无销量")</f>
        <v>上周无销量</v>
      </c>
    </row>
    <row r="1022" spans="1:48">
      <c r="A1022" s="21" t="s">
        <v>2234</v>
      </c>
      <c r="B1022" t="s">
        <v>2235</v>
      </c>
      <c r="C1022" t="s">
        <v>2233</v>
      </c>
      <c r="D1022" s="33">
        <v>0</v>
      </c>
      <c r="E1022" s="33">
        <v>0</v>
      </c>
      <c r="F1022" s="33">
        <v>0</v>
      </c>
      <c r="G1022" s="33">
        <v>0</v>
      </c>
      <c r="H1022" s="34">
        <v>0</v>
      </c>
      <c r="I1022">
        <v>0</v>
      </c>
      <c r="J1022" s="35">
        <v>0</v>
      </c>
      <c r="K1022" s="35">
        <v>0</v>
      </c>
      <c r="L1022" s="35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0</v>
      </c>
      <c r="AK1022">
        <v>0</v>
      </c>
      <c r="AL1022">
        <v>0</v>
      </c>
      <c r="AM1022">
        <v>0</v>
      </c>
      <c r="AN1022" s="23" t="s">
        <v>54</v>
      </c>
      <c r="AO1022" s="23" t="s">
        <v>54</v>
      </c>
      <c r="AP1022" s="23" t="s">
        <v>54</v>
      </c>
      <c r="AQ1022" s="23" t="s">
        <v>54</v>
      </c>
      <c r="AR1022" s="37">
        <v>0</v>
      </c>
      <c r="AS1022" s="37">
        <v>0</v>
      </c>
      <c r="AT1022" s="37">
        <v>0</v>
      </c>
      <c r="AU1022" s="33" t="str">
        <f t="shared" si="18"/>
        <v>库存为0</v>
      </c>
      <c r="AV1022" s="38" t="str">
        <f>IFERROR(时间!$B$4+AU1022,"上周无销量")</f>
        <v>上周无销量</v>
      </c>
    </row>
    <row r="1023" spans="1:48">
      <c r="A1023" s="21" t="s">
        <v>2236</v>
      </c>
      <c r="B1023" t="s">
        <v>2237</v>
      </c>
      <c r="C1023" t="s">
        <v>2238</v>
      </c>
      <c r="D1023" s="33">
        <v>0</v>
      </c>
      <c r="E1023" s="33">
        <v>0</v>
      </c>
      <c r="F1023" s="33">
        <v>0</v>
      </c>
      <c r="G1023" s="33">
        <v>0</v>
      </c>
      <c r="H1023" s="34">
        <v>0</v>
      </c>
      <c r="I1023">
        <v>0</v>
      </c>
      <c r="J1023" s="35">
        <v>0</v>
      </c>
      <c r="K1023" s="35">
        <v>0</v>
      </c>
      <c r="L1023" s="35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0</v>
      </c>
      <c r="AK1023">
        <v>0</v>
      </c>
      <c r="AL1023">
        <v>0</v>
      </c>
      <c r="AM1023">
        <v>0</v>
      </c>
      <c r="AN1023" s="23" t="s">
        <v>54</v>
      </c>
      <c r="AO1023" s="23" t="s">
        <v>54</v>
      </c>
      <c r="AP1023" s="23" t="s">
        <v>54</v>
      </c>
      <c r="AQ1023" s="23" t="s">
        <v>54</v>
      </c>
      <c r="AR1023" s="37">
        <v>0</v>
      </c>
      <c r="AS1023" s="37">
        <v>0</v>
      </c>
      <c r="AT1023" s="37">
        <v>0</v>
      </c>
      <c r="AU1023" s="33" t="str">
        <f t="shared" si="18"/>
        <v>库存为0</v>
      </c>
      <c r="AV1023" s="38" t="str">
        <f>IFERROR(时间!$B$4+AU1023,"上周无销量")</f>
        <v>上周无销量</v>
      </c>
    </row>
    <row r="1024" spans="1:48">
      <c r="A1024" s="21" t="s">
        <v>2239</v>
      </c>
      <c r="B1024" t="s">
        <v>2240</v>
      </c>
      <c r="C1024" t="s">
        <v>2238</v>
      </c>
      <c r="D1024" s="33">
        <v>0</v>
      </c>
      <c r="E1024" s="33">
        <v>0</v>
      </c>
      <c r="F1024" s="33">
        <v>0</v>
      </c>
      <c r="G1024" s="33">
        <v>0</v>
      </c>
      <c r="H1024" s="34">
        <v>0</v>
      </c>
      <c r="I1024">
        <v>0</v>
      </c>
      <c r="J1024" s="35">
        <v>0</v>
      </c>
      <c r="K1024" s="35">
        <v>0</v>
      </c>
      <c r="L1024" s="35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0</v>
      </c>
      <c r="AK1024">
        <v>0</v>
      </c>
      <c r="AL1024">
        <v>0</v>
      </c>
      <c r="AM1024">
        <v>0</v>
      </c>
      <c r="AN1024" s="23" t="s">
        <v>54</v>
      </c>
      <c r="AO1024" s="23" t="s">
        <v>54</v>
      </c>
      <c r="AP1024" s="23" t="s">
        <v>54</v>
      </c>
      <c r="AQ1024" s="23" t="s">
        <v>54</v>
      </c>
      <c r="AR1024" s="37">
        <v>0</v>
      </c>
      <c r="AS1024" s="37">
        <v>0</v>
      </c>
      <c r="AT1024" s="37">
        <v>0</v>
      </c>
      <c r="AU1024" s="33" t="str">
        <f t="shared" si="18"/>
        <v>库存为0</v>
      </c>
      <c r="AV1024" s="38" t="str">
        <f>IFERROR(时间!$B$4+AU1024,"上周无销量")</f>
        <v>上周无销量</v>
      </c>
    </row>
    <row r="1025" spans="1:48">
      <c r="A1025" s="21" t="s">
        <v>2241</v>
      </c>
      <c r="B1025" t="s">
        <v>2242</v>
      </c>
      <c r="C1025" t="s">
        <v>2238</v>
      </c>
      <c r="D1025" s="33">
        <v>0</v>
      </c>
      <c r="E1025" s="33">
        <v>0</v>
      </c>
      <c r="F1025" s="33">
        <v>0</v>
      </c>
      <c r="G1025" s="33">
        <v>0</v>
      </c>
      <c r="H1025" s="34">
        <v>0</v>
      </c>
      <c r="I1025">
        <v>1</v>
      </c>
      <c r="J1025" s="35">
        <v>0</v>
      </c>
      <c r="K1025" s="35">
        <v>0</v>
      </c>
      <c r="L1025" s="35">
        <v>0</v>
      </c>
      <c r="M1025">
        <v>1</v>
      </c>
      <c r="N1025">
        <v>1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7</v>
      </c>
      <c r="AK1025">
        <v>2</v>
      </c>
      <c r="AL1025">
        <v>2</v>
      </c>
      <c r="AM1025">
        <v>1</v>
      </c>
      <c r="AN1025" s="23">
        <v>0</v>
      </c>
      <c r="AO1025" s="23">
        <v>0</v>
      </c>
      <c r="AP1025" s="23">
        <v>0</v>
      </c>
      <c r="AQ1025" s="23">
        <v>0</v>
      </c>
      <c r="AR1025" s="37">
        <v>0</v>
      </c>
      <c r="AS1025" s="37">
        <v>0</v>
      </c>
      <c r="AT1025" s="37">
        <v>1</v>
      </c>
      <c r="AU1025" s="33" t="str">
        <f t="shared" si="18"/>
        <v>库存为1</v>
      </c>
      <c r="AV1025" s="38" t="str">
        <f>IFERROR(时间!$B$4+AU1025,"上周无销量")</f>
        <v>上周无销量</v>
      </c>
    </row>
    <row r="1026" spans="1:48">
      <c r="A1026" s="21" t="s">
        <v>2243</v>
      </c>
      <c r="B1026" t="s">
        <v>2244</v>
      </c>
      <c r="C1026" t="s">
        <v>2238</v>
      </c>
      <c r="D1026" s="33">
        <v>0</v>
      </c>
      <c r="E1026" s="33">
        <v>0</v>
      </c>
      <c r="F1026" s="33">
        <v>0</v>
      </c>
      <c r="G1026" s="33">
        <v>0</v>
      </c>
      <c r="H1026" s="34">
        <v>0</v>
      </c>
      <c r="I1026">
        <v>0</v>
      </c>
      <c r="J1026" s="35">
        <v>0</v>
      </c>
      <c r="K1026" s="35">
        <v>0</v>
      </c>
      <c r="L1026" s="35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0</v>
      </c>
      <c r="AK1026">
        <v>0</v>
      </c>
      <c r="AL1026">
        <v>0</v>
      </c>
      <c r="AM1026">
        <v>0</v>
      </c>
      <c r="AN1026" s="23" t="s">
        <v>54</v>
      </c>
      <c r="AO1026" s="23" t="s">
        <v>54</v>
      </c>
      <c r="AP1026" s="23" t="s">
        <v>54</v>
      </c>
      <c r="AQ1026" s="23" t="s">
        <v>54</v>
      </c>
      <c r="AR1026" s="37">
        <v>0</v>
      </c>
      <c r="AS1026" s="37">
        <v>0</v>
      </c>
      <c r="AT1026" s="37">
        <v>0</v>
      </c>
      <c r="AU1026" s="33" t="str">
        <f t="shared" si="18"/>
        <v>库存为0</v>
      </c>
      <c r="AV1026" s="38" t="str">
        <f>IFERROR(时间!$B$4+AU1026,"上周无销量")</f>
        <v>上周无销量</v>
      </c>
    </row>
    <row r="1027" spans="1:48">
      <c r="A1027" s="21" t="s">
        <v>2245</v>
      </c>
      <c r="B1027" t="s">
        <v>2246</v>
      </c>
      <c r="C1027" t="s">
        <v>2238</v>
      </c>
      <c r="D1027" s="33">
        <v>0</v>
      </c>
      <c r="E1027" s="33">
        <v>0</v>
      </c>
      <c r="F1027" s="33">
        <v>0</v>
      </c>
      <c r="G1027" s="33">
        <v>0</v>
      </c>
      <c r="H1027" s="34">
        <v>0</v>
      </c>
      <c r="I1027">
        <v>0</v>
      </c>
      <c r="J1027" s="35">
        <v>0</v>
      </c>
      <c r="K1027" s="35">
        <v>0</v>
      </c>
      <c r="L1027" s="35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0</v>
      </c>
      <c r="AM1027">
        <v>0</v>
      </c>
      <c r="AN1027" s="23" t="s">
        <v>54</v>
      </c>
      <c r="AO1027" s="23" t="s">
        <v>54</v>
      </c>
      <c r="AP1027" s="23" t="s">
        <v>54</v>
      </c>
      <c r="AQ1027" s="23" t="s">
        <v>54</v>
      </c>
      <c r="AR1027" s="37">
        <v>0</v>
      </c>
      <c r="AS1027" s="37">
        <v>0</v>
      </c>
      <c r="AT1027" s="37">
        <v>0</v>
      </c>
      <c r="AU1027" s="33" t="str">
        <f t="shared" si="18"/>
        <v>库存为0</v>
      </c>
      <c r="AV1027" s="38" t="str">
        <f>IFERROR(时间!$B$4+AU1027,"上周无销量")</f>
        <v>上周无销量</v>
      </c>
    </row>
    <row r="1028" spans="1:48">
      <c r="A1028" s="21" t="s">
        <v>2247</v>
      </c>
      <c r="B1028" t="s">
        <v>2248</v>
      </c>
      <c r="C1028" t="s">
        <v>2249</v>
      </c>
      <c r="D1028" s="33">
        <v>0</v>
      </c>
      <c r="E1028" s="33">
        <v>0</v>
      </c>
      <c r="F1028" s="33">
        <v>1</v>
      </c>
      <c r="G1028" s="33">
        <v>0</v>
      </c>
      <c r="H1028" s="34">
        <v>16.99</v>
      </c>
      <c r="I1028">
        <v>0</v>
      </c>
      <c r="J1028" s="35">
        <v>0</v>
      </c>
      <c r="K1028" s="35">
        <v>0</v>
      </c>
      <c r="L1028" s="35">
        <v>2</v>
      </c>
      <c r="M1028">
        <v>2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1</v>
      </c>
      <c r="AL1028">
        <v>1</v>
      </c>
      <c r="AM1028">
        <v>3</v>
      </c>
      <c r="AN1028" s="23" t="s">
        <v>54</v>
      </c>
      <c r="AO1028" s="23">
        <v>0</v>
      </c>
      <c r="AP1028" s="23">
        <v>1</v>
      </c>
      <c r="AQ1028" s="23">
        <v>0</v>
      </c>
      <c r="AR1028" s="37">
        <v>0</v>
      </c>
      <c r="AS1028" s="37">
        <v>0</v>
      </c>
      <c r="AT1028" s="37">
        <v>2</v>
      </c>
      <c r="AU1028" s="33" t="str">
        <f t="shared" si="18"/>
        <v>库存为2</v>
      </c>
      <c r="AV1028" s="38" t="str">
        <f>IFERROR(时间!$B$4+AU1028,"上周无销量")</f>
        <v>上周无销量</v>
      </c>
    </row>
    <row r="1029" spans="1:48">
      <c r="A1029" s="21" t="s">
        <v>2250</v>
      </c>
      <c r="B1029" t="s">
        <v>2251</v>
      </c>
      <c r="C1029" t="s">
        <v>2249</v>
      </c>
      <c r="D1029" s="33">
        <v>0</v>
      </c>
      <c r="E1029" s="33">
        <v>0</v>
      </c>
      <c r="F1029" s="33">
        <v>0</v>
      </c>
      <c r="G1029" s="33">
        <v>1</v>
      </c>
      <c r="H1029" s="34">
        <v>16.99</v>
      </c>
      <c r="I1029">
        <v>3</v>
      </c>
      <c r="J1029" s="35">
        <v>0</v>
      </c>
      <c r="K1029" s="35">
        <v>0</v>
      </c>
      <c r="L1029" s="35">
        <v>0</v>
      </c>
      <c r="M1029">
        <v>3</v>
      </c>
      <c r="N1029">
        <v>1</v>
      </c>
      <c r="O1029">
        <v>1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2</v>
      </c>
      <c r="AK1029">
        <v>0</v>
      </c>
      <c r="AL1029">
        <v>0</v>
      </c>
      <c r="AM1029">
        <v>3</v>
      </c>
      <c r="AN1029" s="23">
        <v>0</v>
      </c>
      <c r="AO1029" s="23" t="s">
        <v>54</v>
      </c>
      <c r="AP1029" s="23" t="s">
        <v>54</v>
      </c>
      <c r="AQ1029" s="23">
        <v>0.333333333333333</v>
      </c>
      <c r="AR1029" s="37">
        <v>0</v>
      </c>
      <c r="AS1029" s="37">
        <v>0</v>
      </c>
      <c r="AT1029" s="37">
        <v>3</v>
      </c>
      <c r="AU1029" s="33" t="str">
        <f t="shared" ref="AU1029:AU1084" si="19">IF(AR1029="","库存为"&amp;M1029,IF(AS1029=0,"库存为"&amp;M1029,INT(M1029/AR1029)))</f>
        <v>库存为3</v>
      </c>
      <c r="AV1029" s="38" t="str">
        <f>IFERROR(时间!$B$4+AU1029,"上周无销量")</f>
        <v>上周无销量</v>
      </c>
    </row>
    <row r="1030" spans="1:48">
      <c r="A1030" s="21" t="s">
        <v>2252</v>
      </c>
      <c r="B1030" t="s">
        <v>2253</v>
      </c>
      <c r="C1030" t="s">
        <v>2249</v>
      </c>
      <c r="D1030" s="33">
        <v>0</v>
      </c>
      <c r="E1030" s="33">
        <v>0</v>
      </c>
      <c r="F1030" s="33">
        <v>0</v>
      </c>
      <c r="G1030" s="33">
        <v>0</v>
      </c>
      <c r="H1030" s="34">
        <v>0</v>
      </c>
      <c r="I1030">
        <v>0</v>
      </c>
      <c r="J1030" s="35">
        <v>0</v>
      </c>
      <c r="K1030" s="35">
        <v>0</v>
      </c>
      <c r="L1030" s="35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0</v>
      </c>
      <c r="AK1030">
        <v>0</v>
      </c>
      <c r="AL1030">
        <v>0</v>
      </c>
      <c r="AM1030">
        <v>0</v>
      </c>
      <c r="AN1030" s="23" t="s">
        <v>54</v>
      </c>
      <c r="AO1030" s="23" t="s">
        <v>54</v>
      </c>
      <c r="AP1030" s="23" t="s">
        <v>54</v>
      </c>
      <c r="AQ1030" s="23" t="s">
        <v>54</v>
      </c>
      <c r="AR1030" s="37">
        <v>0</v>
      </c>
      <c r="AS1030" s="37">
        <v>0</v>
      </c>
      <c r="AT1030" s="37">
        <v>0</v>
      </c>
      <c r="AU1030" s="33" t="str">
        <f t="shared" si="19"/>
        <v>库存为0</v>
      </c>
      <c r="AV1030" s="38" t="str">
        <f>IFERROR(时间!$B$4+AU1030,"上周无销量")</f>
        <v>上周无销量</v>
      </c>
    </row>
    <row r="1031" spans="1:48">
      <c r="A1031" s="21" t="s">
        <v>2254</v>
      </c>
      <c r="B1031" t="s">
        <v>2255</v>
      </c>
      <c r="C1031" t="s">
        <v>2249</v>
      </c>
      <c r="D1031" s="33">
        <v>0</v>
      </c>
      <c r="E1031" s="33">
        <v>0</v>
      </c>
      <c r="F1031" s="33">
        <v>0</v>
      </c>
      <c r="G1031" s="33">
        <v>0</v>
      </c>
      <c r="H1031" s="34">
        <v>0</v>
      </c>
      <c r="I1031">
        <v>0</v>
      </c>
      <c r="J1031" s="35">
        <v>0</v>
      </c>
      <c r="K1031" s="35">
        <v>0</v>
      </c>
      <c r="L1031" s="35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0</v>
      </c>
      <c r="AK1031">
        <v>0</v>
      </c>
      <c r="AL1031">
        <v>0</v>
      </c>
      <c r="AM1031">
        <v>0</v>
      </c>
      <c r="AN1031" s="23" t="s">
        <v>54</v>
      </c>
      <c r="AO1031" s="23" t="s">
        <v>54</v>
      </c>
      <c r="AP1031" s="23" t="s">
        <v>54</v>
      </c>
      <c r="AQ1031" s="23" t="s">
        <v>54</v>
      </c>
      <c r="AR1031" s="37">
        <v>0</v>
      </c>
      <c r="AS1031" s="37">
        <v>0</v>
      </c>
      <c r="AT1031" s="37">
        <v>0</v>
      </c>
      <c r="AU1031" s="33" t="str">
        <f t="shared" si="19"/>
        <v>库存为0</v>
      </c>
      <c r="AV1031" s="38" t="str">
        <f>IFERROR(时间!$B$4+AU1031,"上周无销量")</f>
        <v>上周无销量</v>
      </c>
    </row>
    <row r="1032" spans="1:48">
      <c r="A1032" s="21" t="s">
        <v>2256</v>
      </c>
      <c r="B1032" t="s">
        <v>2257</v>
      </c>
      <c r="C1032" t="s">
        <v>2249</v>
      </c>
      <c r="D1032" s="33">
        <v>0</v>
      </c>
      <c r="E1032" s="33">
        <v>0</v>
      </c>
      <c r="F1032" s="33">
        <v>0</v>
      </c>
      <c r="G1032" s="33">
        <v>3</v>
      </c>
      <c r="H1032" s="34">
        <v>16.99</v>
      </c>
      <c r="I1032">
        <v>0</v>
      </c>
      <c r="J1032" s="35">
        <v>0</v>
      </c>
      <c r="K1032" s="35">
        <v>0</v>
      </c>
      <c r="L1032" s="35">
        <v>0</v>
      </c>
      <c r="M1032">
        <v>0</v>
      </c>
      <c r="N1032">
        <v>1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0</v>
      </c>
      <c r="AL1032">
        <v>0</v>
      </c>
      <c r="AM1032">
        <v>2</v>
      </c>
      <c r="AN1032" s="23" t="s">
        <v>54</v>
      </c>
      <c r="AO1032" s="23" t="s">
        <v>54</v>
      </c>
      <c r="AP1032" s="23" t="s">
        <v>54</v>
      </c>
      <c r="AQ1032" s="23">
        <v>1.5</v>
      </c>
      <c r="AR1032" s="37">
        <v>0</v>
      </c>
      <c r="AS1032" s="37">
        <v>0</v>
      </c>
      <c r="AT1032" s="37">
        <v>0</v>
      </c>
      <c r="AU1032" s="33" t="str">
        <f t="shared" si="19"/>
        <v>库存为0</v>
      </c>
      <c r="AV1032" s="38" t="str">
        <f>IFERROR(时间!$B$4+AU1032,"上周无销量")</f>
        <v>上周无销量</v>
      </c>
    </row>
    <row r="1033" spans="1:48">
      <c r="A1033" s="21" t="s">
        <v>2258</v>
      </c>
      <c r="B1033" t="s">
        <v>2259</v>
      </c>
      <c r="C1033" t="s">
        <v>2249</v>
      </c>
      <c r="D1033" s="33">
        <v>0</v>
      </c>
      <c r="E1033" s="33">
        <v>0</v>
      </c>
      <c r="F1033" s="33">
        <v>0</v>
      </c>
      <c r="G1033" s="33">
        <v>0</v>
      </c>
      <c r="H1033" s="34">
        <v>0</v>
      </c>
      <c r="I1033">
        <v>5</v>
      </c>
      <c r="J1033" s="35">
        <v>0</v>
      </c>
      <c r="K1033" s="35">
        <v>0</v>
      </c>
      <c r="L1033" s="35">
        <v>0</v>
      </c>
      <c r="M1033">
        <v>5</v>
      </c>
      <c r="N1033">
        <v>0</v>
      </c>
      <c r="O1033">
        <v>3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3</v>
      </c>
      <c r="AK1033">
        <v>4</v>
      </c>
      <c r="AL1033">
        <v>4</v>
      </c>
      <c r="AM1033">
        <v>3</v>
      </c>
      <c r="AN1033" s="23">
        <v>0</v>
      </c>
      <c r="AO1033" s="23">
        <v>0</v>
      </c>
      <c r="AP1033" s="23">
        <v>0</v>
      </c>
      <c r="AQ1033" s="23">
        <v>0</v>
      </c>
      <c r="AR1033" s="37">
        <v>0</v>
      </c>
      <c r="AS1033" s="37">
        <v>0</v>
      </c>
      <c r="AT1033" s="37">
        <v>5</v>
      </c>
      <c r="AU1033" s="33" t="str">
        <f t="shared" si="19"/>
        <v>库存为5</v>
      </c>
      <c r="AV1033" s="38" t="str">
        <f>IFERROR(时间!$B$4+AU1033,"上周无销量")</f>
        <v>上周无销量</v>
      </c>
    </row>
    <row r="1034" spans="1:48">
      <c r="A1034" s="21" t="s">
        <v>2260</v>
      </c>
      <c r="B1034" t="s">
        <v>2261</v>
      </c>
      <c r="C1034" t="s">
        <v>2249</v>
      </c>
      <c r="D1034" s="33">
        <v>0</v>
      </c>
      <c r="E1034" s="33">
        <v>1</v>
      </c>
      <c r="F1034" s="33">
        <v>0</v>
      </c>
      <c r="G1034" s="33">
        <v>0</v>
      </c>
      <c r="H1034" s="34">
        <v>16.99</v>
      </c>
      <c r="I1034">
        <v>0</v>
      </c>
      <c r="J1034" s="35">
        <v>0</v>
      </c>
      <c r="K1034" s="35">
        <v>0</v>
      </c>
      <c r="L1034" s="35">
        <v>0</v>
      </c>
      <c r="M1034">
        <v>0</v>
      </c>
      <c r="N1034">
        <v>0</v>
      </c>
      <c r="O1034">
        <v>0</v>
      </c>
      <c r="P1034">
        <v>927</v>
      </c>
      <c r="Q1034">
        <v>0</v>
      </c>
      <c r="R1034">
        <v>0</v>
      </c>
      <c r="S1034">
        <v>0</v>
      </c>
      <c r="T1034">
        <v>10</v>
      </c>
      <c r="U1034">
        <v>0</v>
      </c>
      <c r="V1034">
        <v>0</v>
      </c>
      <c r="W1034">
        <v>0</v>
      </c>
      <c r="X1034" s="23">
        <v>0.0107874865156419</v>
      </c>
      <c r="Y1034" s="23" t="s">
        <v>54</v>
      </c>
      <c r="Z1034" s="23" t="s">
        <v>54</v>
      </c>
      <c r="AA1034" s="23" t="s">
        <v>54</v>
      </c>
      <c r="AB1034">
        <v>2.11</v>
      </c>
      <c r="AC1034">
        <v>0</v>
      </c>
      <c r="AD1034">
        <v>0</v>
      </c>
      <c r="AE1034">
        <v>0</v>
      </c>
      <c r="AF1034" s="23">
        <v>0</v>
      </c>
      <c r="AG1034" s="23" t="s">
        <v>54</v>
      </c>
      <c r="AH1034" s="23" t="s">
        <v>54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s">
        <v>54</v>
      </c>
      <c r="AO1034" s="23" t="s">
        <v>54</v>
      </c>
      <c r="AP1034" s="23" t="s">
        <v>54</v>
      </c>
      <c r="AQ1034" s="23" t="s">
        <v>54</v>
      </c>
      <c r="AR1034" s="37">
        <v>0</v>
      </c>
      <c r="AS1034" s="37">
        <v>0</v>
      </c>
      <c r="AT1034" s="37">
        <v>0</v>
      </c>
      <c r="AU1034" s="33" t="str">
        <f t="shared" si="19"/>
        <v>库存为0</v>
      </c>
      <c r="AV1034" s="38" t="str">
        <f>IFERROR(时间!$B$4+AU1034,"上周无销量")</f>
        <v>上周无销量</v>
      </c>
    </row>
    <row r="1035" spans="1:48">
      <c r="A1035" s="21" t="s">
        <v>2262</v>
      </c>
      <c r="B1035" t="s">
        <v>2263</v>
      </c>
      <c r="C1035" t="s">
        <v>2264</v>
      </c>
      <c r="D1035" s="33">
        <v>0</v>
      </c>
      <c r="E1035" s="33">
        <v>0</v>
      </c>
      <c r="F1035" s="33">
        <v>0</v>
      </c>
      <c r="G1035" s="33">
        <v>0</v>
      </c>
      <c r="H1035" s="34">
        <v>0</v>
      </c>
      <c r="I1035">
        <v>0</v>
      </c>
      <c r="J1035" s="35">
        <v>0</v>
      </c>
      <c r="K1035" s="35">
        <v>0</v>
      </c>
      <c r="L1035" s="35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0</v>
      </c>
      <c r="AL1035">
        <v>0</v>
      </c>
      <c r="AM1035">
        <v>0</v>
      </c>
      <c r="AN1035" s="23" t="s">
        <v>54</v>
      </c>
      <c r="AO1035" s="23" t="s">
        <v>54</v>
      </c>
      <c r="AP1035" s="23" t="s">
        <v>54</v>
      </c>
      <c r="AQ1035" s="23" t="s">
        <v>54</v>
      </c>
      <c r="AR1035" s="37">
        <v>0</v>
      </c>
      <c r="AS1035" s="37">
        <v>0</v>
      </c>
      <c r="AT1035" s="37">
        <v>0</v>
      </c>
      <c r="AU1035" s="33" t="str">
        <f t="shared" si="19"/>
        <v>库存为0</v>
      </c>
      <c r="AV1035" s="38" t="str">
        <f>IFERROR(时间!$B$4+AU1035,"上周无销量")</f>
        <v>上周无销量</v>
      </c>
    </row>
    <row r="1036" spans="1:48">
      <c r="A1036" s="21" t="s">
        <v>2265</v>
      </c>
      <c r="B1036" t="s">
        <v>2266</v>
      </c>
      <c r="C1036" t="s">
        <v>2264</v>
      </c>
      <c r="D1036" s="33">
        <v>0</v>
      </c>
      <c r="E1036" s="33">
        <v>1</v>
      </c>
      <c r="F1036" s="33">
        <v>1</v>
      </c>
      <c r="G1036" s="33">
        <v>1</v>
      </c>
      <c r="H1036" s="34">
        <v>19.9</v>
      </c>
      <c r="I1036">
        <v>3</v>
      </c>
      <c r="J1036" s="35">
        <v>0</v>
      </c>
      <c r="K1036" s="35">
        <v>0</v>
      </c>
      <c r="L1036" s="35">
        <v>0</v>
      </c>
      <c r="M1036">
        <v>3</v>
      </c>
      <c r="N1036">
        <v>0</v>
      </c>
      <c r="O1036">
        <v>3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3</v>
      </c>
      <c r="AK1036">
        <v>3</v>
      </c>
      <c r="AL1036">
        <v>3</v>
      </c>
      <c r="AM1036">
        <v>4</v>
      </c>
      <c r="AN1036" s="23">
        <v>0</v>
      </c>
      <c r="AO1036" s="23">
        <v>0.333333333333333</v>
      </c>
      <c r="AP1036" s="23">
        <v>0.333333333333333</v>
      </c>
      <c r="AQ1036" s="23">
        <v>0.25</v>
      </c>
      <c r="AR1036" s="37">
        <v>0</v>
      </c>
      <c r="AS1036" s="37">
        <v>0</v>
      </c>
      <c r="AT1036" s="37">
        <v>3</v>
      </c>
      <c r="AU1036" s="33" t="str">
        <f t="shared" si="19"/>
        <v>库存为3</v>
      </c>
      <c r="AV1036" s="38" t="str">
        <f>IFERROR(时间!$B$4+AU1036,"上周无销量")</f>
        <v>上周无销量</v>
      </c>
    </row>
    <row r="1037" spans="1:48">
      <c r="A1037" s="21" t="s">
        <v>2267</v>
      </c>
      <c r="B1037" t="s">
        <v>2268</v>
      </c>
      <c r="C1037" t="s">
        <v>2269</v>
      </c>
      <c r="D1037" s="33">
        <v>0</v>
      </c>
      <c r="E1037" s="33">
        <v>0</v>
      </c>
      <c r="F1037" s="33">
        <v>0</v>
      </c>
      <c r="G1037" s="33">
        <v>0</v>
      </c>
      <c r="H1037" s="34">
        <v>0</v>
      </c>
      <c r="I1037">
        <v>0</v>
      </c>
      <c r="J1037" s="35">
        <v>0</v>
      </c>
      <c r="K1037" s="35">
        <v>0</v>
      </c>
      <c r="L1037" s="35">
        <v>0</v>
      </c>
      <c r="M1037">
        <v>0</v>
      </c>
      <c r="N1037">
        <v>1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0</v>
      </c>
      <c r="AL1037">
        <v>0</v>
      </c>
      <c r="AM1037">
        <v>0</v>
      </c>
      <c r="AN1037" s="23" t="s">
        <v>54</v>
      </c>
      <c r="AO1037" s="23" t="s">
        <v>54</v>
      </c>
      <c r="AP1037" s="23" t="s">
        <v>54</v>
      </c>
      <c r="AQ1037" s="23" t="s">
        <v>54</v>
      </c>
      <c r="AR1037" s="37">
        <v>0</v>
      </c>
      <c r="AS1037" s="37">
        <v>0</v>
      </c>
      <c r="AT1037" s="37">
        <v>0</v>
      </c>
      <c r="AU1037" s="33" t="str">
        <f t="shared" si="19"/>
        <v>库存为0</v>
      </c>
      <c r="AV1037" s="38" t="str">
        <f>IFERROR(时间!$B$4+AU1037,"上周无销量")</f>
        <v>上周无销量</v>
      </c>
    </row>
    <row r="1038" spans="1:48">
      <c r="A1038" s="21" t="s">
        <v>2270</v>
      </c>
      <c r="B1038" t="s">
        <v>2271</v>
      </c>
      <c r="C1038" t="s">
        <v>2269</v>
      </c>
      <c r="D1038" s="33">
        <v>0</v>
      </c>
      <c r="E1038" s="33">
        <v>0</v>
      </c>
      <c r="F1038" s="33">
        <v>0</v>
      </c>
      <c r="G1038" s="33">
        <v>0</v>
      </c>
      <c r="H1038" s="34">
        <v>0</v>
      </c>
      <c r="I1038">
        <v>0</v>
      </c>
      <c r="J1038" s="35">
        <v>0</v>
      </c>
      <c r="K1038" s="35">
        <v>0</v>
      </c>
      <c r="L1038" s="35">
        <v>0</v>
      </c>
      <c r="M1038">
        <v>0</v>
      </c>
      <c r="N1038">
        <v>1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0</v>
      </c>
      <c r="AL1038">
        <v>0</v>
      </c>
      <c r="AM1038">
        <v>0</v>
      </c>
      <c r="AN1038" s="23" t="s">
        <v>54</v>
      </c>
      <c r="AO1038" s="23" t="s">
        <v>54</v>
      </c>
      <c r="AP1038" s="23" t="s">
        <v>54</v>
      </c>
      <c r="AQ1038" s="23" t="s">
        <v>54</v>
      </c>
      <c r="AR1038" s="37">
        <v>0</v>
      </c>
      <c r="AS1038" s="37">
        <v>0</v>
      </c>
      <c r="AT1038" s="37">
        <v>0</v>
      </c>
      <c r="AU1038" s="33" t="str">
        <f t="shared" si="19"/>
        <v>库存为0</v>
      </c>
      <c r="AV1038" s="38" t="str">
        <f>IFERROR(时间!$B$4+AU1038,"上周无销量")</f>
        <v>上周无销量</v>
      </c>
    </row>
    <row r="1039" spans="1:48">
      <c r="A1039" s="21" t="s">
        <v>2272</v>
      </c>
      <c r="B1039" t="s">
        <v>2273</v>
      </c>
      <c r="C1039" t="s">
        <v>2269</v>
      </c>
      <c r="D1039" s="33">
        <v>0</v>
      </c>
      <c r="E1039" s="33">
        <v>0</v>
      </c>
      <c r="F1039" s="33">
        <v>0</v>
      </c>
      <c r="G1039" s="33">
        <v>0</v>
      </c>
      <c r="H1039" s="34">
        <v>0</v>
      </c>
      <c r="I1039">
        <v>0</v>
      </c>
      <c r="J1039" s="35">
        <v>0</v>
      </c>
      <c r="K1039" s="35">
        <v>0</v>
      </c>
      <c r="L1039" s="35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0</v>
      </c>
      <c r="AL1039">
        <v>0</v>
      </c>
      <c r="AM1039">
        <v>0</v>
      </c>
      <c r="AN1039" s="23" t="s">
        <v>54</v>
      </c>
      <c r="AO1039" s="23" t="s">
        <v>54</v>
      </c>
      <c r="AP1039" s="23" t="s">
        <v>54</v>
      </c>
      <c r="AQ1039" s="23" t="s">
        <v>54</v>
      </c>
      <c r="AR1039" s="37">
        <v>0</v>
      </c>
      <c r="AS1039" s="37">
        <v>0</v>
      </c>
      <c r="AT1039" s="37">
        <v>0</v>
      </c>
      <c r="AU1039" s="33" t="str">
        <f t="shared" si="19"/>
        <v>库存为0</v>
      </c>
      <c r="AV1039" s="38" t="str">
        <f>IFERROR(时间!$B$4+AU1039,"上周无销量")</f>
        <v>上周无销量</v>
      </c>
    </row>
    <row r="1040" spans="1:48">
      <c r="A1040" s="21" t="s">
        <v>2274</v>
      </c>
      <c r="B1040" t="s">
        <v>2275</v>
      </c>
      <c r="C1040" t="s">
        <v>2269</v>
      </c>
      <c r="D1040" s="33">
        <v>0</v>
      </c>
      <c r="E1040" s="33">
        <v>0</v>
      </c>
      <c r="F1040" s="33">
        <v>0</v>
      </c>
      <c r="G1040" s="33">
        <v>0</v>
      </c>
      <c r="H1040" s="34">
        <v>0</v>
      </c>
      <c r="I1040">
        <v>0</v>
      </c>
      <c r="J1040" s="35">
        <v>0</v>
      </c>
      <c r="K1040" s="35">
        <v>0</v>
      </c>
      <c r="L1040" s="35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s">
        <v>54</v>
      </c>
      <c r="AO1040" s="23" t="s">
        <v>54</v>
      </c>
      <c r="AP1040" s="23" t="s">
        <v>54</v>
      </c>
      <c r="AQ1040" s="23" t="s">
        <v>54</v>
      </c>
      <c r="AR1040" s="37">
        <v>0</v>
      </c>
      <c r="AS1040" s="37">
        <v>0</v>
      </c>
      <c r="AT1040" s="37">
        <v>0</v>
      </c>
      <c r="AU1040" s="33" t="str">
        <f t="shared" si="19"/>
        <v>库存为0</v>
      </c>
      <c r="AV1040" s="38" t="str">
        <f>IFERROR(时间!$B$4+AU1040,"上周无销量")</f>
        <v>上周无销量</v>
      </c>
    </row>
    <row r="1041" spans="1:48">
      <c r="A1041" s="21" t="s">
        <v>2276</v>
      </c>
      <c r="B1041" t="s">
        <v>2277</v>
      </c>
      <c r="C1041" t="s">
        <v>2269</v>
      </c>
      <c r="D1041" s="33">
        <v>0</v>
      </c>
      <c r="E1041" s="33">
        <v>0</v>
      </c>
      <c r="F1041" s="33">
        <v>1</v>
      </c>
      <c r="G1041" s="33">
        <v>0</v>
      </c>
      <c r="H1041" s="34">
        <v>16.9</v>
      </c>
      <c r="I1041">
        <v>0</v>
      </c>
      <c r="J1041" s="35">
        <v>0</v>
      </c>
      <c r="K1041" s="35">
        <v>0</v>
      </c>
      <c r="L1041" s="35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4</v>
      </c>
      <c r="AL1041">
        <v>4</v>
      </c>
      <c r="AM1041">
        <v>0</v>
      </c>
      <c r="AN1041" s="23" t="s">
        <v>54</v>
      </c>
      <c r="AO1041" s="23">
        <v>0</v>
      </c>
      <c r="AP1041" s="23">
        <v>0.25</v>
      </c>
      <c r="AQ1041" s="23" t="s">
        <v>54</v>
      </c>
      <c r="AR1041" s="37">
        <v>0</v>
      </c>
      <c r="AS1041" s="37">
        <v>0</v>
      </c>
      <c r="AT1041" s="37">
        <v>0</v>
      </c>
      <c r="AU1041" s="33" t="str">
        <f t="shared" si="19"/>
        <v>库存为0</v>
      </c>
      <c r="AV1041" s="38" t="str">
        <f>IFERROR(时间!$B$4+AU1041,"上周无销量")</f>
        <v>上周无销量</v>
      </c>
    </row>
    <row r="1042" spans="1:48">
      <c r="A1042" s="21" t="s">
        <v>2278</v>
      </c>
      <c r="B1042" t="s">
        <v>2279</v>
      </c>
      <c r="C1042" t="s">
        <v>2269</v>
      </c>
      <c r="D1042" s="33">
        <v>0</v>
      </c>
      <c r="E1042" s="33">
        <v>0</v>
      </c>
      <c r="F1042" s="33">
        <v>1</v>
      </c>
      <c r="G1042" s="33">
        <v>0</v>
      </c>
      <c r="H1042" s="34">
        <v>16.9</v>
      </c>
      <c r="I1042">
        <v>0</v>
      </c>
      <c r="J1042" s="35">
        <v>0</v>
      </c>
      <c r="K1042" s="35">
        <v>0</v>
      </c>
      <c r="L1042" s="35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6</v>
      </c>
      <c r="AL1042">
        <v>6</v>
      </c>
      <c r="AM1042">
        <v>0</v>
      </c>
      <c r="AN1042" s="23" t="s">
        <v>54</v>
      </c>
      <c r="AO1042" s="23">
        <v>0</v>
      </c>
      <c r="AP1042" s="23">
        <v>0.166666666666667</v>
      </c>
      <c r="AQ1042" s="23" t="s">
        <v>54</v>
      </c>
      <c r="AR1042" s="37">
        <v>0</v>
      </c>
      <c r="AS1042" s="37">
        <v>0</v>
      </c>
      <c r="AT1042" s="37">
        <v>0</v>
      </c>
      <c r="AU1042" s="33" t="str">
        <f t="shared" si="19"/>
        <v>库存为0</v>
      </c>
      <c r="AV1042" s="38" t="str">
        <f>IFERROR(时间!$B$4+AU1042,"上周无销量")</f>
        <v>上周无销量</v>
      </c>
    </row>
    <row r="1043" spans="1:48">
      <c r="A1043" s="21" t="s">
        <v>2280</v>
      </c>
      <c r="B1043" t="s">
        <v>2281</v>
      </c>
      <c r="C1043" t="s">
        <v>2269</v>
      </c>
      <c r="D1043" s="33">
        <v>0</v>
      </c>
      <c r="E1043" s="33">
        <v>0</v>
      </c>
      <c r="F1043" s="33">
        <v>0</v>
      </c>
      <c r="G1043" s="33">
        <v>0</v>
      </c>
      <c r="H1043" s="34">
        <v>0</v>
      </c>
      <c r="I1043">
        <v>0</v>
      </c>
      <c r="J1043" s="35">
        <v>0</v>
      </c>
      <c r="K1043" s="35">
        <v>0</v>
      </c>
      <c r="L1043" s="35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s">
        <v>54</v>
      </c>
      <c r="AO1043" s="23" t="s">
        <v>54</v>
      </c>
      <c r="AP1043" s="23" t="s">
        <v>54</v>
      </c>
      <c r="AQ1043" s="23" t="s">
        <v>54</v>
      </c>
      <c r="AR1043" s="37">
        <v>0</v>
      </c>
      <c r="AS1043" s="37">
        <v>0</v>
      </c>
      <c r="AT1043" s="37">
        <v>0</v>
      </c>
      <c r="AU1043" s="33" t="str">
        <f t="shared" si="19"/>
        <v>库存为0</v>
      </c>
      <c r="AV1043" s="38" t="str">
        <f>IFERROR(时间!$B$4+AU1043,"上周无销量")</f>
        <v>上周无销量</v>
      </c>
    </row>
    <row r="1044" spans="1:48">
      <c r="A1044" s="21" t="s">
        <v>2282</v>
      </c>
      <c r="B1044" t="s">
        <v>2283</v>
      </c>
      <c r="C1044" t="s">
        <v>2269</v>
      </c>
      <c r="D1044" s="33">
        <v>0</v>
      </c>
      <c r="E1044" s="33">
        <v>0</v>
      </c>
      <c r="F1044" s="33">
        <v>0</v>
      </c>
      <c r="G1044" s="33">
        <v>0</v>
      </c>
      <c r="H1044" s="34">
        <v>0</v>
      </c>
      <c r="I1044">
        <v>0</v>
      </c>
      <c r="J1044" s="35">
        <v>0</v>
      </c>
      <c r="K1044" s="35">
        <v>0</v>
      </c>
      <c r="L1044" s="35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s">
        <v>54</v>
      </c>
      <c r="AO1044" s="23" t="s">
        <v>54</v>
      </c>
      <c r="AP1044" s="23" t="s">
        <v>54</v>
      </c>
      <c r="AQ1044" s="23" t="s">
        <v>54</v>
      </c>
      <c r="AR1044" s="37">
        <v>0</v>
      </c>
      <c r="AS1044" s="37">
        <v>0</v>
      </c>
      <c r="AT1044" s="37">
        <v>0</v>
      </c>
      <c r="AU1044" s="33" t="str">
        <f t="shared" si="19"/>
        <v>库存为0</v>
      </c>
      <c r="AV1044" s="38" t="str">
        <f>IFERROR(时间!$B$4+AU1044,"上周无销量")</f>
        <v>上周无销量</v>
      </c>
    </row>
    <row r="1045" spans="1:48">
      <c r="A1045" s="21" t="s">
        <v>2284</v>
      </c>
      <c r="B1045" t="s">
        <v>2285</v>
      </c>
      <c r="C1045" t="s">
        <v>2269</v>
      </c>
      <c r="D1045" s="33">
        <v>0</v>
      </c>
      <c r="E1045" s="33">
        <v>0</v>
      </c>
      <c r="F1045" s="33">
        <v>0</v>
      </c>
      <c r="G1045" s="33">
        <v>0</v>
      </c>
      <c r="H1045" s="34">
        <v>0</v>
      </c>
      <c r="I1045">
        <v>0</v>
      </c>
      <c r="J1045" s="35">
        <v>0</v>
      </c>
      <c r="K1045" s="35">
        <v>0</v>
      </c>
      <c r="L1045" s="35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0</v>
      </c>
      <c r="AM1045">
        <v>0</v>
      </c>
      <c r="AN1045" s="23" t="s">
        <v>54</v>
      </c>
      <c r="AO1045" s="23" t="s">
        <v>54</v>
      </c>
      <c r="AP1045" s="23" t="s">
        <v>54</v>
      </c>
      <c r="AQ1045" s="23" t="s">
        <v>54</v>
      </c>
      <c r="AR1045" s="37">
        <v>0</v>
      </c>
      <c r="AS1045" s="37">
        <v>0</v>
      </c>
      <c r="AT1045" s="37">
        <v>0</v>
      </c>
      <c r="AU1045" s="33" t="str">
        <f t="shared" si="19"/>
        <v>库存为0</v>
      </c>
      <c r="AV1045" s="38" t="str">
        <f>IFERROR(时间!$B$4+AU1045,"上周无销量")</f>
        <v>上周无销量</v>
      </c>
    </row>
    <row r="1046" spans="1:48">
      <c r="A1046" s="21" t="s">
        <v>2286</v>
      </c>
      <c r="B1046" t="s">
        <v>2287</v>
      </c>
      <c r="C1046" t="s">
        <v>2288</v>
      </c>
      <c r="D1046" s="33">
        <v>0</v>
      </c>
      <c r="E1046" s="33">
        <v>0</v>
      </c>
      <c r="F1046" s="33">
        <v>1</v>
      </c>
      <c r="G1046" s="33">
        <v>0</v>
      </c>
      <c r="H1046" s="34">
        <v>19.99</v>
      </c>
      <c r="I1046">
        <v>0</v>
      </c>
      <c r="J1046" s="35">
        <v>0</v>
      </c>
      <c r="K1046" s="35">
        <v>0</v>
      </c>
      <c r="L1046" s="35">
        <v>0</v>
      </c>
      <c r="M1046">
        <v>0</v>
      </c>
      <c r="N1046">
        <v>2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6</v>
      </c>
      <c r="AL1046">
        <v>6</v>
      </c>
      <c r="AM1046">
        <v>0</v>
      </c>
      <c r="AN1046" s="23" t="s">
        <v>54</v>
      </c>
      <c r="AO1046" s="23">
        <v>0</v>
      </c>
      <c r="AP1046" s="23">
        <v>0.166666666666667</v>
      </c>
      <c r="AQ1046" s="23" t="s">
        <v>54</v>
      </c>
      <c r="AR1046" s="37">
        <v>0</v>
      </c>
      <c r="AS1046" s="37">
        <v>0</v>
      </c>
      <c r="AT1046" s="37">
        <v>0</v>
      </c>
      <c r="AU1046" s="33" t="str">
        <f t="shared" si="19"/>
        <v>库存为0</v>
      </c>
      <c r="AV1046" s="38" t="str">
        <f>IFERROR(时间!$B$4+AU1046,"上周无销量")</f>
        <v>上周无销量</v>
      </c>
    </row>
    <row r="1047" spans="1:48">
      <c r="A1047" s="21" t="s">
        <v>2289</v>
      </c>
      <c r="B1047" t="s">
        <v>2290</v>
      </c>
      <c r="C1047" t="s">
        <v>2288</v>
      </c>
      <c r="D1047" s="33">
        <v>0</v>
      </c>
      <c r="E1047" s="33">
        <v>0</v>
      </c>
      <c r="F1047" s="33">
        <v>1</v>
      </c>
      <c r="G1047" s="33">
        <v>1</v>
      </c>
      <c r="H1047" s="34">
        <v>19.99</v>
      </c>
      <c r="I1047">
        <v>2</v>
      </c>
      <c r="J1047" s="35">
        <v>0</v>
      </c>
      <c r="K1047" s="35">
        <v>0</v>
      </c>
      <c r="L1047" s="35">
        <v>1</v>
      </c>
      <c r="M1047">
        <v>3</v>
      </c>
      <c r="N1047">
        <v>3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6</v>
      </c>
      <c r="AK1047">
        <v>1</v>
      </c>
      <c r="AL1047">
        <v>1</v>
      </c>
      <c r="AM1047">
        <v>1</v>
      </c>
      <c r="AN1047" s="23">
        <v>0</v>
      </c>
      <c r="AO1047" s="23">
        <v>0</v>
      </c>
      <c r="AP1047" s="23">
        <v>1</v>
      </c>
      <c r="AQ1047" s="23">
        <v>1</v>
      </c>
      <c r="AR1047" s="37">
        <v>0</v>
      </c>
      <c r="AS1047" s="37">
        <v>0</v>
      </c>
      <c r="AT1047" s="37">
        <v>3</v>
      </c>
      <c r="AU1047" s="33" t="str">
        <f t="shared" si="19"/>
        <v>库存为3</v>
      </c>
      <c r="AV1047" s="38" t="str">
        <f>IFERROR(时间!$B$4+AU1047,"上周无销量")</f>
        <v>上周无销量</v>
      </c>
    </row>
    <row r="1048" spans="1:48">
      <c r="A1048" s="21" t="s">
        <v>2291</v>
      </c>
      <c r="B1048" t="s">
        <v>2292</v>
      </c>
      <c r="C1048" t="s">
        <v>2288</v>
      </c>
      <c r="D1048" s="33">
        <v>0</v>
      </c>
      <c r="E1048" s="33">
        <v>0</v>
      </c>
      <c r="F1048" s="33">
        <v>0</v>
      </c>
      <c r="G1048" s="33">
        <v>3</v>
      </c>
      <c r="H1048" s="34">
        <v>19.99</v>
      </c>
      <c r="I1048">
        <v>0</v>
      </c>
      <c r="J1048" s="35">
        <v>0</v>
      </c>
      <c r="K1048" s="35">
        <v>0</v>
      </c>
      <c r="L1048" s="35">
        <v>0</v>
      </c>
      <c r="M1048">
        <v>0</v>
      </c>
      <c r="N1048">
        <v>2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5</v>
      </c>
      <c r="AN1048" s="23" t="s">
        <v>54</v>
      </c>
      <c r="AO1048" s="23" t="s">
        <v>54</v>
      </c>
      <c r="AP1048" s="23" t="s">
        <v>54</v>
      </c>
      <c r="AQ1048" s="23">
        <v>0.6</v>
      </c>
      <c r="AR1048" s="37">
        <v>0</v>
      </c>
      <c r="AS1048" s="37">
        <v>0</v>
      </c>
      <c r="AT1048" s="37">
        <v>0</v>
      </c>
      <c r="AU1048" s="33" t="str">
        <f t="shared" si="19"/>
        <v>库存为0</v>
      </c>
      <c r="AV1048" s="38" t="str">
        <f>IFERROR(时间!$B$4+AU1048,"上周无销量")</f>
        <v>上周无销量</v>
      </c>
    </row>
    <row r="1049" spans="1:48">
      <c r="A1049" s="21" t="s">
        <v>2293</v>
      </c>
      <c r="B1049" t="s">
        <v>2294</v>
      </c>
      <c r="C1049" t="s">
        <v>2288</v>
      </c>
      <c r="D1049" s="33">
        <v>1</v>
      </c>
      <c r="E1049" s="33">
        <v>1</v>
      </c>
      <c r="F1049" s="33">
        <v>0</v>
      </c>
      <c r="G1049" s="33">
        <v>4</v>
      </c>
      <c r="H1049" s="34">
        <v>19.99</v>
      </c>
      <c r="I1049">
        <v>0</v>
      </c>
      <c r="J1049" s="35">
        <v>0</v>
      </c>
      <c r="K1049" s="35">
        <v>0</v>
      </c>
      <c r="L1049" s="35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1</v>
      </c>
      <c r="AK1049">
        <v>0</v>
      </c>
      <c r="AL1049">
        <v>0</v>
      </c>
      <c r="AM1049">
        <v>18</v>
      </c>
      <c r="AN1049" s="23">
        <v>1</v>
      </c>
      <c r="AO1049" s="23" t="s">
        <v>54</v>
      </c>
      <c r="AP1049" s="23" t="s">
        <v>54</v>
      </c>
      <c r="AQ1049" s="23">
        <v>0.222222222222222</v>
      </c>
      <c r="AR1049" s="37">
        <v>0.142857142857143</v>
      </c>
      <c r="AS1049" s="37">
        <v>8.57142857142857</v>
      </c>
      <c r="AT1049" s="37">
        <v>-8.57142857142857</v>
      </c>
      <c r="AU1049" s="33">
        <f t="shared" si="19"/>
        <v>0</v>
      </c>
      <c r="AV1049" s="38">
        <f>IFERROR(时间!$B$4+AU1049,"上周无销量")</f>
        <v>43290</v>
      </c>
    </row>
    <row r="1050" spans="1:48">
      <c r="A1050" s="21" t="s">
        <v>2295</v>
      </c>
      <c r="B1050" t="s">
        <v>2296</v>
      </c>
      <c r="C1050" t="s">
        <v>2288</v>
      </c>
      <c r="D1050" s="33">
        <v>0</v>
      </c>
      <c r="E1050" s="33">
        <v>1</v>
      </c>
      <c r="F1050" s="33">
        <v>1</v>
      </c>
      <c r="G1050" s="33">
        <v>0</v>
      </c>
      <c r="H1050" s="34">
        <v>19.99</v>
      </c>
      <c r="I1050">
        <v>0</v>
      </c>
      <c r="J1050" s="35">
        <v>0</v>
      </c>
      <c r="K1050" s="35">
        <v>0</v>
      </c>
      <c r="L1050" s="35">
        <v>0</v>
      </c>
      <c r="M1050">
        <v>0</v>
      </c>
      <c r="N1050">
        <v>2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6</v>
      </c>
      <c r="AL1050">
        <v>6</v>
      </c>
      <c r="AM1050">
        <v>0</v>
      </c>
      <c r="AN1050" s="23" t="s">
        <v>54</v>
      </c>
      <c r="AO1050" s="23">
        <v>0.166666666666667</v>
      </c>
      <c r="AP1050" s="23">
        <v>0.166666666666667</v>
      </c>
      <c r="AQ1050" s="23" t="s">
        <v>54</v>
      </c>
      <c r="AR1050" s="37">
        <v>0</v>
      </c>
      <c r="AS1050" s="37">
        <v>0</v>
      </c>
      <c r="AT1050" s="37">
        <v>0</v>
      </c>
      <c r="AU1050" s="33" t="str">
        <f t="shared" si="19"/>
        <v>库存为0</v>
      </c>
      <c r="AV1050" s="38" t="str">
        <f>IFERROR(时间!$B$4+AU1050,"上周无销量")</f>
        <v>上周无销量</v>
      </c>
    </row>
    <row r="1051" spans="1:48">
      <c r="A1051" s="21" t="s">
        <v>2297</v>
      </c>
      <c r="B1051" t="s">
        <v>2298</v>
      </c>
      <c r="C1051" t="s">
        <v>2288</v>
      </c>
      <c r="D1051" s="33">
        <v>0</v>
      </c>
      <c r="E1051" s="33">
        <v>0</v>
      </c>
      <c r="F1051" s="33">
        <v>0</v>
      </c>
      <c r="G1051" s="33">
        <v>0</v>
      </c>
      <c r="H1051" s="34">
        <v>0</v>
      </c>
      <c r="I1051">
        <v>0</v>
      </c>
      <c r="J1051" s="35">
        <v>0</v>
      </c>
      <c r="K1051" s="35">
        <v>0</v>
      </c>
      <c r="L1051" s="35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0</v>
      </c>
      <c r="AL1051">
        <v>0</v>
      </c>
      <c r="AM1051">
        <v>0</v>
      </c>
      <c r="AN1051" s="23" t="s">
        <v>54</v>
      </c>
      <c r="AO1051" s="23" t="s">
        <v>54</v>
      </c>
      <c r="AP1051" s="23" t="s">
        <v>54</v>
      </c>
      <c r="AQ1051" s="23" t="s">
        <v>54</v>
      </c>
      <c r="AR1051" s="37">
        <v>0</v>
      </c>
      <c r="AS1051" s="37">
        <v>0</v>
      </c>
      <c r="AT1051" s="37">
        <v>0</v>
      </c>
      <c r="AU1051" s="33" t="str">
        <f t="shared" si="19"/>
        <v>库存为0</v>
      </c>
      <c r="AV1051" s="38" t="str">
        <f>IFERROR(时间!$B$4+AU1051,"上周无销量")</f>
        <v>上周无销量</v>
      </c>
    </row>
    <row r="1052" spans="1:48">
      <c r="A1052" s="21" t="s">
        <v>2299</v>
      </c>
      <c r="B1052" t="s">
        <v>2300</v>
      </c>
      <c r="C1052" t="s">
        <v>2288</v>
      </c>
      <c r="D1052" s="33">
        <v>0</v>
      </c>
      <c r="E1052" s="33">
        <v>0</v>
      </c>
      <c r="F1052" s="33">
        <v>0</v>
      </c>
      <c r="G1052" s="33">
        <v>1</v>
      </c>
      <c r="H1052" s="34">
        <v>9.99</v>
      </c>
      <c r="I1052">
        <v>0</v>
      </c>
      <c r="J1052" s="35">
        <v>0</v>
      </c>
      <c r="K1052" s="35">
        <v>0</v>
      </c>
      <c r="L1052" s="35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13</v>
      </c>
      <c r="AN1052" s="23" t="s">
        <v>54</v>
      </c>
      <c r="AO1052" s="23" t="s">
        <v>54</v>
      </c>
      <c r="AP1052" s="23" t="s">
        <v>54</v>
      </c>
      <c r="AQ1052" s="23">
        <v>0.0769230769230769</v>
      </c>
      <c r="AR1052" s="37">
        <v>0</v>
      </c>
      <c r="AS1052" s="37">
        <v>0</v>
      </c>
      <c r="AT1052" s="37">
        <v>0</v>
      </c>
      <c r="AU1052" s="33" t="str">
        <f t="shared" si="19"/>
        <v>库存为0</v>
      </c>
      <c r="AV1052" s="38" t="str">
        <f>IFERROR(时间!$B$4+AU1052,"上周无销量")</f>
        <v>上周无销量</v>
      </c>
    </row>
    <row r="1053" spans="1:48">
      <c r="A1053" s="21" t="s">
        <v>2301</v>
      </c>
      <c r="B1053" t="s">
        <v>2302</v>
      </c>
      <c r="C1053" t="s">
        <v>2288</v>
      </c>
      <c r="D1053" s="33">
        <v>0</v>
      </c>
      <c r="E1053" s="33">
        <v>0</v>
      </c>
      <c r="F1053" s="33">
        <v>0</v>
      </c>
      <c r="G1053" s="33">
        <v>0</v>
      </c>
      <c r="H1053" s="34">
        <v>0</v>
      </c>
      <c r="I1053">
        <v>0</v>
      </c>
      <c r="J1053" s="35">
        <v>0</v>
      </c>
      <c r="K1053" s="35">
        <v>0</v>
      </c>
      <c r="L1053" s="35">
        <v>0</v>
      </c>
      <c r="M1053">
        <v>0</v>
      </c>
      <c r="N1053">
        <v>1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s">
        <v>54</v>
      </c>
      <c r="AO1053" s="23" t="s">
        <v>54</v>
      </c>
      <c r="AP1053" s="23" t="s">
        <v>54</v>
      </c>
      <c r="AQ1053" s="23" t="s">
        <v>54</v>
      </c>
      <c r="AR1053" s="37">
        <v>0</v>
      </c>
      <c r="AS1053" s="37">
        <v>0</v>
      </c>
      <c r="AT1053" s="37">
        <v>0</v>
      </c>
      <c r="AU1053" s="33" t="str">
        <f t="shared" si="19"/>
        <v>库存为0</v>
      </c>
      <c r="AV1053" s="38" t="str">
        <f>IFERROR(时间!$B$4+AU1053,"上周无销量")</f>
        <v>上周无销量</v>
      </c>
    </row>
    <row r="1054" spans="1:48">
      <c r="A1054" s="21" t="s">
        <v>2303</v>
      </c>
      <c r="B1054" t="s">
        <v>2304</v>
      </c>
      <c r="C1054" t="s">
        <v>2305</v>
      </c>
      <c r="D1054" s="33">
        <v>0</v>
      </c>
      <c r="E1054" s="33">
        <v>1</v>
      </c>
      <c r="F1054" s="33">
        <v>2</v>
      </c>
      <c r="G1054" s="33">
        <v>0</v>
      </c>
      <c r="H1054" s="34">
        <v>20.99</v>
      </c>
      <c r="I1054">
        <v>2</v>
      </c>
      <c r="J1054" s="35">
        <v>0</v>
      </c>
      <c r="K1054" s="35">
        <v>1</v>
      </c>
      <c r="L1054" s="35">
        <v>1</v>
      </c>
      <c r="M1054">
        <v>4</v>
      </c>
      <c r="N1054">
        <v>3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3</v>
      </c>
      <c r="AK1054">
        <v>3</v>
      </c>
      <c r="AL1054">
        <v>3</v>
      </c>
      <c r="AM1054">
        <v>0</v>
      </c>
      <c r="AN1054" s="23">
        <v>0</v>
      </c>
      <c r="AO1054" s="23">
        <v>0.333333333333333</v>
      </c>
      <c r="AP1054" s="23">
        <v>0.666666666666667</v>
      </c>
      <c r="AQ1054" s="23" t="s">
        <v>54</v>
      </c>
      <c r="AR1054" s="37">
        <v>0</v>
      </c>
      <c r="AS1054" s="37">
        <v>0</v>
      </c>
      <c r="AT1054" s="37">
        <v>4</v>
      </c>
      <c r="AU1054" s="33" t="str">
        <f t="shared" si="19"/>
        <v>库存为4</v>
      </c>
      <c r="AV1054" s="38" t="str">
        <f>IFERROR(时间!$B$4+AU1054,"上周无销量")</f>
        <v>上周无销量</v>
      </c>
    </row>
    <row r="1055" spans="1:48">
      <c r="A1055" s="21" t="s">
        <v>2306</v>
      </c>
      <c r="B1055" t="s">
        <v>2307</v>
      </c>
      <c r="C1055" t="s">
        <v>2305</v>
      </c>
      <c r="D1055" s="33">
        <v>0</v>
      </c>
      <c r="E1055" s="33">
        <v>0</v>
      </c>
      <c r="F1055" s="33">
        <v>0</v>
      </c>
      <c r="G1055" s="33">
        <v>1</v>
      </c>
      <c r="H1055" s="34">
        <v>20.99</v>
      </c>
      <c r="I1055">
        <v>0</v>
      </c>
      <c r="J1055" s="35">
        <v>0</v>
      </c>
      <c r="K1055" s="35">
        <v>0</v>
      </c>
      <c r="L1055" s="35">
        <v>0</v>
      </c>
      <c r="M1055">
        <v>0</v>
      </c>
      <c r="N1055">
        <v>3</v>
      </c>
      <c r="O1055">
        <v>0</v>
      </c>
      <c r="P1055">
        <v>0</v>
      </c>
      <c r="Q1055">
        <v>0</v>
      </c>
      <c r="R1055">
        <v>1123</v>
      </c>
      <c r="S1055">
        <v>477</v>
      </c>
      <c r="T1055">
        <v>0</v>
      </c>
      <c r="U1055">
        <v>0</v>
      </c>
      <c r="V1055">
        <v>19</v>
      </c>
      <c r="W1055">
        <v>4</v>
      </c>
      <c r="X1055" s="23" t="s">
        <v>54</v>
      </c>
      <c r="Y1055" s="23" t="s">
        <v>54</v>
      </c>
      <c r="Z1055" s="23">
        <v>0.0169189670525378</v>
      </c>
      <c r="AA1055" s="23">
        <v>0.00838574423480084</v>
      </c>
      <c r="AB1055">
        <v>0</v>
      </c>
      <c r="AC1055">
        <v>0</v>
      </c>
      <c r="AD1055">
        <v>4.62</v>
      </c>
      <c r="AE1055">
        <v>1.06</v>
      </c>
      <c r="AF1055" s="23" t="s">
        <v>54</v>
      </c>
      <c r="AG1055" s="23" t="s">
        <v>54</v>
      </c>
      <c r="AH1055" s="23">
        <v>0</v>
      </c>
      <c r="AI1055" s="23">
        <v>0.0505002382086708</v>
      </c>
      <c r="AJ1055">
        <v>0</v>
      </c>
      <c r="AK1055">
        <v>0</v>
      </c>
      <c r="AL1055">
        <v>0</v>
      </c>
      <c r="AM1055">
        <v>4</v>
      </c>
      <c r="AN1055" s="23" t="s">
        <v>54</v>
      </c>
      <c r="AO1055" s="23" t="s">
        <v>54</v>
      </c>
      <c r="AP1055" s="23" t="s">
        <v>54</v>
      </c>
      <c r="AQ1055" s="23">
        <v>0.25</v>
      </c>
      <c r="AR1055" s="37">
        <v>0</v>
      </c>
      <c r="AS1055" s="37">
        <v>0</v>
      </c>
      <c r="AT1055" s="37">
        <v>0</v>
      </c>
      <c r="AU1055" s="33" t="str">
        <f t="shared" si="19"/>
        <v>库存为0</v>
      </c>
      <c r="AV1055" s="38" t="str">
        <f>IFERROR(时间!$B$4+AU1055,"上周无销量")</f>
        <v>上周无销量</v>
      </c>
    </row>
    <row r="1056" spans="1:48">
      <c r="A1056" s="21" t="s">
        <v>2308</v>
      </c>
      <c r="B1056" t="s">
        <v>2309</v>
      </c>
      <c r="C1056" t="s">
        <v>2305</v>
      </c>
      <c r="D1056" s="33">
        <v>0</v>
      </c>
      <c r="E1056" s="33">
        <v>1</v>
      </c>
      <c r="F1056" s="33">
        <v>0</v>
      </c>
      <c r="G1056" s="33">
        <v>0</v>
      </c>
      <c r="H1056" s="34">
        <v>20.99</v>
      </c>
      <c r="I1056">
        <v>0</v>
      </c>
      <c r="J1056" s="35">
        <v>0</v>
      </c>
      <c r="K1056" s="35">
        <v>0</v>
      </c>
      <c r="L1056" s="35">
        <v>0</v>
      </c>
      <c r="M1056">
        <v>0</v>
      </c>
      <c r="N1056">
        <v>3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0</v>
      </c>
      <c r="AK1056">
        <v>0</v>
      </c>
      <c r="AL1056">
        <v>0</v>
      </c>
      <c r="AM1056">
        <v>0</v>
      </c>
      <c r="AN1056" s="23" t="s">
        <v>54</v>
      </c>
      <c r="AO1056" s="23" t="s">
        <v>54</v>
      </c>
      <c r="AP1056" s="23" t="s">
        <v>54</v>
      </c>
      <c r="AQ1056" s="23" t="s">
        <v>54</v>
      </c>
      <c r="AR1056" s="37">
        <v>0</v>
      </c>
      <c r="AS1056" s="37">
        <v>0</v>
      </c>
      <c r="AT1056" s="37">
        <v>0</v>
      </c>
      <c r="AU1056" s="33" t="str">
        <f t="shared" si="19"/>
        <v>库存为0</v>
      </c>
      <c r="AV1056" s="38" t="str">
        <f>IFERROR(时间!$B$4+AU1056,"上周无销量")</f>
        <v>上周无销量</v>
      </c>
    </row>
    <row r="1057" spans="1:48">
      <c r="A1057" s="21" t="s">
        <v>2310</v>
      </c>
      <c r="B1057" t="s">
        <v>2311</v>
      </c>
      <c r="C1057" t="s">
        <v>2305</v>
      </c>
      <c r="D1057" s="33">
        <v>0</v>
      </c>
      <c r="E1057" s="33">
        <v>1</v>
      </c>
      <c r="F1057" s="33">
        <v>0</v>
      </c>
      <c r="G1057" s="33">
        <v>2</v>
      </c>
      <c r="H1057" s="34">
        <v>21.99</v>
      </c>
      <c r="I1057">
        <v>0</v>
      </c>
      <c r="J1057" s="35">
        <v>0</v>
      </c>
      <c r="K1057" s="35">
        <v>0</v>
      </c>
      <c r="L1057" s="35">
        <v>0</v>
      </c>
      <c r="M1057">
        <v>0</v>
      </c>
      <c r="N1057">
        <v>4</v>
      </c>
      <c r="O1057">
        <v>0</v>
      </c>
      <c r="P1057">
        <v>8282</v>
      </c>
      <c r="Q1057">
        <v>0</v>
      </c>
      <c r="R1057">
        <v>5709</v>
      </c>
      <c r="S1057">
        <v>0</v>
      </c>
      <c r="T1057">
        <v>61</v>
      </c>
      <c r="U1057">
        <v>0</v>
      </c>
      <c r="V1057">
        <v>25</v>
      </c>
      <c r="W1057">
        <v>0</v>
      </c>
      <c r="X1057" s="23">
        <v>0.0073653706834098</v>
      </c>
      <c r="Y1057" s="23" t="s">
        <v>54</v>
      </c>
      <c r="Z1057" s="23">
        <v>0.00437905062182519</v>
      </c>
      <c r="AA1057" s="23" t="s">
        <v>54</v>
      </c>
      <c r="AB1057">
        <v>17.87</v>
      </c>
      <c r="AC1057">
        <v>0</v>
      </c>
      <c r="AD1057">
        <v>7.89</v>
      </c>
      <c r="AE1057">
        <v>0</v>
      </c>
      <c r="AF1057" s="23">
        <v>0</v>
      </c>
      <c r="AG1057" s="23" t="s">
        <v>54</v>
      </c>
      <c r="AH1057" s="23">
        <v>0</v>
      </c>
      <c r="AI1057" s="23" t="s">
        <v>54</v>
      </c>
      <c r="AJ1057">
        <v>0</v>
      </c>
      <c r="AK1057">
        <v>0</v>
      </c>
      <c r="AL1057">
        <v>0</v>
      </c>
      <c r="AM1057">
        <v>12</v>
      </c>
      <c r="AN1057" s="23" t="s">
        <v>54</v>
      </c>
      <c r="AO1057" s="23" t="s">
        <v>54</v>
      </c>
      <c r="AP1057" s="23" t="s">
        <v>54</v>
      </c>
      <c r="AQ1057" s="23">
        <v>0.166666666666667</v>
      </c>
      <c r="AR1057" s="37">
        <v>0</v>
      </c>
      <c r="AS1057" s="37">
        <v>0</v>
      </c>
      <c r="AT1057" s="37">
        <v>0</v>
      </c>
      <c r="AU1057" s="33" t="str">
        <f t="shared" si="19"/>
        <v>库存为0</v>
      </c>
      <c r="AV1057" s="38" t="str">
        <f>IFERROR(时间!$B$4+AU1057,"上周无销量")</f>
        <v>上周无销量</v>
      </c>
    </row>
    <row r="1058" spans="1:48">
      <c r="A1058" s="21" t="s">
        <v>2312</v>
      </c>
      <c r="B1058" t="s">
        <v>2313</v>
      </c>
      <c r="C1058" t="s">
        <v>2305</v>
      </c>
      <c r="D1058" s="33">
        <v>0</v>
      </c>
      <c r="E1058" s="33">
        <v>0</v>
      </c>
      <c r="F1058" s="33">
        <v>1</v>
      </c>
      <c r="G1058" s="33">
        <v>2</v>
      </c>
      <c r="H1058" s="34">
        <v>19.99</v>
      </c>
      <c r="I1058">
        <v>0</v>
      </c>
      <c r="J1058" s="35">
        <v>0</v>
      </c>
      <c r="K1058" s="35">
        <v>0</v>
      </c>
      <c r="L1058" s="35">
        <v>0</v>
      </c>
      <c r="M1058">
        <v>0</v>
      </c>
      <c r="N1058">
        <v>2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3</v>
      </c>
      <c r="AK1058">
        <v>1</v>
      </c>
      <c r="AL1058">
        <v>1</v>
      </c>
      <c r="AM1058">
        <v>6</v>
      </c>
      <c r="AN1058" s="23">
        <v>0</v>
      </c>
      <c r="AO1058" s="23">
        <v>0</v>
      </c>
      <c r="AP1058" s="23">
        <v>1</v>
      </c>
      <c r="AQ1058" s="23">
        <v>0.333333333333333</v>
      </c>
      <c r="AR1058" s="37">
        <v>0</v>
      </c>
      <c r="AS1058" s="37">
        <v>0</v>
      </c>
      <c r="AT1058" s="37">
        <v>0</v>
      </c>
      <c r="AU1058" s="33" t="str">
        <f t="shared" si="19"/>
        <v>库存为0</v>
      </c>
      <c r="AV1058" s="38" t="str">
        <f>IFERROR(时间!$B$4+AU1058,"上周无销量")</f>
        <v>上周无销量</v>
      </c>
    </row>
    <row r="1059" spans="1:48">
      <c r="A1059" s="21" t="s">
        <v>2314</v>
      </c>
      <c r="B1059" t="s">
        <v>2315</v>
      </c>
      <c r="C1059" t="s">
        <v>2305</v>
      </c>
      <c r="D1059" s="33">
        <v>0</v>
      </c>
      <c r="E1059" s="33">
        <v>0</v>
      </c>
      <c r="F1059" s="33">
        <v>0</v>
      </c>
      <c r="G1059" s="33">
        <v>0</v>
      </c>
      <c r="H1059" s="34">
        <v>0</v>
      </c>
      <c r="I1059">
        <v>0</v>
      </c>
      <c r="J1059" s="35">
        <v>0</v>
      </c>
      <c r="K1059" s="35">
        <v>0</v>
      </c>
      <c r="L1059" s="35">
        <v>0</v>
      </c>
      <c r="M1059">
        <v>0</v>
      </c>
      <c r="N1059">
        <v>2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0</v>
      </c>
      <c r="AK1059">
        <v>0</v>
      </c>
      <c r="AL1059">
        <v>0</v>
      </c>
      <c r="AM1059">
        <v>0</v>
      </c>
      <c r="AN1059" s="23" t="s">
        <v>54</v>
      </c>
      <c r="AO1059" s="23" t="s">
        <v>54</v>
      </c>
      <c r="AP1059" s="23" t="s">
        <v>54</v>
      </c>
      <c r="AQ1059" s="23" t="s">
        <v>54</v>
      </c>
      <c r="AR1059" s="37">
        <v>0</v>
      </c>
      <c r="AS1059" s="37">
        <v>0</v>
      </c>
      <c r="AT1059" s="37">
        <v>0</v>
      </c>
      <c r="AU1059" s="33" t="str">
        <f t="shared" si="19"/>
        <v>库存为0</v>
      </c>
      <c r="AV1059" s="38" t="str">
        <f>IFERROR(时间!$B$4+AU1059,"上周无销量")</f>
        <v>上周无销量</v>
      </c>
    </row>
    <row r="1060" spans="1:48">
      <c r="A1060" s="21" t="s">
        <v>2316</v>
      </c>
      <c r="B1060" t="s">
        <v>2317</v>
      </c>
      <c r="C1060" t="s">
        <v>2305</v>
      </c>
      <c r="D1060" s="33">
        <v>1</v>
      </c>
      <c r="E1060" s="33">
        <v>1</v>
      </c>
      <c r="F1060" s="33">
        <v>0</v>
      </c>
      <c r="G1060" s="33">
        <v>0</v>
      </c>
      <c r="H1060" s="34">
        <v>19.99</v>
      </c>
      <c r="I1060">
        <v>1</v>
      </c>
      <c r="J1060" s="35">
        <v>0</v>
      </c>
      <c r="K1060" s="35">
        <v>0</v>
      </c>
      <c r="L1060" s="35">
        <v>0</v>
      </c>
      <c r="M1060">
        <v>1</v>
      </c>
      <c r="N1060">
        <v>0</v>
      </c>
      <c r="O1060">
        <v>0</v>
      </c>
      <c r="P1060">
        <v>0</v>
      </c>
      <c r="Q1060">
        <v>29240</v>
      </c>
      <c r="R1060">
        <v>148006</v>
      </c>
      <c r="S1060">
        <v>49007</v>
      </c>
      <c r="T1060">
        <v>0</v>
      </c>
      <c r="U1060">
        <v>112</v>
      </c>
      <c r="V1060">
        <v>511</v>
      </c>
      <c r="W1060">
        <v>178</v>
      </c>
      <c r="X1060" s="23" t="s">
        <v>54</v>
      </c>
      <c r="Y1060" s="23">
        <v>0.00383036935704514</v>
      </c>
      <c r="Z1060" s="23">
        <v>0.00345256273394322</v>
      </c>
      <c r="AA1060" s="23">
        <v>0.00363213418491236</v>
      </c>
      <c r="AB1060">
        <v>0</v>
      </c>
      <c r="AC1060">
        <v>29.34</v>
      </c>
      <c r="AD1060">
        <v>133.59</v>
      </c>
      <c r="AE1060">
        <v>47.47</v>
      </c>
      <c r="AF1060" s="23" t="s">
        <v>54</v>
      </c>
      <c r="AG1060" s="23">
        <v>1.46773386693347</v>
      </c>
      <c r="AH1060" s="23">
        <v>0</v>
      </c>
      <c r="AI1060" s="23">
        <v>0</v>
      </c>
      <c r="AJ1060">
        <v>9</v>
      </c>
      <c r="AK1060">
        <v>71</v>
      </c>
      <c r="AL1060">
        <v>71</v>
      </c>
      <c r="AM1060">
        <v>133</v>
      </c>
      <c r="AN1060" s="23">
        <v>0.111111111111111</v>
      </c>
      <c r="AO1060" s="23">
        <v>0.0140845070422535</v>
      </c>
      <c r="AP1060" s="23">
        <v>0</v>
      </c>
      <c r="AQ1060" s="23">
        <v>0</v>
      </c>
      <c r="AR1060" s="37">
        <v>0.142857142857143</v>
      </c>
      <c r="AS1060" s="37">
        <v>8.57142857142857</v>
      </c>
      <c r="AT1060" s="37">
        <v>-7.57142857142857</v>
      </c>
      <c r="AU1060" s="33">
        <f t="shared" si="19"/>
        <v>7</v>
      </c>
      <c r="AV1060" s="38">
        <f>IFERROR(时间!$B$4+AU1060,"上周无销量")</f>
        <v>43297</v>
      </c>
    </row>
    <row r="1061" spans="1:48">
      <c r="A1061" s="21" t="s">
        <v>2318</v>
      </c>
      <c r="B1061" t="s">
        <v>2319</v>
      </c>
      <c r="C1061" t="s">
        <v>2305</v>
      </c>
      <c r="D1061" s="33">
        <v>1</v>
      </c>
      <c r="E1061" s="33">
        <v>0</v>
      </c>
      <c r="F1061" s="33">
        <v>0</v>
      </c>
      <c r="G1061" s="33">
        <v>0</v>
      </c>
      <c r="H1061" s="34">
        <v>19.99</v>
      </c>
      <c r="I1061">
        <v>0</v>
      </c>
      <c r="J1061" s="35">
        <v>0</v>
      </c>
      <c r="K1061" s="35">
        <v>0</v>
      </c>
      <c r="L1061" s="35">
        <v>0</v>
      </c>
      <c r="M1061">
        <v>0</v>
      </c>
      <c r="N1061">
        <v>2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4</v>
      </c>
      <c r="AK1061">
        <v>0</v>
      </c>
      <c r="AL1061">
        <v>0</v>
      </c>
      <c r="AM1061">
        <v>0</v>
      </c>
      <c r="AN1061" s="23">
        <v>0.25</v>
      </c>
      <c r="AO1061" s="23" t="s">
        <v>54</v>
      </c>
      <c r="AP1061" s="23" t="s">
        <v>54</v>
      </c>
      <c r="AQ1061" s="23" t="s">
        <v>54</v>
      </c>
      <c r="AR1061" s="37">
        <v>0.142857142857143</v>
      </c>
      <c r="AS1061" s="37">
        <v>8.57142857142857</v>
      </c>
      <c r="AT1061" s="37">
        <v>-8.57142857142857</v>
      </c>
      <c r="AU1061" s="33">
        <f t="shared" si="19"/>
        <v>0</v>
      </c>
      <c r="AV1061" s="38">
        <f>IFERROR(时间!$B$4+AU1061,"上周无销量")</f>
        <v>43290</v>
      </c>
    </row>
    <row r="1062" spans="1:48">
      <c r="A1062" s="21" t="s">
        <v>2320</v>
      </c>
      <c r="B1062" t="s">
        <v>2321</v>
      </c>
      <c r="C1062" t="s">
        <v>2322</v>
      </c>
      <c r="D1062" s="33">
        <v>0</v>
      </c>
      <c r="E1062" s="33">
        <v>0</v>
      </c>
      <c r="F1062" s="33">
        <v>0</v>
      </c>
      <c r="G1062" s="33">
        <v>0</v>
      </c>
      <c r="H1062" s="34">
        <v>0</v>
      </c>
      <c r="I1062">
        <v>1</v>
      </c>
      <c r="J1062" s="35">
        <v>0</v>
      </c>
      <c r="K1062" s="35">
        <v>0</v>
      </c>
      <c r="L1062" s="35">
        <v>0</v>
      </c>
      <c r="M1062">
        <v>1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7</v>
      </c>
      <c r="AK1062">
        <v>6</v>
      </c>
      <c r="AL1062">
        <v>6</v>
      </c>
      <c r="AM1062">
        <v>8</v>
      </c>
      <c r="AN1062" s="23">
        <v>0</v>
      </c>
      <c r="AO1062" s="23">
        <v>0</v>
      </c>
      <c r="AP1062" s="23">
        <v>0</v>
      </c>
      <c r="AQ1062" s="23">
        <v>0</v>
      </c>
      <c r="AR1062" s="37">
        <v>0</v>
      </c>
      <c r="AS1062" s="37">
        <v>0</v>
      </c>
      <c r="AT1062" s="37">
        <v>1</v>
      </c>
      <c r="AU1062" s="33" t="str">
        <f t="shared" si="19"/>
        <v>库存为1</v>
      </c>
      <c r="AV1062" s="38" t="str">
        <f>IFERROR(时间!$B$4+AU1062,"上周无销量")</f>
        <v>上周无销量</v>
      </c>
    </row>
    <row r="1063" spans="1:48">
      <c r="A1063" s="21" t="s">
        <v>2323</v>
      </c>
      <c r="B1063" t="s">
        <v>2324</v>
      </c>
      <c r="C1063" t="s">
        <v>2322</v>
      </c>
      <c r="D1063" s="33">
        <v>0</v>
      </c>
      <c r="E1063" s="33">
        <v>1</v>
      </c>
      <c r="F1063" s="33">
        <v>1</v>
      </c>
      <c r="G1063" s="33">
        <v>0</v>
      </c>
      <c r="H1063" s="34">
        <v>19.99</v>
      </c>
      <c r="I1063">
        <v>3</v>
      </c>
      <c r="J1063" s="35">
        <v>0</v>
      </c>
      <c r="K1063" s="35">
        <v>0</v>
      </c>
      <c r="L1063" s="35">
        <v>0</v>
      </c>
      <c r="M1063">
        <v>3</v>
      </c>
      <c r="N1063">
        <v>0</v>
      </c>
      <c r="O1063">
        <v>4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4</v>
      </c>
      <c r="AK1063">
        <v>3</v>
      </c>
      <c r="AL1063">
        <v>3</v>
      </c>
      <c r="AM1063">
        <v>0</v>
      </c>
      <c r="AN1063" s="23">
        <v>0</v>
      </c>
      <c r="AO1063" s="23">
        <v>0.333333333333333</v>
      </c>
      <c r="AP1063" s="23">
        <v>0.333333333333333</v>
      </c>
      <c r="AQ1063" s="23" t="s">
        <v>54</v>
      </c>
      <c r="AR1063" s="37">
        <v>0</v>
      </c>
      <c r="AS1063" s="37">
        <v>0</v>
      </c>
      <c r="AT1063" s="37">
        <v>3</v>
      </c>
      <c r="AU1063" s="33" t="str">
        <f t="shared" si="19"/>
        <v>库存为3</v>
      </c>
      <c r="AV1063" s="38" t="str">
        <f>IFERROR(时间!$B$4+AU1063,"上周无销量")</f>
        <v>上周无销量</v>
      </c>
    </row>
    <row r="1064" spans="1:48">
      <c r="A1064" s="21" t="s">
        <v>2325</v>
      </c>
      <c r="B1064" t="s">
        <v>2326</v>
      </c>
      <c r="C1064" t="s">
        <v>2322</v>
      </c>
      <c r="D1064" s="33">
        <v>0</v>
      </c>
      <c r="E1064" s="33">
        <v>0</v>
      </c>
      <c r="F1064" s="33">
        <v>1</v>
      </c>
      <c r="G1064" s="33">
        <v>0</v>
      </c>
      <c r="H1064" s="34">
        <v>19.99</v>
      </c>
      <c r="I1064">
        <v>4</v>
      </c>
      <c r="J1064" s="35">
        <v>0</v>
      </c>
      <c r="K1064" s="35">
        <v>0</v>
      </c>
      <c r="L1064" s="35">
        <v>0</v>
      </c>
      <c r="M1064">
        <v>4</v>
      </c>
      <c r="N1064">
        <v>0</v>
      </c>
      <c r="O1064">
        <v>4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6</v>
      </c>
      <c r="AK1064">
        <v>12</v>
      </c>
      <c r="AL1064">
        <v>12</v>
      </c>
      <c r="AM1064">
        <v>6</v>
      </c>
      <c r="AN1064" s="23">
        <v>0</v>
      </c>
      <c r="AO1064" s="23">
        <v>0</v>
      </c>
      <c r="AP1064" s="23">
        <v>0.0833333333333333</v>
      </c>
      <c r="AQ1064" s="23">
        <v>0</v>
      </c>
      <c r="AR1064" s="37">
        <v>0</v>
      </c>
      <c r="AS1064" s="37">
        <v>0</v>
      </c>
      <c r="AT1064" s="37">
        <v>4</v>
      </c>
      <c r="AU1064" s="33" t="str">
        <f t="shared" si="19"/>
        <v>库存为4</v>
      </c>
      <c r="AV1064" s="38" t="str">
        <f>IFERROR(时间!$B$4+AU1064,"上周无销量")</f>
        <v>上周无销量</v>
      </c>
    </row>
    <row r="1065" spans="1:48">
      <c r="A1065" s="21" t="s">
        <v>2327</v>
      </c>
      <c r="B1065" t="s">
        <v>2328</v>
      </c>
      <c r="C1065" t="s">
        <v>2322</v>
      </c>
      <c r="D1065" s="33">
        <v>0</v>
      </c>
      <c r="E1065" s="33">
        <v>0</v>
      </c>
      <c r="F1065" s="33">
        <v>0</v>
      </c>
      <c r="G1065" s="33">
        <v>0</v>
      </c>
      <c r="H1065" s="34">
        <v>0</v>
      </c>
      <c r="I1065">
        <v>0</v>
      </c>
      <c r="J1065" s="35">
        <v>0</v>
      </c>
      <c r="K1065" s="35">
        <v>0</v>
      </c>
      <c r="L1065" s="35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s">
        <v>54</v>
      </c>
      <c r="AO1065" s="23" t="s">
        <v>54</v>
      </c>
      <c r="AP1065" s="23" t="s">
        <v>54</v>
      </c>
      <c r="AQ1065" s="23" t="s">
        <v>54</v>
      </c>
      <c r="AR1065" s="37">
        <v>0</v>
      </c>
      <c r="AS1065" s="37">
        <v>0</v>
      </c>
      <c r="AT1065" s="37">
        <v>0</v>
      </c>
      <c r="AU1065" s="33" t="str">
        <f t="shared" si="19"/>
        <v>库存为0</v>
      </c>
      <c r="AV1065" s="38" t="str">
        <f>IFERROR(时间!$B$4+AU1065,"上周无销量")</f>
        <v>上周无销量</v>
      </c>
    </row>
    <row r="1066" spans="1:48">
      <c r="A1066" s="21" t="s">
        <v>2329</v>
      </c>
      <c r="B1066" t="s">
        <v>2330</v>
      </c>
      <c r="C1066" t="s">
        <v>2331</v>
      </c>
      <c r="D1066" s="33">
        <v>0</v>
      </c>
      <c r="E1066" s="33">
        <v>0</v>
      </c>
      <c r="F1066" s="33">
        <v>0</v>
      </c>
      <c r="G1066" s="33">
        <v>0</v>
      </c>
      <c r="H1066" s="34">
        <v>0</v>
      </c>
      <c r="I1066">
        <v>0</v>
      </c>
      <c r="J1066" s="35">
        <v>0</v>
      </c>
      <c r="K1066" s="35">
        <v>0</v>
      </c>
      <c r="L1066" s="35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s">
        <v>54</v>
      </c>
      <c r="AO1066" s="23" t="s">
        <v>54</v>
      </c>
      <c r="AP1066" s="23" t="s">
        <v>54</v>
      </c>
      <c r="AQ1066" s="23" t="s">
        <v>54</v>
      </c>
      <c r="AR1066" s="37">
        <v>0</v>
      </c>
      <c r="AS1066" s="37">
        <v>0</v>
      </c>
      <c r="AT1066" s="37">
        <v>0</v>
      </c>
      <c r="AU1066" s="33" t="str">
        <f t="shared" si="19"/>
        <v>库存为0</v>
      </c>
      <c r="AV1066" s="38" t="str">
        <f>IFERROR(时间!$B$4+AU1066,"上周无销量")</f>
        <v>上周无销量</v>
      </c>
    </row>
    <row r="1067" spans="1:48">
      <c r="A1067" s="21" t="s">
        <v>2332</v>
      </c>
      <c r="B1067" t="s">
        <v>2333</v>
      </c>
      <c r="C1067" t="s">
        <v>2331</v>
      </c>
      <c r="D1067" s="33">
        <v>0</v>
      </c>
      <c r="E1067" s="33">
        <v>0</v>
      </c>
      <c r="F1067" s="33">
        <v>0</v>
      </c>
      <c r="G1067" s="33">
        <v>0</v>
      </c>
      <c r="H1067" s="34">
        <v>0</v>
      </c>
      <c r="I1067">
        <v>0</v>
      </c>
      <c r="J1067" s="35">
        <v>0</v>
      </c>
      <c r="K1067" s="35">
        <v>0</v>
      </c>
      <c r="L1067" s="35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0</v>
      </c>
      <c r="AM1067">
        <v>0</v>
      </c>
      <c r="AN1067" s="23" t="s">
        <v>54</v>
      </c>
      <c r="AO1067" s="23" t="s">
        <v>54</v>
      </c>
      <c r="AP1067" s="23" t="s">
        <v>54</v>
      </c>
      <c r="AQ1067" s="23" t="s">
        <v>54</v>
      </c>
      <c r="AR1067" s="37">
        <v>0</v>
      </c>
      <c r="AS1067" s="37">
        <v>0</v>
      </c>
      <c r="AT1067" s="37">
        <v>0</v>
      </c>
      <c r="AU1067" s="33" t="str">
        <f t="shared" si="19"/>
        <v>库存为0</v>
      </c>
      <c r="AV1067" s="38" t="str">
        <f>IFERROR(时间!$B$4+AU1067,"上周无销量")</f>
        <v>上周无销量</v>
      </c>
    </row>
    <row r="1068" spans="1:48">
      <c r="A1068" s="21" t="s">
        <v>2334</v>
      </c>
      <c r="B1068" t="s">
        <v>2335</v>
      </c>
      <c r="C1068" t="s">
        <v>2336</v>
      </c>
      <c r="D1068" s="33">
        <v>0</v>
      </c>
      <c r="E1068" s="33">
        <v>0</v>
      </c>
      <c r="F1068" s="33">
        <v>0</v>
      </c>
      <c r="G1068" s="33">
        <v>0</v>
      </c>
      <c r="H1068" s="34">
        <v>0</v>
      </c>
      <c r="I1068">
        <v>0</v>
      </c>
      <c r="J1068" s="35">
        <v>0</v>
      </c>
      <c r="K1068" s="35">
        <v>0</v>
      </c>
      <c r="L1068" s="35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s">
        <v>54</v>
      </c>
      <c r="AO1068" s="23" t="s">
        <v>54</v>
      </c>
      <c r="AP1068" s="23" t="s">
        <v>54</v>
      </c>
      <c r="AQ1068" s="23" t="s">
        <v>54</v>
      </c>
      <c r="AR1068" s="37">
        <v>0</v>
      </c>
      <c r="AS1068" s="37">
        <v>0</v>
      </c>
      <c r="AT1068" s="37">
        <v>0</v>
      </c>
      <c r="AU1068" s="33" t="str">
        <f t="shared" si="19"/>
        <v>库存为0</v>
      </c>
      <c r="AV1068" s="38" t="str">
        <f>IFERROR(时间!$B$4+AU1068,"上周无销量")</f>
        <v>上周无销量</v>
      </c>
    </row>
    <row r="1069" spans="1:48">
      <c r="A1069" s="21" t="s">
        <v>2337</v>
      </c>
      <c r="B1069" t="s">
        <v>2338</v>
      </c>
      <c r="C1069" t="s">
        <v>2336</v>
      </c>
      <c r="D1069" s="33">
        <v>0</v>
      </c>
      <c r="E1069" s="33">
        <v>0</v>
      </c>
      <c r="F1069" s="33">
        <v>0</v>
      </c>
      <c r="G1069" s="33">
        <v>0</v>
      </c>
      <c r="H1069" s="34">
        <v>0</v>
      </c>
      <c r="I1069">
        <v>0</v>
      </c>
      <c r="J1069" s="35">
        <v>0</v>
      </c>
      <c r="K1069" s="35">
        <v>0</v>
      </c>
      <c r="L1069" s="35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s">
        <v>54</v>
      </c>
      <c r="AO1069" s="23" t="s">
        <v>54</v>
      </c>
      <c r="AP1069" s="23" t="s">
        <v>54</v>
      </c>
      <c r="AQ1069" s="23" t="s">
        <v>54</v>
      </c>
      <c r="AR1069" s="37">
        <v>0</v>
      </c>
      <c r="AS1069" s="37">
        <v>0</v>
      </c>
      <c r="AT1069" s="37">
        <v>0</v>
      </c>
      <c r="AU1069" s="33" t="str">
        <f t="shared" si="19"/>
        <v>库存为0</v>
      </c>
      <c r="AV1069" s="38" t="str">
        <f>IFERROR(时间!$B$4+AU1069,"上周无销量")</f>
        <v>上周无销量</v>
      </c>
    </row>
    <row r="1070" spans="1:48">
      <c r="A1070" s="21" t="s">
        <v>2339</v>
      </c>
      <c r="B1070" t="s">
        <v>2340</v>
      </c>
      <c r="C1070" t="s">
        <v>2336</v>
      </c>
      <c r="D1070" s="33">
        <v>0</v>
      </c>
      <c r="E1070" s="33">
        <v>0</v>
      </c>
      <c r="F1070" s="33">
        <v>0</v>
      </c>
      <c r="G1070" s="33">
        <v>0</v>
      </c>
      <c r="H1070" s="34">
        <v>0</v>
      </c>
      <c r="I1070">
        <v>9</v>
      </c>
      <c r="J1070" s="35">
        <v>0</v>
      </c>
      <c r="K1070" s="35">
        <v>0</v>
      </c>
      <c r="L1070" s="35">
        <v>0</v>
      </c>
      <c r="M1070">
        <v>9</v>
      </c>
      <c r="N1070">
        <v>0</v>
      </c>
      <c r="O1070">
        <v>9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2</v>
      </c>
      <c r="AK1070">
        <v>1</v>
      </c>
      <c r="AL1070">
        <v>1</v>
      </c>
      <c r="AM1070">
        <v>4</v>
      </c>
      <c r="AN1070" s="23">
        <v>0</v>
      </c>
      <c r="AO1070" s="23">
        <v>0</v>
      </c>
      <c r="AP1070" s="23">
        <v>0</v>
      </c>
      <c r="AQ1070" s="23">
        <v>0</v>
      </c>
      <c r="AR1070" s="37">
        <v>0</v>
      </c>
      <c r="AS1070" s="37">
        <v>0</v>
      </c>
      <c r="AT1070" s="37">
        <v>9</v>
      </c>
      <c r="AU1070" s="33" t="str">
        <f t="shared" si="19"/>
        <v>库存为9</v>
      </c>
      <c r="AV1070" s="38" t="str">
        <f>IFERROR(时间!$B$4+AU1070,"上周无销量")</f>
        <v>上周无销量</v>
      </c>
    </row>
    <row r="1071" spans="1:48">
      <c r="A1071" s="21" t="s">
        <v>2341</v>
      </c>
      <c r="B1071" t="s">
        <v>2342</v>
      </c>
      <c r="C1071" t="s">
        <v>2336</v>
      </c>
      <c r="D1071" s="33">
        <v>0</v>
      </c>
      <c r="E1071" s="33">
        <v>0</v>
      </c>
      <c r="F1071" s="33">
        <v>0</v>
      </c>
      <c r="G1071" s="33">
        <v>0</v>
      </c>
      <c r="H1071" s="34">
        <v>0</v>
      </c>
      <c r="I1071">
        <v>0</v>
      </c>
      <c r="J1071" s="35">
        <v>0</v>
      </c>
      <c r="K1071" s="35">
        <v>0</v>
      </c>
      <c r="L1071" s="35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s">
        <v>54</v>
      </c>
      <c r="AO1071" s="23" t="s">
        <v>54</v>
      </c>
      <c r="AP1071" s="23" t="s">
        <v>54</v>
      </c>
      <c r="AQ1071" s="23" t="s">
        <v>54</v>
      </c>
      <c r="AR1071" s="37">
        <v>0</v>
      </c>
      <c r="AS1071" s="37">
        <v>0</v>
      </c>
      <c r="AT1071" s="37">
        <v>0</v>
      </c>
      <c r="AU1071" s="33" t="str">
        <f t="shared" si="19"/>
        <v>库存为0</v>
      </c>
      <c r="AV1071" s="38" t="str">
        <f>IFERROR(时间!$B$4+AU1071,"上周无销量")</f>
        <v>上周无销量</v>
      </c>
    </row>
    <row r="1072" spans="1:48">
      <c r="A1072" s="21" t="s">
        <v>2343</v>
      </c>
      <c r="B1072" t="s">
        <v>2344</v>
      </c>
      <c r="C1072" t="s">
        <v>2336</v>
      </c>
      <c r="D1072" s="33">
        <v>0</v>
      </c>
      <c r="E1072" s="33">
        <v>0</v>
      </c>
      <c r="F1072" s="33">
        <v>0</v>
      </c>
      <c r="G1072" s="33">
        <v>0</v>
      </c>
      <c r="H1072" s="34">
        <v>0</v>
      </c>
      <c r="I1072">
        <v>2</v>
      </c>
      <c r="J1072" s="35">
        <v>0</v>
      </c>
      <c r="K1072" s="35">
        <v>0</v>
      </c>
      <c r="L1072" s="35">
        <v>0</v>
      </c>
      <c r="M1072">
        <v>2</v>
      </c>
      <c r="N1072">
        <v>0</v>
      </c>
      <c r="O1072">
        <v>2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3</v>
      </c>
      <c r="AK1072">
        <v>3</v>
      </c>
      <c r="AL1072">
        <v>3</v>
      </c>
      <c r="AM1072">
        <v>1</v>
      </c>
      <c r="AN1072" s="23">
        <v>0</v>
      </c>
      <c r="AO1072" s="23">
        <v>0</v>
      </c>
      <c r="AP1072" s="23">
        <v>0</v>
      </c>
      <c r="AQ1072" s="23">
        <v>0</v>
      </c>
      <c r="AR1072" s="37">
        <v>0</v>
      </c>
      <c r="AS1072" s="37">
        <v>0</v>
      </c>
      <c r="AT1072" s="37">
        <v>2</v>
      </c>
      <c r="AU1072" s="33" t="str">
        <f t="shared" si="19"/>
        <v>库存为2</v>
      </c>
      <c r="AV1072" s="38" t="str">
        <f>IFERROR(时间!$B$4+AU1072,"上周无销量")</f>
        <v>上周无销量</v>
      </c>
    </row>
    <row r="1073" spans="1:48">
      <c r="A1073" s="21" t="s">
        <v>2345</v>
      </c>
      <c r="B1073" t="s">
        <v>2346</v>
      </c>
      <c r="C1073" t="s">
        <v>2336</v>
      </c>
      <c r="D1073" s="33">
        <v>0</v>
      </c>
      <c r="E1073" s="33">
        <v>0</v>
      </c>
      <c r="F1073" s="33">
        <v>0</v>
      </c>
      <c r="G1073" s="33">
        <v>0</v>
      </c>
      <c r="H1073" s="34">
        <v>0</v>
      </c>
      <c r="I1073">
        <v>4</v>
      </c>
      <c r="J1073" s="35">
        <v>0</v>
      </c>
      <c r="K1073" s="35">
        <v>0</v>
      </c>
      <c r="L1073" s="35">
        <v>0</v>
      </c>
      <c r="M1073">
        <v>4</v>
      </c>
      <c r="N1073">
        <v>0</v>
      </c>
      <c r="O1073">
        <v>4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3</v>
      </c>
      <c r="AK1073">
        <v>2</v>
      </c>
      <c r="AL1073">
        <v>2</v>
      </c>
      <c r="AM1073">
        <v>1</v>
      </c>
      <c r="AN1073" s="23">
        <v>0</v>
      </c>
      <c r="AO1073" s="23">
        <v>0</v>
      </c>
      <c r="AP1073" s="23">
        <v>0</v>
      </c>
      <c r="AQ1073" s="23">
        <v>0</v>
      </c>
      <c r="AR1073" s="37">
        <v>0</v>
      </c>
      <c r="AS1073" s="37">
        <v>0</v>
      </c>
      <c r="AT1073" s="37">
        <v>4</v>
      </c>
      <c r="AU1073" s="33" t="str">
        <f t="shared" si="19"/>
        <v>库存为4</v>
      </c>
      <c r="AV1073" s="38" t="str">
        <f>IFERROR(时间!$B$4+AU1073,"上周无销量")</f>
        <v>上周无销量</v>
      </c>
    </row>
    <row r="1074" spans="1:48">
      <c r="A1074" s="21" t="s">
        <v>2347</v>
      </c>
      <c r="B1074" t="s">
        <v>2348</v>
      </c>
      <c r="C1074" t="s">
        <v>2349</v>
      </c>
      <c r="D1074" s="33">
        <v>0</v>
      </c>
      <c r="E1074" s="33">
        <v>0</v>
      </c>
      <c r="F1074" s="33">
        <v>0</v>
      </c>
      <c r="G1074" s="33">
        <v>0</v>
      </c>
      <c r="H1074" s="34">
        <v>0</v>
      </c>
      <c r="I1074">
        <v>2</v>
      </c>
      <c r="J1074" s="35">
        <v>0</v>
      </c>
      <c r="K1074" s="35">
        <v>0</v>
      </c>
      <c r="L1074" s="35">
        <v>0</v>
      </c>
      <c r="M1074">
        <v>2</v>
      </c>
      <c r="N1074">
        <v>0</v>
      </c>
      <c r="O1074">
        <v>1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1</v>
      </c>
      <c r="AK1074">
        <v>1</v>
      </c>
      <c r="AL1074">
        <v>1</v>
      </c>
      <c r="AM1074">
        <v>3</v>
      </c>
      <c r="AN1074" s="23">
        <v>0</v>
      </c>
      <c r="AO1074" s="23">
        <v>0</v>
      </c>
      <c r="AP1074" s="23">
        <v>0</v>
      </c>
      <c r="AQ1074" s="23">
        <v>0</v>
      </c>
      <c r="AR1074" s="37">
        <v>0</v>
      </c>
      <c r="AS1074" s="37">
        <v>0</v>
      </c>
      <c r="AT1074" s="37">
        <v>2</v>
      </c>
      <c r="AU1074" s="33" t="str">
        <f t="shared" si="19"/>
        <v>库存为2</v>
      </c>
      <c r="AV1074" s="38" t="str">
        <f>IFERROR(时间!$B$4+AU1074,"上周无销量")</f>
        <v>上周无销量</v>
      </c>
    </row>
    <row r="1075" spans="1:48">
      <c r="A1075" s="21" t="s">
        <v>2350</v>
      </c>
      <c r="B1075" t="s">
        <v>2351</v>
      </c>
      <c r="C1075" t="s">
        <v>2349</v>
      </c>
      <c r="D1075" s="33">
        <v>0</v>
      </c>
      <c r="E1075" s="33">
        <v>0</v>
      </c>
      <c r="F1075" s="33">
        <v>0</v>
      </c>
      <c r="G1075" s="33">
        <v>0</v>
      </c>
      <c r="H1075" s="34">
        <v>0</v>
      </c>
      <c r="I1075">
        <v>1</v>
      </c>
      <c r="J1075" s="35">
        <v>0</v>
      </c>
      <c r="K1075" s="35">
        <v>0</v>
      </c>
      <c r="L1075" s="35">
        <v>0</v>
      </c>
      <c r="M1075">
        <v>1</v>
      </c>
      <c r="N1075">
        <v>0</v>
      </c>
      <c r="O1075">
        <v>1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3</v>
      </c>
      <c r="AK1075">
        <v>0</v>
      </c>
      <c r="AL1075">
        <v>0</v>
      </c>
      <c r="AM1075">
        <v>1</v>
      </c>
      <c r="AN1075" s="23">
        <v>0</v>
      </c>
      <c r="AO1075" s="23" t="s">
        <v>54</v>
      </c>
      <c r="AP1075" s="23" t="s">
        <v>54</v>
      </c>
      <c r="AQ1075" s="23">
        <v>0</v>
      </c>
      <c r="AR1075" s="37">
        <v>0</v>
      </c>
      <c r="AS1075" s="37">
        <v>0</v>
      </c>
      <c r="AT1075" s="37">
        <v>1</v>
      </c>
      <c r="AU1075" s="33" t="str">
        <f t="shared" si="19"/>
        <v>库存为1</v>
      </c>
      <c r="AV1075" s="38" t="str">
        <f>IFERROR(时间!$B$4+AU1075,"上周无销量")</f>
        <v>上周无销量</v>
      </c>
    </row>
    <row r="1076" spans="1:48">
      <c r="A1076" s="21" t="s">
        <v>2352</v>
      </c>
      <c r="B1076" t="s">
        <v>2353</v>
      </c>
      <c r="C1076" t="s">
        <v>2349</v>
      </c>
      <c r="D1076" s="33">
        <v>1</v>
      </c>
      <c r="E1076" s="33">
        <v>0</v>
      </c>
      <c r="F1076" s="33">
        <v>0</v>
      </c>
      <c r="G1076" s="33">
        <v>0</v>
      </c>
      <c r="H1076" s="34">
        <v>19.9</v>
      </c>
      <c r="I1076">
        <v>3</v>
      </c>
      <c r="J1076" s="35">
        <v>0</v>
      </c>
      <c r="K1076" s="35">
        <v>0</v>
      </c>
      <c r="L1076" s="35">
        <v>0</v>
      </c>
      <c r="M1076">
        <v>3</v>
      </c>
      <c r="N1076">
        <v>0</v>
      </c>
      <c r="O1076">
        <v>4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1</v>
      </c>
      <c r="AK1076">
        <v>1</v>
      </c>
      <c r="AL1076">
        <v>1</v>
      </c>
      <c r="AM1076">
        <v>0</v>
      </c>
      <c r="AN1076" s="23">
        <v>1</v>
      </c>
      <c r="AO1076" s="23">
        <v>0</v>
      </c>
      <c r="AP1076" s="23">
        <v>0</v>
      </c>
      <c r="AQ1076" s="23" t="s">
        <v>54</v>
      </c>
      <c r="AR1076" s="37">
        <v>0.142857142857143</v>
      </c>
      <c r="AS1076" s="37">
        <v>8.57142857142857</v>
      </c>
      <c r="AT1076" s="37">
        <v>-5.57142857142857</v>
      </c>
      <c r="AU1076" s="33">
        <f t="shared" si="19"/>
        <v>21</v>
      </c>
      <c r="AV1076" s="38">
        <f>IFERROR(时间!$B$4+AU1076,"上周无销量")</f>
        <v>43311</v>
      </c>
    </row>
    <row r="1077" spans="1:48">
      <c r="A1077" s="21" t="s">
        <v>2354</v>
      </c>
      <c r="B1077" t="s">
        <v>2355</v>
      </c>
      <c r="C1077" t="s">
        <v>2356</v>
      </c>
      <c r="D1077" s="33">
        <v>0</v>
      </c>
      <c r="E1077" s="33">
        <v>0</v>
      </c>
      <c r="F1077" s="33">
        <v>0</v>
      </c>
      <c r="G1077" s="33">
        <v>0</v>
      </c>
      <c r="H1077" s="34">
        <v>0</v>
      </c>
      <c r="I1077">
        <v>3</v>
      </c>
      <c r="J1077" s="35">
        <v>0</v>
      </c>
      <c r="K1077" s="35">
        <v>0</v>
      </c>
      <c r="L1077" s="35">
        <v>0</v>
      </c>
      <c r="M1077">
        <v>3</v>
      </c>
      <c r="N1077">
        <v>0</v>
      </c>
      <c r="O1077">
        <v>3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1</v>
      </c>
      <c r="AK1077">
        <v>1</v>
      </c>
      <c r="AL1077">
        <v>1</v>
      </c>
      <c r="AM1077">
        <v>0</v>
      </c>
      <c r="AN1077" s="23">
        <v>0</v>
      </c>
      <c r="AO1077" s="23">
        <v>0</v>
      </c>
      <c r="AP1077" s="23">
        <v>0</v>
      </c>
      <c r="AQ1077" s="23" t="s">
        <v>54</v>
      </c>
      <c r="AR1077" s="37">
        <v>0</v>
      </c>
      <c r="AS1077" s="37">
        <v>0</v>
      </c>
      <c r="AT1077" s="37">
        <v>3</v>
      </c>
      <c r="AU1077" s="33" t="str">
        <f t="shared" si="19"/>
        <v>库存为3</v>
      </c>
      <c r="AV1077" s="38" t="str">
        <f>IFERROR(时间!$B$4+AU1077,"上周无销量")</f>
        <v>上周无销量</v>
      </c>
    </row>
    <row r="1078" spans="1:48">
      <c r="A1078" s="21" t="s">
        <v>2357</v>
      </c>
      <c r="B1078" t="s">
        <v>2358</v>
      </c>
      <c r="C1078" t="s">
        <v>2356</v>
      </c>
      <c r="D1078" s="33">
        <v>0</v>
      </c>
      <c r="E1078" s="33">
        <v>0</v>
      </c>
      <c r="F1078" s="33">
        <v>0</v>
      </c>
      <c r="G1078" s="33">
        <v>0</v>
      </c>
      <c r="H1078" s="34">
        <v>0</v>
      </c>
      <c r="I1078">
        <v>5</v>
      </c>
      <c r="J1078" s="35">
        <v>0</v>
      </c>
      <c r="K1078" s="35">
        <v>0</v>
      </c>
      <c r="L1078" s="35">
        <v>0</v>
      </c>
      <c r="M1078">
        <v>5</v>
      </c>
      <c r="N1078">
        <v>0</v>
      </c>
      <c r="O1078">
        <v>5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1</v>
      </c>
      <c r="AK1078">
        <v>0</v>
      </c>
      <c r="AL1078">
        <v>0</v>
      </c>
      <c r="AM1078">
        <v>0</v>
      </c>
      <c r="AN1078" s="23">
        <v>0</v>
      </c>
      <c r="AO1078" s="23" t="s">
        <v>54</v>
      </c>
      <c r="AP1078" s="23" t="s">
        <v>54</v>
      </c>
      <c r="AQ1078" s="23" t="s">
        <v>54</v>
      </c>
      <c r="AR1078" s="37">
        <v>0</v>
      </c>
      <c r="AS1078" s="37">
        <v>0</v>
      </c>
      <c r="AT1078" s="37">
        <v>5</v>
      </c>
      <c r="AU1078" s="33" t="str">
        <f t="shared" si="19"/>
        <v>库存为5</v>
      </c>
      <c r="AV1078" s="38" t="str">
        <f>IFERROR(时间!$B$4+AU1078,"上周无销量")</f>
        <v>上周无销量</v>
      </c>
    </row>
    <row r="1079" spans="1:48">
      <c r="A1079" s="21" t="s">
        <v>2359</v>
      </c>
      <c r="B1079" t="s">
        <v>2360</v>
      </c>
      <c r="C1079" t="s">
        <v>2356</v>
      </c>
      <c r="D1079" s="33">
        <v>0</v>
      </c>
      <c r="E1079" s="33">
        <v>0</v>
      </c>
      <c r="F1079" s="33">
        <v>0</v>
      </c>
      <c r="G1079" s="33">
        <v>0</v>
      </c>
      <c r="H1079" s="34">
        <v>0</v>
      </c>
      <c r="I1079">
        <v>4</v>
      </c>
      <c r="J1079" s="35">
        <v>0</v>
      </c>
      <c r="K1079" s="35">
        <v>0</v>
      </c>
      <c r="L1079" s="35">
        <v>0</v>
      </c>
      <c r="M1079">
        <v>4</v>
      </c>
      <c r="N1079">
        <v>0</v>
      </c>
      <c r="O1079">
        <v>4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3</v>
      </c>
      <c r="AL1079">
        <v>3</v>
      </c>
      <c r="AM1079">
        <v>0</v>
      </c>
      <c r="AN1079" s="23" t="s">
        <v>54</v>
      </c>
      <c r="AO1079" s="23">
        <v>0</v>
      </c>
      <c r="AP1079" s="23">
        <v>0</v>
      </c>
      <c r="AQ1079" s="23" t="s">
        <v>54</v>
      </c>
      <c r="AR1079" s="37">
        <v>0</v>
      </c>
      <c r="AS1079" s="37">
        <v>0</v>
      </c>
      <c r="AT1079" s="37">
        <v>4</v>
      </c>
      <c r="AU1079" s="33" t="str">
        <f t="shared" si="19"/>
        <v>库存为4</v>
      </c>
      <c r="AV1079" s="38" t="str">
        <f>IFERROR(时间!$B$4+AU1079,"上周无销量")</f>
        <v>上周无销量</v>
      </c>
    </row>
    <row r="1080" spans="1:48">
      <c r="A1080" s="21" t="s">
        <v>2361</v>
      </c>
      <c r="B1080" t="s">
        <v>2362</v>
      </c>
      <c r="C1080" t="s">
        <v>2363</v>
      </c>
      <c r="D1080" s="33">
        <v>0</v>
      </c>
      <c r="E1080" s="33">
        <v>0</v>
      </c>
      <c r="F1080" s="33">
        <v>1</v>
      </c>
      <c r="G1080" s="33">
        <v>2</v>
      </c>
      <c r="H1080" s="34">
        <v>18.99</v>
      </c>
      <c r="I1080">
        <v>0</v>
      </c>
      <c r="J1080" s="35">
        <v>0</v>
      </c>
      <c r="K1080" s="35">
        <v>0</v>
      </c>
      <c r="L1080" s="35">
        <v>0</v>
      </c>
      <c r="M1080">
        <v>0</v>
      </c>
      <c r="N1080">
        <v>1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2</v>
      </c>
      <c r="AN1080" s="23" t="s">
        <v>54</v>
      </c>
      <c r="AO1080" s="23" t="s">
        <v>54</v>
      </c>
      <c r="AP1080" s="23" t="s">
        <v>54</v>
      </c>
      <c r="AQ1080" s="23">
        <v>1</v>
      </c>
      <c r="AR1080" s="37">
        <v>0</v>
      </c>
      <c r="AS1080" s="37">
        <v>0</v>
      </c>
      <c r="AT1080" s="37">
        <v>0</v>
      </c>
      <c r="AU1080" s="33" t="str">
        <f t="shared" si="19"/>
        <v>库存为0</v>
      </c>
      <c r="AV1080" s="38" t="str">
        <f>IFERROR(时间!$B$4+AU1080,"上周无销量")</f>
        <v>上周无销量</v>
      </c>
    </row>
    <row r="1081" spans="1:48">
      <c r="A1081" s="21" t="s">
        <v>2364</v>
      </c>
      <c r="B1081" t="s">
        <v>2365</v>
      </c>
      <c r="C1081" t="s">
        <v>2363</v>
      </c>
      <c r="D1081" s="33">
        <v>1</v>
      </c>
      <c r="E1081" s="33">
        <v>1</v>
      </c>
      <c r="F1081" s="33">
        <v>1</v>
      </c>
      <c r="G1081" s="33">
        <v>2</v>
      </c>
      <c r="H1081" s="34">
        <v>18.99</v>
      </c>
      <c r="I1081">
        <v>7</v>
      </c>
      <c r="J1081" s="35">
        <v>0</v>
      </c>
      <c r="K1081" s="35">
        <v>0</v>
      </c>
      <c r="L1081" s="35">
        <v>0</v>
      </c>
      <c r="M1081">
        <v>7</v>
      </c>
      <c r="N1081">
        <v>1</v>
      </c>
      <c r="O1081">
        <v>6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6</v>
      </c>
      <c r="AK1081">
        <v>3</v>
      </c>
      <c r="AL1081">
        <v>3</v>
      </c>
      <c r="AM1081">
        <v>2</v>
      </c>
      <c r="AN1081" s="23">
        <v>0.166666666666667</v>
      </c>
      <c r="AO1081" s="23">
        <v>0.333333333333333</v>
      </c>
      <c r="AP1081" s="23">
        <v>0.333333333333333</v>
      </c>
      <c r="AQ1081" s="23">
        <v>1</v>
      </c>
      <c r="AR1081" s="37">
        <v>0.142857142857143</v>
      </c>
      <c r="AS1081" s="37">
        <v>8.57142857142857</v>
      </c>
      <c r="AT1081" s="37">
        <v>-1.57142857142857</v>
      </c>
      <c r="AU1081" s="33">
        <f t="shared" si="19"/>
        <v>49</v>
      </c>
      <c r="AV1081" s="38">
        <f>IFERROR(时间!$B$4+AU1081,"上周无销量")</f>
        <v>43339</v>
      </c>
    </row>
    <row r="1082" spans="1:48">
      <c r="A1082" s="21" t="s">
        <v>2366</v>
      </c>
      <c r="B1082" t="s">
        <v>2367</v>
      </c>
      <c r="C1082" t="s">
        <v>2363</v>
      </c>
      <c r="D1082" s="33">
        <v>1</v>
      </c>
      <c r="E1082" s="33">
        <v>1</v>
      </c>
      <c r="F1082" s="33">
        <v>0</v>
      </c>
      <c r="G1082" s="33">
        <v>0</v>
      </c>
      <c r="H1082" s="34">
        <v>18.99</v>
      </c>
      <c r="I1082">
        <v>2</v>
      </c>
      <c r="J1082" s="35">
        <v>0</v>
      </c>
      <c r="K1082" s="35">
        <v>0</v>
      </c>
      <c r="L1082" s="35">
        <v>0</v>
      </c>
      <c r="M1082">
        <v>2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3</v>
      </c>
      <c r="AK1082">
        <v>0</v>
      </c>
      <c r="AL1082">
        <v>0</v>
      </c>
      <c r="AM1082">
        <v>1</v>
      </c>
      <c r="AN1082" s="23">
        <v>0.333333333333333</v>
      </c>
      <c r="AO1082" s="23" t="s">
        <v>54</v>
      </c>
      <c r="AP1082" s="23" t="s">
        <v>54</v>
      </c>
      <c r="AQ1082" s="23">
        <v>0</v>
      </c>
      <c r="AR1082" s="37">
        <v>0.142857142857143</v>
      </c>
      <c r="AS1082" s="37">
        <v>8.57142857142857</v>
      </c>
      <c r="AT1082" s="37">
        <v>-6.57142857142857</v>
      </c>
      <c r="AU1082" s="33">
        <f t="shared" si="19"/>
        <v>14</v>
      </c>
      <c r="AV1082" s="38">
        <f>IFERROR(时间!$B$4+AU1082,"上周无销量")</f>
        <v>43304</v>
      </c>
    </row>
    <row r="1083" spans="1:48">
      <c r="A1083" s="21" t="s">
        <v>2368</v>
      </c>
      <c r="B1083" t="s">
        <v>2369</v>
      </c>
      <c r="C1083" t="s">
        <v>2363</v>
      </c>
      <c r="D1083" s="33">
        <v>3</v>
      </c>
      <c r="E1083" s="33">
        <v>2</v>
      </c>
      <c r="F1083" s="33">
        <v>1</v>
      </c>
      <c r="G1083" s="33">
        <v>1</v>
      </c>
      <c r="H1083" s="34">
        <v>18.99</v>
      </c>
      <c r="I1083">
        <v>5</v>
      </c>
      <c r="J1083" s="35">
        <v>0</v>
      </c>
      <c r="K1083" s="35">
        <v>0</v>
      </c>
      <c r="L1083" s="35">
        <v>0</v>
      </c>
      <c r="M1083">
        <v>5</v>
      </c>
      <c r="N1083">
        <v>0</v>
      </c>
      <c r="O1083">
        <v>4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1</v>
      </c>
      <c r="AK1083">
        <v>3</v>
      </c>
      <c r="AL1083">
        <v>3</v>
      </c>
      <c r="AM1083">
        <v>7</v>
      </c>
      <c r="AN1083" s="23">
        <v>3</v>
      </c>
      <c r="AO1083" s="23">
        <v>0.666666666666667</v>
      </c>
      <c r="AP1083" s="23">
        <v>0.333333333333333</v>
      </c>
      <c r="AQ1083" s="23">
        <v>0.142857142857143</v>
      </c>
      <c r="AR1083" s="37">
        <v>0.428571428571429</v>
      </c>
      <c r="AS1083" s="37">
        <v>25.7142857142857</v>
      </c>
      <c r="AT1083" s="37">
        <v>-20.7142857142857</v>
      </c>
      <c r="AU1083" s="33">
        <f t="shared" si="19"/>
        <v>11</v>
      </c>
      <c r="AV1083" s="38">
        <f>IFERROR(时间!$B$4+AU1083,"上周无销量")</f>
        <v>43301</v>
      </c>
    </row>
    <row r="1084" spans="1:48">
      <c r="A1084" s="40" t="s">
        <v>2370</v>
      </c>
      <c r="B1084" t="s">
        <v>942</v>
      </c>
      <c r="C1084" t="s">
        <v>938</v>
      </c>
      <c r="D1084" s="33">
        <v>0</v>
      </c>
      <c r="E1084" s="33">
        <v>0</v>
      </c>
      <c r="F1084" s="33">
        <v>0</v>
      </c>
      <c r="G1084" s="33">
        <v>1</v>
      </c>
      <c r="H1084" s="34">
        <v>16.99</v>
      </c>
      <c r="I1084">
        <v>0</v>
      </c>
      <c r="J1084" s="35">
        <v>0</v>
      </c>
      <c r="K1084" s="35">
        <v>0</v>
      </c>
      <c r="L1084" s="35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4</v>
      </c>
      <c r="AN1084" s="23" t="s">
        <v>54</v>
      </c>
      <c r="AO1084" s="23" t="s">
        <v>54</v>
      </c>
      <c r="AP1084" s="23" t="s">
        <v>54</v>
      </c>
      <c r="AQ1084" s="23">
        <v>0.25</v>
      </c>
      <c r="AR1084" s="37">
        <v>0</v>
      </c>
      <c r="AS1084" s="37">
        <v>0</v>
      </c>
      <c r="AT1084" s="37">
        <v>0</v>
      </c>
      <c r="AU1084" s="33" t="str">
        <f t="shared" si="19"/>
        <v>库存为0</v>
      </c>
      <c r="AV1084" s="38" t="str">
        <f>IFERROR(时间!$B$4+AU1084,"上周无销量")</f>
        <v>上周无销量</v>
      </c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3179" operator="lessThan">
      <formula>20</formula>
    </cfRule>
    <cfRule type="cellIs" dxfId="1" priority="13178" operator="greaterThan">
      <formula>120</formula>
    </cfRule>
    <cfRule type="containsText" dxfId="2" priority="13177" operator="between" text="库存为">
      <formula>NOT(ISERROR(SEARCH("库存为",AU2)))</formula>
    </cfRule>
  </conditionalFormatting>
  <conditionalFormatting sqref="AU6">
    <cfRule type="cellIs" dxfId="0" priority="3237" operator="lessThan">
      <formula>20</formula>
    </cfRule>
    <cfRule type="cellIs" dxfId="1" priority="2158" operator="greaterThan">
      <formula>120</formula>
    </cfRule>
    <cfRule type="containsText" dxfId="2" priority="1079" operator="between" text="库存为">
      <formula>NOT(ISERROR(SEARCH("库存为",AU6)))</formula>
    </cfRule>
  </conditionalFormatting>
  <conditionalFormatting sqref="AU7">
    <cfRule type="cellIs" dxfId="0" priority="3236" operator="lessThan">
      <formula>20</formula>
    </cfRule>
    <cfRule type="cellIs" dxfId="1" priority="2157" operator="greaterThan">
      <formula>120</formula>
    </cfRule>
    <cfRule type="containsText" dxfId="2" priority="1078" operator="between" text="库存为">
      <formula>NOT(ISERROR(SEARCH("库存为",AU7)))</formula>
    </cfRule>
  </conditionalFormatting>
  <conditionalFormatting sqref="AU8">
    <cfRule type="cellIs" dxfId="0" priority="3235" operator="lessThan">
      <formula>20</formula>
    </cfRule>
    <cfRule type="cellIs" dxfId="1" priority="2156" operator="greaterThan">
      <formula>120</formula>
    </cfRule>
    <cfRule type="containsText" dxfId="2" priority="1077" operator="between" text="库存为">
      <formula>NOT(ISERROR(SEARCH("库存为",AU8)))</formula>
    </cfRule>
  </conditionalFormatting>
  <conditionalFormatting sqref="AU9">
    <cfRule type="cellIs" dxfId="0" priority="3234" operator="lessThan">
      <formula>20</formula>
    </cfRule>
    <cfRule type="cellIs" dxfId="1" priority="2155" operator="greaterThan">
      <formula>120</formula>
    </cfRule>
    <cfRule type="containsText" dxfId="2" priority="1076" operator="between" text="库存为">
      <formula>NOT(ISERROR(SEARCH("库存为",AU9)))</formula>
    </cfRule>
  </conditionalFormatting>
  <conditionalFormatting sqref="AU10">
    <cfRule type="cellIs" dxfId="0" priority="3233" operator="lessThan">
      <formula>20</formula>
    </cfRule>
    <cfRule type="cellIs" dxfId="1" priority="2154" operator="greaterThan">
      <formula>120</formula>
    </cfRule>
    <cfRule type="containsText" dxfId="2" priority="1075" operator="between" text="库存为">
      <formula>NOT(ISERROR(SEARCH("库存为",AU10)))</formula>
    </cfRule>
  </conditionalFormatting>
  <conditionalFormatting sqref="AU11">
    <cfRule type="cellIs" dxfId="0" priority="3232" operator="lessThan">
      <formula>20</formula>
    </cfRule>
    <cfRule type="cellIs" dxfId="1" priority="2153" operator="greaterThan">
      <formula>120</formula>
    </cfRule>
    <cfRule type="containsText" dxfId="2" priority="1074" operator="between" text="库存为">
      <formula>NOT(ISERROR(SEARCH("库存为",AU11)))</formula>
    </cfRule>
  </conditionalFormatting>
  <conditionalFormatting sqref="AU12">
    <cfRule type="cellIs" dxfId="0" priority="3231" operator="lessThan">
      <formula>20</formula>
    </cfRule>
    <cfRule type="cellIs" dxfId="1" priority="2152" operator="greaterThan">
      <formula>120</formula>
    </cfRule>
    <cfRule type="containsText" dxfId="2" priority="1073" operator="between" text="库存为">
      <formula>NOT(ISERROR(SEARCH("库存为",AU12)))</formula>
    </cfRule>
  </conditionalFormatting>
  <conditionalFormatting sqref="AU13">
    <cfRule type="cellIs" dxfId="0" priority="3230" operator="lessThan">
      <formula>20</formula>
    </cfRule>
    <cfRule type="cellIs" dxfId="1" priority="2151" operator="greaterThan">
      <formula>120</formula>
    </cfRule>
    <cfRule type="containsText" dxfId="2" priority="1072" operator="between" text="库存为">
      <formula>NOT(ISERROR(SEARCH("库存为",AU13)))</formula>
    </cfRule>
  </conditionalFormatting>
  <conditionalFormatting sqref="AU14">
    <cfRule type="cellIs" dxfId="0" priority="3229" operator="lessThan">
      <formula>20</formula>
    </cfRule>
    <cfRule type="cellIs" dxfId="1" priority="2150" operator="greaterThan">
      <formula>120</formula>
    </cfRule>
    <cfRule type="containsText" dxfId="2" priority="1071" operator="between" text="库存为">
      <formula>NOT(ISERROR(SEARCH("库存为",AU14)))</formula>
    </cfRule>
  </conditionalFormatting>
  <conditionalFormatting sqref="AU15">
    <cfRule type="cellIs" dxfId="0" priority="3228" operator="lessThan">
      <formula>20</formula>
    </cfRule>
    <cfRule type="cellIs" dxfId="1" priority="2149" operator="greaterThan">
      <formula>120</formula>
    </cfRule>
    <cfRule type="containsText" dxfId="2" priority="1070" operator="between" text="库存为">
      <formula>NOT(ISERROR(SEARCH("库存为",AU15)))</formula>
    </cfRule>
  </conditionalFormatting>
  <conditionalFormatting sqref="AU16">
    <cfRule type="cellIs" dxfId="0" priority="3227" operator="lessThan">
      <formula>20</formula>
    </cfRule>
    <cfRule type="cellIs" dxfId="1" priority="2148" operator="greaterThan">
      <formula>120</formula>
    </cfRule>
    <cfRule type="containsText" dxfId="2" priority="1069" operator="between" text="库存为">
      <formula>NOT(ISERROR(SEARCH("库存为",AU16)))</formula>
    </cfRule>
  </conditionalFormatting>
  <conditionalFormatting sqref="AU17">
    <cfRule type="cellIs" dxfId="0" priority="3226" operator="lessThan">
      <formula>20</formula>
    </cfRule>
    <cfRule type="cellIs" dxfId="1" priority="2147" operator="greaterThan">
      <formula>120</formula>
    </cfRule>
    <cfRule type="containsText" dxfId="2" priority="1068" operator="between" text="库存为">
      <formula>NOT(ISERROR(SEARCH("库存为",AU17)))</formula>
    </cfRule>
  </conditionalFormatting>
  <conditionalFormatting sqref="AU18">
    <cfRule type="cellIs" dxfId="0" priority="3225" operator="lessThan">
      <formula>20</formula>
    </cfRule>
    <cfRule type="cellIs" dxfId="1" priority="2146" operator="greaterThan">
      <formula>120</formula>
    </cfRule>
    <cfRule type="containsText" dxfId="2" priority="1067" operator="between" text="库存为">
      <formula>NOT(ISERROR(SEARCH("库存为",AU18)))</formula>
    </cfRule>
  </conditionalFormatting>
  <conditionalFormatting sqref="AU19">
    <cfRule type="cellIs" dxfId="0" priority="3224" operator="lessThan">
      <formula>20</formula>
    </cfRule>
    <cfRule type="cellIs" dxfId="1" priority="2145" operator="greaterThan">
      <formula>120</formula>
    </cfRule>
    <cfRule type="containsText" dxfId="2" priority="1066" operator="between" text="库存为">
      <formula>NOT(ISERROR(SEARCH("库存为",AU19)))</formula>
    </cfRule>
  </conditionalFormatting>
  <conditionalFormatting sqref="AU20">
    <cfRule type="cellIs" dxfId="0" priority="3223" operator="lessThan">
      <formula>20</formula>
    </cfRule>
    <cfRule type="cellIs" dxfId="1" priority="2144" operator="greaterThan">
      <formula>120</formula>
    </cfRule>
    <cfRule type="containsText" dxfId="2" priority="1065" operator="between" text="库存为">
      <formula>NOT(ISERROR(SEARCH("库存为",AU20)))</formula>
    </cfRule>
  </conditionalFormatting>
  <conditionalFormatting sqref="AU21">
    <cfRule type="cellIs" dxfId="0" priority="3222" operator="lessThan">
      <formula>20</formula>
    </cfRule>
    <cfRule type="cellIs" dxfId="1" priority="2143" operator="greaterThan">
      <formula>120</formula>
    </cfRule>
    <cfRule type="containsText" dxfId="2" priority="1064" operator="between" text="库存为">
      <formula>NOT(ISERROR(SEARCH("库存为",AU21)))</formula>
    </cfRule>
  </conditionalFormatting>
  <conditionalFormatting sqref="AU22">
    <cfRule type="cellIs" dxfId="0" priority="3221" operator="lessThan">
      <formula>20</formula>
    </cfRule>
    <cfRule type="cellIs" dxfId="1" priority="2142" operator="greaterThan">
      <formula>120</formula>
    </cfRule>
    <cfRule type="containsText" dxfId="2" priority="1063" operator="between" text="库存为">
      <formula>NOT(ISERROR(SEARCH("库存为",AU22)))</formula>
    </cfRule>
  </conditionalFormatting>
  <conditionalFormatting sqref="AU23">
    <cfRule type="cellIs" dxfId="0" priority="3220" operator="lessThan">
      <formula>20</formula>
    </cfRule>
    <cfRule type="cellIs" dxfId="1" priority="2141" operator="greaterThan">
      <formula>120</formula>
    </cfRule>
    <cfRule type="containsText" dxfId="2" priority="1062" operator="between" text="库存为">
      <formula>NOT(ISERROR(SEARCH("库存为",AU23)))</formula>
    </cfRule>
  </conditionalFormatting>
  <conditionalFormatting sqref="AU24">
    <cfRule type="cellIs" dxfId="0" priority="3219" operator="lessThan">
      <formula>20</formula>
    </cfRule>
    <cfRule type="cellIs" dxfId="1" priority="2140" operator="greaterThan">
      <formula>120</formula>
    </cfRule>
    <cfRule type="containsText" dxfId="2" priority="1061" operator="between" text="库存为">
      <formula>NOT(ISERROR(SEARCH("库存为",AU24)))</formula>
    </cfRule>
  </conditionalFormatting>
  <conditionalFormatting sqref="AU25">
    <cfRule type="cellIs" dxfId="0" priority="3218" operator="lessThan">
      <formula>20</formula>
    </cfRule>
    <cfRule type="cellIs" dxfId="1" priority="2139" operator="greaterThan">
      <formula>120</formula>
    </cfRule>
    <cfRule type="containsText" dxfId="2" priority="1060" operator="between" text="库存为">
      <formula>NOT(ISERROR(SEARCH("库存为",AU25)))</formula>
    </cfRule>
  </conditionalFormatting>
  <conditionalFormatting sqref="AU26">
    <cfRule type="cellIs" dxfId="0" priority="3217" operator="lessThan">
      <formula>20</formula>
    </cfRule>
    <cfRule type="cellIs" dxfId="1" priority="2138" operator="greaterThan">
      <formula>120</formula>
    </cfRule>
    <cfRule type="containsText" dxfId="2" priority="1059" operator="between" text="库存为">
      <formula>NOT(ISERROR(SEARCH("库存为",AU26)))</formula>
    </cfRule>
  </conditionalFormatting>
  <conditionalFormatting sqref="AU27">
    <cfRule type="cellIs" dxfId="0" priority="3216" operator="lessThan">
      <formula>20</formula>
    </cfRule>
    <cfRule type="cellIs" dxfId="1" priority="2137" operator="greaterThan">
      <formula>120</formula>
    </cfRule>
    <cfRule type="containsText" dxfId="2" priority="1058" operator="between" text="库存为">
      <formula>NOT(ISERROR(SEARCH("库存为",AU27)))</formula>
    </cfRule>
  </conditionalFormatting>
  <conditionalFormatting sqref="AU28">
    <cfRule type="cellIs" dxfId="0" priority="3215" operator="lessThan">
      <formula>20</formula>
    </cfRule>
    <cfRule type="cellIs" dxfId="1" priority="2136" operator="greaterThan">
      <formula>120</formula>
    </cfRule>
    <cfRule type="containsText" dxfId="2" priority="1057" operator="between" text="库存为">
      <formula>NOT(ISERROR(SEARCH("库存为",AU28)))</formula>
    </cfRule>
  </conditionalFormatting>
  <conditionalFormatting sqref="AU29">
    <cfRule type="cellIs" dxfId="0" priority="3214" operator="lessThan">
      <formula>20</formula>
    </cfRule>
    <cfRule type="cellIs" dxfId="1" priority="2135" operator="greaterThan">
      <formula>120</formula>
    </cfRule>
    <cfRule type="containsText" dxfId="2" priority="1056" operator="between" text="库存为">
      <formula>NOT(ISERROR(SEARCH("库存为",AU29)))</formula>
    </cfRule>
  </conditionalFormatting>
  <conditionalFormatting sqref="AU30">
    <cfRule type="cellIs" dxfId="0" priority="3213" operator="lessThan">
      <formula>20</formula>
    </cfRule>
    <cfRule type="cellIs" dxfId="1" priority="2134" operator="greaterThan">
      <formula>120</formula>
    </cfRule>
    <cfRule type="containsText" dxfId="2" priority="1055" operator="between" text="库存为">
      <formula>NOT(ISERROR(SEARCH("库存为",AU30)))</formula>
    </cfRule>
  </conditionalFormatting>
  <conditionalFormatting sqref="AU31">
    <cfRule type="cellIs" dxfId="0" priority="3212" operator="lessThan">
      <formula>20</formula>
    </cfRule>
    <cfRule type="cellIs" dxfId="1" priority="2133" operator="greaterThan">
      <formula>120</formula>
    </cfRule>
    <cfRule type="containsText" dxfId="2" priority="1054" operator="between" text="库存为">
      <formula>NOT(ISERROR(SEARCH("库存为",AU31)))</formula>
    </cfRule>
  </conditionalFormatting>
  <conditionalFormatting sqref="AU32">
    <cfRule type="cellIs" dxfId="0" priority="3211" operator="lessThan">
      <formula>20</formula>
    </cfRule>
    <cfRule type="cellIs" dxfId="1" priority="2132" operator="greaterThan">
      <formula>120</formula>
    </cfRule>
    <cfRule type="containsText" dxfId="2" priority="1053" operator="between" text="库存为">
      <formula>NOT(ISERROR(SEARCH("库存为",AU32)))</formula>
    </cfRule>
  </conditionalFormatting>
  <conditionalFormatting sqref="AU33">
    <cfRule type="cellIs" dxfId="0" priority="3210" operator="lessThan">
      <formula>20</formula>
    </cfRule>
    <cfRule type="cellIs" dxfId="1" priority="2131" operator="greaterThan">
      <formula>120</formula>
    </cfRule>
    <cfRule type="containsText" dxfId="2" priority="1052" operator="between" text="库存为">
      <formula>NOT(ISERROR(SEARCH("库存为",AU33)))</formula>
    </cfRule>
  </conditionalFormatting>
  <conditionalFormatting sqref="AU34">
    <cfRule type="cellIs" dxfId="0" priority="3209" operator="lessThan">
      <formula>20</formula>
    </cfRule>
    <cfRule type="cellIs" dxfId="1" priority="2130" operator="greaterThan">
      <formula>120</formula>
    </cfRule>
    <cfRule type="containsText" dxfId="2" priority="1051" operator="between" text="库存为">
      <formula>NOT(ISERROR(SEARCH("库存为",AU34)))</formula>
    </cfRule>
  </conditionalFormatting>
  <conditionalFormatting sqref="AU35">
    <cfRule type="cellIs" dxfId="0" priority="3208" operator="lessThan">
      <formula>20</formula>
    </cfRule>
    <cfRule type="cellIs" dxfId="1" priority="2129" operator="greaterThan">
      <formula>120</formula>
    </cfRule>
    <cfRule type="containsText" dxfId="2" priority="1050" operator="between" text="库存为">
      <formula>NOT(ISERROR(SEARCH("库存为",AU35)))</formula>
    </cfRule>
  </conditionalFormatting>
  <conditionalFormatting sqref="AU36">
    <cfRule type="cellIs" dxfId="0" priority="3207" operator="lessThan">
      <formula>20</formula>
    </cfRule>
    <cfRule type="cellIs" dxfId="1" priority="2128" operator="greaterThan">
      <formula>120</formula>
    </cfRule>
    <cfRule type="containsText" dxfId="2" priority="1049" operator="between" text="库存为">
      <formula>NOT(ISERROR(SEARCH("库存为",AU36)))</formula>
    </cfRule>
  </conditionalFormatting>
  <conditionalFormatting sqref="AU37">
    <cfRule type="cellIs" dxfId="0" priority="3206" operator="lessThan">
      <formula>20</formula>
    </cfRule>
    <cfRule type="cellIs" dxfId="1" priority="2127" operator="greaterThan">
      <formula>120</formula>
    </cfRule>
    <cfRule type="containsText" dxfId="2" priority="1048" operator="between" text="库存为">
      <formula>NOT(ISERROR(SEARCH("库存为",AU37)))</formula>
    </cfRule>
  </conditionalFormatting>
  <conditionalFormatting sqref="AU38">
    <cfRule type="cellIs" dxfId="0" priority="3205" operator="lessThan">
      <formula>20</formula>
    </cfRule>
    <cfRule type="cellIs" dxfId="1" priority="2126" operator="greaterThan">
      <formula>120</formula>
    </cfRule>
    <cfRule type="containsText" dxfId="2" priority="1047" operator="between" text="库存为">
      <formula>NOT(ISERROR(SEARCH("库存为",AU38)))</formula>
    </cfRule>
  </conditionalFormatting>
  <conditionalFormatting sqref="AU39">
    <cfRule type="cellIs" dxfId="0" priority="3204" operator="lessThan">
      <formula>20</formula>
    </cfRule>
    <cfRule type="cellIs" dxfId="1" priority="2125" operator="greaterThan">
      <formula>120</formula>
    </cfRule>
    <cfRule type="containsText" dxfId="2" priority="1046" operator="between" text="库存为">
      <formula>NOT(ISERROR(SEARCH("库存为",AU39)))</formula>
    </cfRule>
  </conditionalFormatting>
  <conditionalFormatting sqref="AU40">
    <cfRule type="cellIs" dxfId="0" priority="3203" operator="lessThan">
      <formula>20</formula>
    </cfRule>
    <cfRule type="cellIs" dxfId="1" priority="2124" operator="greaterThan">
      <formula>120</formula>
    </cfRule>
    <cfRule type="containsText" dxfId="2" priority="1045" operator="between" text="库存为">
      <formula>NOT(ISERROR(SEARCH("库存为",AU40)))</formula>
    </cfRule>
  </conditionalFormatting>
  <conditionalFormatting sqref="AU41">
    <cfRule type="cellIs" dxfId="0" priority="3202" operator="lessThan">
      <formula>20</formula>
    </cfRule>
    <cfRule type="cellIs" dxfId="1" priority="2123" operator="greaterThan">
      <formula>120</formula>
    </cfRule>
    <cfRule type="containsText" dxfId="2" priority="1044" operator="between" text="库存为">
      <formula>NOT(ISERROR(SEARCH("库存为",AU41)))</formula>
    </cfRule>
  </conditionalFormatting>
  <conditionalFormatting sqref="AU42">
    <cfRule type="cellIs" dxfId="0" priority="3201" operator="lessThan">
      <formula>20</formula>
    </cfRule>
    <cfRule type="cellIs" dxfId="1" priority="2122" operator="greaterThan">
      <formula>120</formula>
    </cfRule>
    <cfRule type="containsText" dxfId="2" priority="1043" operator="between" text="库存为">
      <formula>NOT(ISERROR(SEARCH("库存为",AU42)))</formula>
    </cfRule>
  </conditionalFormatting>
  <conditionalFormatting sqref="AU43">
    <cfRule type="cellIs" dxfId="0" priority="3200" operator="lessThan">
      <formula>20</formula>
    </cfRule>
    <cfRule type="cellIs" dxfId="1" priority="2121" operator="greaterThan">
      <formula>120</formula>
    </cfRule>
    <cfRule type="containsText" dxfId="2" priority="1042" operator="between" text="库存为">
      <formula>NOT(ISERROR(SEARCH("库存为",AU43)))</formula>
    </cfRule>
  </conditionalFormatting>
  <conditionalFormatting sqref="AU44">
    <cfRule type="cellIs" dxfId="0" priority="3199" operator="lessThan">
      <formula>20</formula>
    </cfRule>
    <cfRule type="cellIs" dxfId="1" priority="2120" operator="greaterThan">
      <formula>120</formula>
    </cfRule>
    <cfRule type="containsText" dxfId="2" priority="1041" operator="between" text="库存为">
      <formula>NOT(ISERROR(SEARCH("库存为",AU44)))</formula>
    </cfRule>
  </conditionalFormatting>
  <conditionalFormatting sqref="AU45">
    <cfRule type="cellIs" dxfId="0" priority="3198" operator="lessThan">
      <formula>20</formula>
    </cfRule>
    <cfRule type="cellIs" dxfId="1" priority="2119" operator="greaterThan">
      <formula>120</formula>
    </cfRule>
    <cfRule type="containsText" dxfId="2" priority="1040" operator="between" text="库存为">
      <formula>NOT(ISERROR(SEARCH("库存为",AU45)))</formula>
    </cfRule>
  </conditionalFormatting>
  <conditionalFormatting sqref="AU46">
    <cfRule type="cellIs" dxfId="0" priority="3197" operator="lessThan">
      <formula>20</formula>
    </cfRule>
    <cfRule type="cellIs" dxfId="1" priority="2118" operator="greaterThan">
      <formula>120</formula>
    </cfRule>
    <cfRule type="containsText" dxfId="2" priority="1039" operator="between" text="库存为">
      <formula>NOT(ISERROR(SEARCH("库存为",AU46)))</formula>
    </cfRule>
  </conditionalFormatting>
  <conditionalFormatting sqref="AU47">
    <cfRule type="cellIs" dxfId="0" priority="3196" operator="lessThan">
      <formula>20</formula>
    </cfRule>
    <cfRule type="cellIs" dxfId="1" priority="2117" operator="greaterThan">
      <formula>120</formula>
    </cfRule>
    <cfRule type="containsText" dxfId="2" priority="1038" operator="between" text="库存为">
      <formula>NOT(ISERROR(SEARCH("库存为",AU47)))</formula>
    </cfRule>
  </conditionalFormatting>
  <conditionalFormatting sqref="AU48">
    <cfRule type="cellIs" dxfId="0" priority="3195" operator="lessThan">
      <formula>20</formula>
    </cfRule>
    <cfRule type="cellIs" dxfId="1" priority="2116" operator="greaterThan">
      <formula>120</formula>
    </cfRule>
    <cfRule type="containsText" dxfId="2" priority="1037" operator="between" text="库存为">
      <formula>NOT(ISERROR(SEARCH("库存为",AU48)))</formula>
    </cfRule>
  </conditionalFormatting>
  <conditionalFormatting sqref="AU49">
    <cfRule type="cellIs" dxfId="0" priority="3194" operator="lessThan">
      <formula>20</formula>
    </cfRule>
    <cfRule type="cellIs" dxfId="1" priority="2115" operator="greaterThan">
      <formula>120</formula>
    </cfRule>
    <cfRule type="containsText" dxfId="2" priority="1036" operator="between" text="库存为">
      <formula>NOT(ISERROR(SEARCH("库存为",AU49)))</formula>
    </cfRule>
  </conditionalFormatting>
  <conditionalFormatting sqref="AU50">
    <cfRule type="cellIs" dxfId="0" priority="3193" operator="lessThan">
      <formula>20</formula>
    </cfRule>
    <cfRule type="cellIs" dxfId="1" priority="2114" operator="greaterThan">
      <formula>120</formula>
    </cfRule>
    <cfRule type="containsText" dxfId="2" priority="1035" operator="between" text="库存为">
      <formula>NOT(ISERROR(SEARCH("库存为",AU50)))</formula>
    </cfRule>
  </conditionalFormatting>
  <conditionalFormatting sqref="AU51">
    <cfRule type="cellIs" dxfId="0" priority="3192" operator="lessThan">
      <formula>20</formula>
    </cfRule>
    <cfRule type="cellIs" dxfId="1" priority="2113" operator="greaterThan">
      <formula>120</formula>
    </cfRule>
    <cfRule type="containsText" dxfId="2" priority="1034" operator="between" text="库存为">
      <formula>NOT(ISERROR(SEARCH("库存为",AU51)))</formula>
    </cfRule>
  </conditionalFormatting>
  <conditionalFormatting sqref="AU52">
    <cfRule type="cellIs" dxfId="0" priority="3191" operator="lessThan">
      <formula>20</formula>
    </cfRule>
    <cfRule type="cellIs" dxfId="1" priority="2112" operator="greaterThan">
      <formula>120</formula>
    </cfRule>
    <cfRule type="containsText" dxfId="2" priority="1033" operator="between" text="库存为">
      <formula>NOT(ISERROR(SEARCH("库存为",AU52)))</formula>
    </cfRule>
  </conditionalFormatting>
  <conditionalFormatting sqref="AU53">
    <cfRule type="cellIs" dxfId="0" priority="3190" operator="lessThan">
      <formula>20</formula>
    </cfRule>
    <cfRule type="cellIs" dxfId="1" priority="2111" operator="greaterThan">
      <formula>120</formula>
    </cfRule>
    <cfRule type="containsText" dxfId="2" priority="1032" operator="between" text="库存为">
      <formula>NOT(ISERROR(SEARCH("库存为",AU53)))</formula>
    </cfRule>
  </conditionalFormatting>
  <conditionalFormatting sqref="AU54">
    <cfRule type="cellIs" dxfId="0" priority="3189" operator="lessThan">
      <formula>20</formula>
    </cfRule>
    <cfRule type="cellIs" dxfId="1" priority="2110" operator="greaterThan">
      <formula>120</formula>
    </cfRule>
    <cfRule type="containsText" dxfId="2" priority="1031" operator="between" text="库存为">
      <formula>NOT(ISERROR(SEARCH("库存为",AU54)))</formula>
    </cfRule>
  </conditionalFormatting>
  <conditionalFormatting sqref="AU55">
    <cfRule type="cellIs" dxfId="0" priority="3188" operator="lessThan">
      <formula>20</formula>
    </cfRule>
    <cfRule type="cellIs" dxfId="1" priority="2109" operator="greaterThan">
      <formula>120</formula>
    </cfRule>
    <cfRule type="containsText" dxfId="2" priority="1030" operator="between" text="库存为">
      <formula>NOT(ISERROR(SEARCH("库存为",AU55)))</formula>
    </cfRule>
  </conditionalFormatting>
  <conditionalFormatting sqref="AU56">
    <cfRule type="cellIs" dxfId="0" priority="3187" operator="lessThan">
      <formula>20</formula>
    </cfRule>
    <cfRule type="cellIs" dxfId="1" priority="2108" operator="greaterThan">
      <formula>120</formula>
    </cfRule>
    <cfRule type="containsText" dxfId="2" priority="1029" operator="between" text="库存为">
      <formula>NOT(ISERROR(SEARCH("库存为",AU56)))</formula>
    </cfRule>
  </conditionalFormatting>
  <conditionalFormatting sqref="AU57">
    <cfRule type="cellIs" dxfId="0" priority="3186" operator="lessThan">
      <formula>20</formula>
    </cfRule>
    <cfRule type="cellIs" dxfId="1" priority="2107" operator="greaterThan">
      <formula>120</formula>
    </cfRule>
    <cfRule type="containsText" dxfId="2" priority="1028" operator="between" text="库存为">
      <formula>NOT(ISERROR(SEARCH("库存为",AU57)))</formula>
    </cfRule>
  </conditionalFormatting>
  <conditionalFormatting sqref="AU58">
    <cfRule type="cellIs" dxfId="0" priority="3185" operator="lessThan">
      <formula>20</formula>
    </cfRule>
    <cfRule type="cellIs" dxfId="1" priority="2106" operator="greaterThan">
      <formula>120</formula>
    </cfRule>
    <cfRule type="containsText" dxfId="2" priority="1027" operator="between" text="库存为">
      <formula>NOT(ISERROR(SEARCH("库存为",AU58)))</formula>
    </cfRule>
  </conditionalFormatting>
  <conditionalFormatting sqref="AU59">
    <cfRule type="cellIs" dxfId="0" priority="3184" operator="lessThan">
      <formula>20</formula>
    </cfRule>
    <cfRule type="cellIs" dxfId="1" priority="2105" operator="greaterThan">
      <formula>120</formula>
    </cfRule>
    <cfRule type="containsText" dxfId="2" priority="1026" operator="between" text="库存为">
      <formula>NOT(ISERROR(SEARCH("库存为",AU59)))</formula>
    </cfRule>
  </conditionalFormatting>
  <conditionalFormatting sqref="AU60">
    <cfRule type="cellIs" dxfId="0" priority="3183" operator="lessThan">
      <formula>20</formula>
    </cfRule>
    <cfRule type="cellIs" dxfId="1" priority="2104" operator="greaterThan">
      <formula>120</formula>
    </cfRule>
    <cfRule type="containsText" dxfId="2" priority="1025" operator="between" text="库存为">
      <formula>NOT(ISERROR(SEARCH("库存为",AU60)))</formula>
    </cfRule>
  </conditionalFormatting>
  <conditionalFormatting sqref="AU61">
    <cfRule type="cellIs" dxfId="0" priority="3182" operator="lessThan">
      <formula>20</formula>
    </cfRule>
    <cfRule type="cellIs" dxfId="1" priority="2103" operator="greaterThan">
      <formula>120</formula>
    </cfRule>
    <cfRule type="containsText" dxfId="2" priority="1024" operator="between" text="库存为">
      <formula>NOT(ISERROR(SEARCH("库存为",AU61)))</formula>
    </cfRule>
  </conditionalFormatting>
  <conditionalFormatting sqref="AU62">
    <cfRule type="cellIs" dxfId="0" priority="3181" operator="lessThan">
      <formula>20</formula>
    </cfRule>
    <cfRule type="cellIs" dxfId="1" priority="2102" operator="greaterThan">
      <formula>120</formula>
    </cfRule>
    <cfRule type="containsText" dxfId="2" priority="1023" operator="between" text="库存为">
      <formula>NOT(ISERROR(SEARCH("库存为",AU62)))</formula>
    </cfRule>
  </conditionalFormatting>
  <conditionalFormatting sqref="AU63">
    <cfRule type="cellIs" dxfId="0" priority="3180" operator="lessThan">
      <formula>20</formula>
    </cfRule>
    <cfRule type="cellIs" dxfId="1" priority="2101" operator="greaterThan">
      <formula>120</formula>
    </cfRule>
    <cfRule type="containsText" dxfId="2" priority="1022" operator="between" text="库存为">
      <formula>NOT(ISERROR(SEARCH("库存为",AU63)))</formula>
    </cfRule>
  </conditionalFormatting>
  <conditionalFormatting sqref="AU64">
    <cfRule type="cellIs" dxfId="0" priority="3179" operator="lessThan">
      <formula>20</formula>
    </cfRule>
    <cfRule type="cellIs" dxfId="1" priority="2100" operator="greaterThan">
      <formula>120</formula>
    </cfRule>
    <cfRule type="containsText" dxfId="2" priority="1021" operator="between" text="库存为">
      <formula>NOT(ISERROR(SEARCH("库存为",AU64)))</formula>
    </cfRule>
  </conditionalFormatting>
  <conditionalFormatting sqref="AU65">
    <cfRule type="cellIs" dxfId="0" priority="3178" operator="lessThan">
      <formula>20</formula>
    </cfRule>
    <cfRule type="cellIs" dxfId="1" priority="2099" operator="greaterThan">
      <formula>120</formula>
    </cfRule>
    <cfRule type="containsText" dxfId="2" priority="1020" operator="between" text="库存为">
      <formula>NOT(ISERROR(SEARCH("库存为",AU65)))</formula>
    </cfRule>
  </conditionalFormatting>
  <conditionalFormatting sqref="AU66">
    <cfRule type="cellIs" dxfId="0" priority="3177" operator="lessThan">
      <formula>20</formula>
    </cfRule>
    <cfRule type="cellIs" dxfId="1" priority="2098" operator="greaterThan">
      <formula>120</formula>
    </cfRule>
    <cfRule type="containsText" dxfId="2" priority="1019" operator="between" text="库存为">
      <formula>NOT(ISERROR(SEARCH("库存为",AU66)))</formula>
    </cfRule>
  </conditionalFormatting>
  <conditionalFormatting sqref="AU67">
    <cfRule type="cellIs" dxfId="0" priority="3176" operator="lessThan">
      <formula>20</formula>
    </cfRule>
    <cfRule type="cellIs" dxfId="1" priority="2097" operator="greaterThan">
      <formula>120</formula>
    </cfRule>
    <cfRule type="containsText" dxfId="2" priority="1018" operator="between" text="库存为">
      <formula>NOT(ISERROR(SEARCH("库存为",AU67)))</formula>
    </cfRule>
  </conditionalFormatting>
  <conditionalFormatting sqref="AU68">
    <cfRule type="cellIs" dxfId="0" priority="3175" operator="lessThan">
      <formula>20</formula>
    </cfRule>
    <cfRule type="cellIs" dxfId="1" priority="2096" operator="greaterThan">
      <formula>120</formula>
    </cfRule>
    <cfRule type="containsText" dxfId="2" priority="1017" operator="between" text="库存为">
      <formula>NOT(ISERROR(SEARCH("库存为",AU68)))</formula>
    </cfRule>
  </conditionalFormatting>
  <conditionalFormatting sqref="AU69">
    <cfRule type="cellIs" dxfId="0" priority="3174" operator="lessThan">
      <formula>20</formula>
    </cfRule>
    <cfRule type="cellIs" dxfId="1" priority="2095" operator="greaterThan">
      <formula>120</formula>
    </cfRule>
    <cfRule type="containsText" dxfId="2" priority="1016" operator="between" text="库存为">
      <formula>NOT(ISERROR(SEARCH("库存为",AU69)))</formula>
    </cfRule>
  </conditionalFormatting>
  <conditionalFormatting sqref="AU70">
    <cfRule type="cellIs" dxfId="0" priority="3173" operator="lessThan">
      <formula>20</formula>
    </cfRule>
    <cfRule type="cellIs" dxfId="1" priority="2094" operator="greaterThan">
      <formula>120</formula>
    </cfRule>
    <cfRule type="containsText" dxfId="2" priority="1015" operator="between" text="库存为">
      <formula>NOT(ISERROR(SEARCH("库存为",AU70)))</formula>
    </cfRule>
  </conditionalFormatting>
  <conditionalFormatting sqref="AU71">
    <cfRule type="cellIs" dxfId="0" priority="3172" operator="lessThan">
      <formula>20</formula>
    </cfRule>
    <cfRule type="cellIs" dxfId="1" priority="2093" operator="greaterThan">
      <formula>120</formula>
    </cfRule>
    <cfRule type="containsText" dxfId="2" priority="1014" operator="between" text="库存为">
      <formula>NOT(ISERROR(SEARCH("库存为",AU71)))</formula>
    </cfRule>
  </conditionalFormatting>
  <conditionalFormatting sqref="AU72">
    <cfRule type="cellIs" dxfId="0" priority="3171" operator="lessThan">
      <formula>20</formula>
    </cfRule>
    <cfRule type="cellIs" dxfId="1" priority="2092" operator="greaterThan">
      <formula>120</formula>
    </cfRule>
    <cfRule type="containsText" dxfId="2" priority="1013" operator="between" text="库存为">
      <formula>NOT(ISERROR(SEARCH("库存为",AU72)))</formula>
    </cfRule>
  </conditionalFormatting>
  <conditionalFormatting sqref="AU73">
    <cfRule type="cellIs" dxfId="0" priority="3170" operator="lessThan">
      <formula>20</formula>
    </cfRule>
    <cfRule type="cellIs" dxfId="1" priority="2091" operator="greaterThan">
      <formula>120</formula>
    </cfRule>
    <cfRule type="containsText" dxfId="2" priority="1012" operator="between" text="库存为">
      <formula>NOT(ISERROR(SEARCH("库存为",AU73)))</formula>
    </cfRule>
  </conditionalFormatting>
  <conditionalFormatting sqref="AU74">
    <cfRule type="cellIs" dxfId="0" priority="3169" operator="lessThan">
      <formula>20</formula>
    </cfRule>
    <cfRule type="cellIs" dxfId="1" priority="2090" operator="greaterThan">
      <formula>120</formula>
    </cfRule>
    <cfRule type="containsText" dxfId="2" priority="1011" operator="between" text="库存为">
      <formula>NOT(ISERROR(SEARCH("库存为",AU74)))</formula>
    </cfRule>
  </conditionalFormatting>
  <conditionalFormatting sqref="AU75">
    <cfRule type="cellIs" dxfId="0" priority="3168" operator="lessThan">
      <formula>20</formula>
    </cfRule>
    <cfRule type="cellIs" dxfId="1" priority="2089" operator="greaterThan">
      <formula>120</formula>
    </cfRule>
    <cfRule type="containsText" dxfId="2" priority="1010" operator="between" text="库存为">
      <formula>NOT(ISERROR(SEARCH("库存为",AU75)))</formula>
    </cfRule>
  </conditionalFormatting>
  <conditionalFormatting sqref="AU76">
    <cfRule type="cellIs" dxfId="0" priority="3167" operator="lessThan">
      <formula>20</formula>
    </cfRule>
    <cfRule type="cellIs" dxfId="1" priority="2088" operator="greaterThan">
      <formula>120</formula>
    </cfRule>
    <cfRule type="containsText" dxfId="2" priority="1009" operator="between" text="库存为">
      <formula>NOT(ISERROR(SEARCH("库存为",AU76)))</formula>
    </cfRule>
  </conditionalFormatting>
  <conditionalFormatting sqref="AU77">
    <cfRule type="cellIs" dxfId="0" priority="3166" operator="lessThan">
      <formula>20</formula>
    </cfRule>
    <cfRule type="cellIs" dxfId="1" priority="2087" operator="greaterThan">
      <formula>120</formula>
    </cfRule>
    <cfRule type="containsText" dxfId="2" priority="1008" operator="between" text="库存为">
      <formula>NOT(ISERROR(SEARCH("库存为",AU77)))</formula>
    </cfRule>
  </conditionalFormatting>
  <conditionalFormatting sqref="AU78">
    <cfRule type="cellIs" dxfId="0" priority="3165" operator="lessThan">
      <formula>20</formula>
    </cfRule>
    <cfRule type="cellIs" dxfId="1" priority="2086" operator="greaterThan">
      <formula>120</formula>
    </cfRule>
    <cfRule type="containsText" dxfId="2" priority="1007" operator="between" text="库存为">
      <formula>NOT(ISERROR(SEARCH("库存为",AU78)))</formula>
    </cfRule>
  </conditionalFormatting>
  <conditionalFormatting sqref="AU79">
    <cfRule type="cellIs" dxfId="0" priority="3164" operator="lessThan">
      <formula>20</formula>
    </cfRule>
    <cfRule type="cellIs" dxfId="1" priority="2085" operator="greaterThan">
      <formula>120</formula>
    </cfRule>
    <cfRule type="containsText" dxfId="2" priority="1006" operator="between" text="库存为">
      <formula>NOT(ISERROR(SEARCH("库存为",AU79)))</formula>
    </cfRule>
  </conditionalFormatting>
  <conditionalFormatting sqref="AU80">
    <cfRule type="cellIs" dxfId="0" priority="3163" operator="lessThan">
      <formula>20</formula>
    </cfRule>
    <cfRule type="cellIs" dxfId="1" priority="2084" operator="greaterThan">
      <formula>120</formula>
    </cfRule>
    <cfRule type="containsText" dxfId="2" priority="1005" operator="between" text="库存为">
      <formula>NOT(ISERROR(SEARCH("库存为",AU80)))</formula>
    </cfRule>
  </conditionalFormatting>
  <conditionalFormatting sqref="AU81">
    <cfRule type="cellIs" dxfId="0" priority="3162" operator="lessThan">
      <formula>20</formula>
    </cfRule>
    <cfRule type="cellIs" dxfId="1" priority="2083" operator="greaterThan">
      <formula>120</formula>
    </cfRule>
    <cfRule type="containsText" dxfId="2" priority="1004" operator="between" text="库存为">
      <formula>NOT(ISERROR(SEARCH("库存为",AU81)))</formula>
    </cfRule>
  </conditionalFormatting>
  <conditionalFormatting sqref="AU82">
    <cfRule type="cellIs" dxfId="0" priority="3161" operator="lessThan">
      <formula>20</formula>
    </cfRule>
    <cfRule type="cellIs" dxfId="1" priority="2082" operator="greaterThan">
      <formula>120</formula>
    </cfRule>
    <cfRule type="containsText" dxfId="2" priority="1003" operator="between" text="库存为">
      <formula>NOT(ISERROR(SEARCH("库存为",AU82)))</formula>
    </cfRule>
  </conditionalFormatting>
  <conditionalFormatting sqref="AU83">
    <cfRule type="cellIs" dxfId="0" priority="3160" operator="lessThan">
      <formula>20</formula>
    </cfRule>
    <cfRule type="cellIs" dxfId="1" priority="2081" operator="greaterThan">
      <formula>120</formula>
    </cfRule>
    <cfRule type="containsText" dxfId="2" priority="1002" operator="between" text="库存为">
      <formula>NOT(ISERROR(SEARCH("库存为",AU83)))</formula>
    </cfRule>
  </conditionalFormatting>
  <conditionalFormatting sqref="AU84">
    <cfRule type="cellIs" dxfId="0" priority="3159" operator="lessThan">
      <formula>20</formula>
    </cfRule>
    <cfRule type="cellIs" dxfId="1" priority="2080" operator="greaterThan">
      <formula>120</formula>
    </cfRule>
    <cfRule type="containsText" dxfId="2" priority="1001" operator="between" text="库存为">
      <formula>NOT(ISERROR(SEARCH("库存为",AU84)))</formula>
    </cfRule>
  </conditionalFormatting>
  <conditionalFormatting sqref="AU85">
    <cfRule type="cellIs" dxfId="0" priority="3158" operator="lessThan">
      <formula>20</formula>
    </cfRule>
    <cfRule type="cellIs" dxfId="1" priority="2079" operator="greaterThan">
      <formula>120</formula>
    </cfRule>
    <cfRule type="containsText" dxfId="2" priority="1000" operator="between" text="库存为">
      <formula>NOT(ISERROR(SEARCH("库存为",AU85)))</formula>
    </cfRule>
  </conditionalFormatting>
  <conditionalFormatting sqref="AU86">
    <cfRule type="cellIs" dxfId="0" priority="3157" operator="lessThan">
      <formula>20</formula>
    </cfRule>
    <cfRule type="cellIs" dxfId="1" priority="2078" operator="greaterThan">
      <formula>120</formula>
    </cfRule>
    <cfRule type="containsText" dxfId="2" priority="999" operator="between" text="库存为">
      <formula>NOT(ISERROR(SEARCH("库存为",AU86)))</formula>
    </cfRule>
  </conditionalFormatting>
  <conditionalFormatting sqref="AU87">
    <cfRule type="cellIs" dxfId="0" priority="3156" operator="lessThan">
      <formula>20</formula>
    </cfRule>
    <cfRule type="cellIs" dxfId="1" priority="2077" operator="greaterThan">
      <formula>120</formula>
    </cfRule>
    <cfRule type="containsText" dxfId="2" priority="998" operator="between" text="库存为">
      <formula>NOT(ISERROR(SEARCH("库存为",AU87)))</formula>
    </cfRule>
  </conditionalFormatting>
  <conditionalFormatting sqref="AU88">
    <cfRule type="cellIs" dxfId="0" priority="3155" operator="lessThan">
      <formula>20</formula>
    </cfRule>
    <cfRule type="cellIs" dxfId="1" priority="2076" operator="greaterThan">
      <formula>120</formula>
    </cfRule>
    <cfRule type="containsText" dxfId="2" priority="997" operator="between" text="库存为">
      <formula>NOT(ISERROR(SEARCH("库存为",AU88)))</formula>
    </cfRule>
  </conditionalFormatting>
  <conditionalFormatting sqref="AU89">
    <cfRule type="cellIs" dxfId="0" priority="3154" operator="lessThan">
      <formula>20</formula>
    </cfRule>
    <cfRule type="cellIs" dxfId="1" priority="2075" operator="greaterThan">
      <formula>120</formula>
    </cfRule>
    <cfRule type="containsText" dxfId="2" priority="996" operator="between" text="库存为">
      <formula>NOT(ISERROR(SEARCH("库存为",AU89)))</formula>
    </cfRule>
  </conditionalFormatting>
  <conditionalFormatting sqref="AU90">
    <cfRule type="cellIs" dxfId="0" priority="3153" operator="lessThan">
      <formula>20</formula>
    </cfRule>
    <cfRule type="cellIs" dxfId="1" priority="2074" operator="greaterThan">
      <formula>120</formula>
    </cfRule>
    <cfRule type="containsText" dxfId="2" priority="995" operator="between" text="库存为">
      <formula>NOT(ISERROR(SEARCH("库存为",AU90)))</formula>
    </cfRule>
  </conditionalFormatting>
  <conditionalFormatting sqref="AU91">
    <cfRule type="cellIs" dxfId="0" priority="3152" operator="lessThan">
      <formula>20</formula>
    </cfRule>
    <cfRule type="cellIs" dxfId="1" priority="2073" operator="greaterThan">
      <formula>120</formula>
    </cfRule>
    <cfRule type="containsText" dxfId="2" priority="994" operator="between" text="库存为">
      <formula>NOT(ISERROR(SEARCH("库存为",AU91)))</formula>
    </cfRule>
  </conditionalFormatting>
  <conditionalFormatting sqref="AU92">
    <cfRule type="cellIs" dxfId="0" priority="3151" operator="lessThan">
      <formula>20</formula>
    </cfRule>
    <cfRule type="cellIs" dxfId="1" priority="2072" operator="greaterThan">
      <formula>120</formula>
    </cfRule>
    <cfRule type="containsText" dxfId="2" priority="993" operator="between" text="库存为">
      <formula>NOT(ISERROR(SEARCH("库存为",AU92)))</formula>
    </cfRule>
  </conditionalFormatting>
  <conditionalFormatting sqref="AU93">
    <cfRule type="cellIs" dxfId="0" priority="3150" operator="lessThan">
      <formula>20</formula>
    </cfRule>
    <cfRule type="cellIs" dxfId="1" priority="2071" operator="greaterThan">
      <formula>120</formula>
    </cfRule>
    <cfRule type="containsText" dxfId="2" priority="992" operator="between" text="库存为">
      <formula>NOT(ISERROR(SEARCH("库存为",AU93)))</formula>
    </cfRule>
  </conditionalFormatting>
  <conditionalFormatting sqref="AU94">
    <cfRule type="cellIs" dxfId="0" priority="3149" operator="lessThan">
      <formula>20</formula>
    </cfRule>
    <cfRule type="cellIs" dxfId="1" priority="2070" operator="greaterThan">
      <formula>120</formula>
    </cfRule>
    <cfRule type="containsText" dxfId="2" priority="991" operator="between" text="库存为">
      <formula>NOT(ISERROR(SEARCH("库存为",AU94)))</formula>
    </cfRule>
  </conditionalFormatting>
  <conditionalFormatting sqref="AU95">
    <cfRule type="cellIs" dxfId="0" priority="3148" operator="lessThan">
      <formula>20</formula>
    </cfRule>
    <cfRule type="cellIs" dxfId="1" priority="2069" operator="greaterThan">
      <formula>120</formula>
    </cfRule>
    <cfRule type="containsText" dxfId="2" priority="990" operator="between" text="库存为">
      <formula>NOT(ISERROR(SEARCH("库存为",AU95)))</formula>
    </cfRule>
  </conditionalFormatting>
  <conditionalFormatting sqref="AU96">
    <cfRule type="cellIs" dxfId="0" priority="3147" operator="lessThan">
      <formula>20</formula>
    </cfRule>
    <cfRule type="cellIs" dxfId="1" priority="2068" operator="greaterThan">
      <formula>120</formula>
    </cfRule>
    <cfRule type="containsText" dxfId="2" priority="989" operator="between" text="库存为">
      <formula>NOT(ISERROR(SEARCH("库存为",AU96)))</formula>
    </cfRule>
  </conditionalFormatting>
  <conditionalFormatting sqref="AU97">
    <cfRule type="cellIs" dxfId="0" priority="3146" operator="lessThan">
      <formula>20</formula>
    </cfRule>
    <cfRule type="cellIs" dxfId="1" priority="2067" operator="greaterThan">
      <formula>120</formula>
    </cfRule>
    <cfRule type="containsText" dxfId="2" priority="988" operator="between" text="库存为">
      <formula>NOT(ISERROR(SEARCH("库存为",AU97)))</formula>
    </cfRule>
  </conditionalFormatting>
  <conditionalFormatting sqref="AU98">
    <cfRule type="cellIs" dxfId="0" priority="3145" operator="lessThan">
      <formula>20</formula>
    </cfRule>
    <cfRule type="cellIs" dxfId="1" priority="2066" operator="greaterThan">
      <formula>120</formula>
    </cfRule>
    <cfRule type="containsText" dxfId="2" priority="987" operator="between" text="库存为">
      <formula>NOT(ISERROR(SEARCH("库存为",AU98)))</formula>
    </cfRule>
  </conditionalFormatting>
  <conditionalFormatting sqref="AU99">
    <cfRule type="cellIs" dxfId="0" priority="3144" operator="lessThan">
      <formula>20</formula>
    </cfRule>
    <cfRule type="cellIs" dxfId="1" priority="2065" operator="greaterThan">
      <formula>120</formula>
    </cfRule>
    <cfRule type="containsText" dxfId="2" priority="986" operator="between" text="库存为">
      <formula>NOT(ISERROR(SEARCH("库存为",AU99)))</formula>
    </cfRule>
  </conditionalFormatting>
  <conditionalFormatting sqref="AU100">
    <cfRule type="cellIs" dxfId="0" priority="3143" operator="lessThan">
      <formula>20</formula>
    </cfRule>
    <cfRule type="cellIs" dxfId="1" priority="2064" operator="greaterThan">
      <formula>120</formula>
    </cfRule>
    <cfRule type="containsText" dxfId="2" priority="985" operator="between" text="库存为">
      <formula>NOT(ISERROR(SEARCH("库存为",AU100)))</formula>
    </cfRule>
  </conditionalFormatting>
  <conditionalFormatting sqref="AU101">
    <cfRule type="cellIs" dxfId="0" priority="3142" operator="lessThan">
      <formula>20</formula>
    </cfRule>
    <cfRule type="cellIs" dxfId="1" priority="2063" operator="greaterThan">
      <formula>120</formula>
    </cfRule>
    <cfRule type="containsText" dxfId="2" priority="984" operator="between" text="库存为">
      <formula>NOT(ISERROR(SEARCH("库存为",AU101)))</formula>
    </cfRule>
  </conditionalFormatting>
  <conditionalFormatting sqref="AU102">
    <cfRule type="cellIs" dxfId="0" priority="3141" operator="lessThan">
      <formula>20</formula>
    </cfRule>
    <cfRule type="cellIs" dxfId="1" priority="2062" operator="greaterThan">
      <formula>120</formula>
    </cfRule>
    <cfRule type="containsText" dxfId="2" priority="983" operator="between" text="库存为">
      <formula>NOT(ISERROR(SEARCH("库存为",AU102)))</formula>
    </cfRule>
  </conditionalFormatting>
  <conditionalFormatting sqref="AU103">
    <cfRule type="cellIs" dxfId="0" priority="3140" operator="lessThan">
      <formula>20</formula>
    </cfRule>
    <cfRule type="cellIs" dxfId="1" priority="2061" operator="greaterThan">
      <formula>120</formula>
    </cfRule>
    <cfRule type="containsText" dxfId="2" priority="982" operator="between" text="库存为">
      <formula>NOT(ISERROR(SEARCH("库存为",AU103)))</formula>
    </cfRule>
  </conditionalFormatting>
  <conditionalFormatting sqref="AU104">
    <cfRule type="cellIs" dxfId="0" priority="3139" operator="lessThan">
      <formula>20</formula>
    </cfRule>
    <cfRule type="cellIs" dxfId="1" priority="2060" operator="greaterThan">
      <formula>120</formula>
    </cfRule>
    <cfRule type="containsText" dxfId="2" priority="981" operator="between" text="库存为">
      <formula>NOT(ISERROR(SEARCH("库存为",AU104)))</formula>
    </cfRule>
  </conditionalFormatting>
  <conditionalFormatting sqref="AU105">
    <cfRule type="cellIs" dxfId="0" priority="3138" operator="lessThan">
      <formula>20</formula>
    </cfRule>
    <cfRule type="cellIs" dxfId="1" priority="2059" operator="greaterThan">
      <formula>120</formula>
    </cfRule>
    <cfRule type="containsText" dxfId="2" priority="980" operator="between" text="库存为">
      <formula>NOT(ISERROR(SEARCH("库存为",AU105)))</formula>
    </cfRule>
  </conditionalFormatting>
  <conditionalFormatting sqref="AU106">
    <cfRule type="cellIs" dxfId="0" priority="3137" operator="lessThan">
      <formula>20</formula>
    </cfRule>
    <cfRule type="cellIs" dxfId="1" priority="2058" operator="greaterThan">
      <formula>120</formula>
    </cfRule>
    <cfRule type="containsText" dxfId="2" priority="979" operator="between" text="库存为">
      <formula>NOT(ISERROR(SEARCH("库存为",AU106)))</formula>
    </cfRule>
  </conditionalFormatting>
  <conditionalFormatting sqref="AU107">
    <cfRule type="cellIs" dxfId="0" priority="3136" operator="lessThan">
      <formula>20</formula>
    </cfRule>
    <cfRule type="cellIs" dxfId="1" priority="2057" operator="greaterThan">
      <formula>120</formula>
    </cfRule>
    <cfRule type="containsText" dxfId="2" priority="978" operator="between" text="库存为">
      <formula>NOT(ISERROR(SEARCH("库存为",AU107)))</formula>
    </cfRule>
  </conditionalFormatting>
  <conditionalFormatting sqref="AU108">
    <cfRule type="cellIs" dxfId="0" priority="3135" operator="lessThan">
      <formula>20</formula>
    </cfRule>
    <cfRule type="cellIs" dxfId="1" priority="2056" operator="greaterThan">
      <formula>120</formula>
    </cfRule>
    <cfRule type="containsText" dxfId="2" priority="977" operator="between" text="库存为">
      <formula>NOT(ISERROR(SEARCH("库存为",AU108)))</formula>
    </cfRule>
  </conditionalFormatting>
  <conditionalFormatting sqref="AU109">
    <cfRule type="cellIs" dxfId="0" priority="3134" operator="lessThan">
      <formula>20</formula>
    </cfRule>
    <cfRule type="cellIs" dxfId="1" priority="2055" operator="greaterThan">
      <formula>120</formula>
    </cfRule>
    <cfRule type="containsText" dxfId="2" priority="976" operator="between" text="库存为">
      <formula>NOT(ISERROR(SEARCH("库存为",AU109)))</formula>
    </cfRule>
  </conditionalFormatting>
  <conditionalFormatting sqref="AU110">
    <cfRule type="cellIs" dxfId="0" priority="3133" operator="lessThan">
      <formula>20</formula>
    </cfRule>
    <cfRule type="cellIs" dxfId="1" priority="2054" operator="greaterThan">
      <formula>120</formula>
    </cfRule>
    <cfRule type="containsText" dxfId="2" priority="975" operator="between" text="库存为">
      <formula>NOT(ISERROR(SEARCH("库存为",AU110)))</formula>
    </cfRule>
  </conditionalFormatting>
  <conditionalFormatting sqref="AU111">
    <cfRule type="cellIs" dxfId="0" priority="3132" operator="lessThan">
      <formula>20</formula>
    </cfRule>
    <cfRule type="cellIs" dxfId="1" priority="2053" operator="greaterThan">
      <formula>120</formula>
    </cfRule>
    <cfRule type="containsText" dxfId="2" priority="974" operator="between" text="库存为">
      <formula>NOT(ISERROR(SEARCH("库存为",AU111)))</formula>
    </cfRule>
  </conditionalFormatting>
  <conditionalFormatting sqref="AU112">
    <cfRule type="cellIs" dxfId="0" priority="3131" operator="lessThan">
      <formula>20</formula>
    </cfRule>
    <cfRule type="cellIs" dxfId="1" priority="2052" operator="greaterThan">
      <formula>120</formula>
    </cfRule>
    <cfRule type="containsText" dxfId="2" priority="973" operator="between" text="库存为">
      <formula>NOT(ISERROR(SEARCH("库存为",AU112)))</formula>
    </cfRule>
  </conditionalFormatting>
  <conditionalFormatting sqref="AU113">
    <cfRule type="cellIs" dxfId="0" priority="3130" operator="lessThan">
      <formula>20</formula>
    </cfRule>
    <cfRule type="cellIs" dxfId="1" priority="2051" operator="greaterThan">
      <formula>120</formula>
    </cfRule>
    <cfRule type="containsText" dxfId="2" priority="972" operator="between" text="库存为">
      <formula>NOT(ISERROR(SEARCH("库存为",AU113)))</formula>
    </cfRule>
  </conditionalFormatting>
  <conditionalFormatting sqref="AU114">
    <cfRule type="cellIs" dxfId="0" priority="3129" operator="lessThan">
      <formula>20</formula>
    </cfRule>
    <cfRule type="cellIs" dxfId="1" priority="2050" operator="greaterThan">
      <formula>120</formula>
    </cfRule>
    <cfRule type="containsText" dxfId="2" priority="971" operator="between" text="库存为">
      <formula>NOT(ISERROR(SEARCH("库存为",AU114)))</formula>
    </cfRule>
  </conditionalFormatting>
  <conditionalFormatting sqref="AU115">
    <cfRule type="cellIs" dxfId="0" priority="3128" operator="lessThan">
      <formula>20</formula>
    </cfRule>
    <cfRule type="cellIs" dxfId="1" priority="2049" operator="greaterThan">
      <formula>120</formula>
    </cfRule>
    <cfRule type="containsText" dxfId="2" priority="970" operator="between" text="库存为">
      <formula>NOT(ISERROR(SEARCH("库存为",AU115)))</formula>
    </cfRule>
  </conditionalFormatting>
  <conditionalFormatting sqref="AU116">
    <cfRule type="cellIs" dxfId="0" priority="3127" operator="lessThan">
      <formula>20</formula>
    </cfRule>
    <cfRule type="cellIs" dxfId="1" priority="2048" operator="greaterThan">
      <formula>120</formula>
    </cfRule>
    <cfRule type="containsText" dxfId="2" priority="969" operator="between" text="库存为">
      <formula>NOT(ISERROR(SEARCH("库存为",AU116)))</formula>
    </cfRule>
  </conditionalFormatting>
  <conditionalFormatting sqref="AU117">
    <cfRule type="cellIs" dxfId="0" priority="3126" operator="lessThan">
      <formula>20</formula>
    </cfRule>
    <cfRule type="cellIs" dxfId="1" priority="2047" operator="greaterThan">
      <formula>120</formula>
    </cfRule>
    <cfRule type="containsText" dxfId="2" priority="968" operator="between" text="库存为">
      <formula>NOT(ISERROR(SEARCH("库存为",AU117)))</formula>
    </cfRule>
  </conditionalFormatting>
  <conditionalFormatting sqref="AU118">
    <cfRule type="cellIs" dxfId="0" priority="3125" operator="lessThan">
      <formula>20</formula>
    </cfRule>
    <cfRule type="cellIs" dxfId="1" priority="2046" operator="greaterThan">
      <formula>120</formula>
    </cfRule>
    <cfRule type="containsText" dxfId="2" priority="967" operator="between" text="库存为">
      <formula>NOT(ISERROR(SEARCH("库存为",AU118)))</formula>
    </cfRule>
  </conditionalFormatting>
  <conditionalFormatting sqref="AU119">
    <cfRule type="cellIs" dxfId="0" priority="3124" operator="lessThan">
      <formula>20</formula>
    </cfRule>
    <cfRule type="cellIs" dxfId="1" priority="2045" operator="greaterThan">
      <formula>120</formula>
    </cfRule>
    <cfRule type="containsText" dxfId="2" priority="966" operator="between" text="库存为">
      <formula>NOT(ISERROR(SEARCH("库存为",AU119)))</formula>
    </cfRule>
  </conditionalFormatting>
  <conditionalFormatting sqref="AU120">
    <cfRule type="cellIs" dxfId="0" priority="3123" operator="lessThan">
      <formula>20</formula>
    </cfRule>
    <cfRule type="cellIs" dxfId="1" priority="2044" operator="greaterThan">
      <formula>120</formula>
    </cfRule>
    <cfRule type="containsText" dxfId="2" priority="965" operator="between" text="库存为">
      <formula>NOT(ISERROR(SEARCH("库存为",AU120)))</formula>
    </cfRule>
  </conditionalFormatting>
  <conditionalFormatting sqref="AU121">
    <cfRule type="cellIs" dxfId="0" priority="3122" operator="lessThan">
      <formula>20</formula>
    </cfRule>
    <cfRule type="cellIs" dxfId="1" priority="2043" operator="greaterThan">
      <formula>120</formula>
    </cfRule>
    <cfRule type="containsText" dxfId="2" priority="964" operator="between" text="库存为">
      <formula>NOT(ISERROR(SEARCH("库存为",AU121)))</formula>
    </cfRule>
  </conditionalFormatting>
  <conditionalFormatting sqref="AU122">
    <cfRule type="cellIs" dxfId="0" priority="3121" operator="lessThan">
      <formula>20</formula>
    </cfRule>
    <cfRule type="cellIs" dxfId="1" priority="2042" operator="greaterThan">
      <formula>120</formula>
    </cfRule>
    <cfRule type="containsText" dxfId="2" priority="963" operator="between" text="库存为">
      <formula>NOT(ISERROR(SEARCH("库存为",AU122)))</formula>
    </cfRule>
  </conditionalFormatting>
  <conditionalFormatting sqref="AU123">
    <cfRule type="cellIs" dxfId="0" priority="3120" operator="lessThan">
      <formula>20</formula>
    </cfRule>
    <cfRule type="cellIs" dxfId="1" priority="2041" operator="greaterThan">
      <formula>120</formula>
    </cfRule>
    <cfRule type="containsText" dxfId="2" priority="962" operator="between" text="库存为">
      <formula>NOT(ISERROR(SEARCH("库存为",AU123)))</formula>
    </cfRule>
  </conditionalFormatting>
  <conditionalFormatting sqref="AU124">
    <cfRule type="cellIs" dxfId="0" priority="3119" operator="lessThan">
      <formula>20</formula>
    </cfRule>
    <cfRule type="cellIs" dxfId="1" priority="2040" operator="greaterThan">
      <formula>120</formula>
    </cfRule>
    <cfRule type="containsText" dxfId="2" priority="961" operator="between" text="库存为">
      <formula>NOT(ISERROR(SEARCH("库存为",AU124)))</formula>
    </cfRule>
  </conditionalFormatting>
  <conditionalFormatting sqref="AU125">
    <cfRule type="cellIs" dxfId="0" priority="3118" operator="lessThan">
      <formula>20</formula>
    </cfRule>
    <cfRule type="cellIs" dxfId="1" priority="2039" operator="greaterThan">
      <formula>120</formula>
    </cfRule>
    <cfRule type="containsText" dxfId="2" priority="960" operator="between" text="库存为">
      <formula>NOT(ISERROR(SEARCH("库存为",AU125)))</formula>
    </cfRule>
  </conditionalFormatting>
  <conditionalFormatting sqref="AU126">
    <cfRule type="cellIs" dxfId="0" priority="3117" operator="lessThan">
      <formula>20</formula>
    </cfRule>
    <cfRule type="cellIs" dxfId="1" priority="2038" operator="greaterThan">
      <formula>120</formula>
    </cfRule>
    <cfRule type="containsText" dxfId="2" priority="959" operator="between" text="库存为">
      <formula>NOT(ISERROR(SEARCH("库存为",AU126)))</formula>
    </cfRule>
  </conditionalFormatting>
  <conditionalFormatting sqref="AU127">
    <cfRule type="cellIs" dxfId="0" priority="3116" operator="lessThan">
      <formula>20</formula>
    </cfRule>
    <cfRule type="cellIs" dxfId="1" priority="2037" operator="greaterThan">
      <formula>120</formula>
    </cfRule>
    <cfRule type="containsText" dxfId="2" priority="958" operator="between" text="库存为">
      <formula>NOT(ISERROR(SEARCH("库存为",AU127)))</formula>
    </cfRule>
  </conditionalFormatting>
  <conditionalFormatting sqref="AU128">
    <cfRule type="cellIs" dxfId="0" priority="3115" operator="lessThan">
      <formula>20</formula>
    </cfRule>
    <cfRule type="cellIs" dxfId="1" priority="2036" operator="greaterThan">
      <formula>120</formula>
    </cfRule>
    <cfRule type="containsText" dxfId="2" priority="957" operator="between" text="库存为">
      <formula>NOT(ISERROR(SEARCH("库存为",AU128)))</formula>
    </cfRule>
  </conditionalFormatting>
  <conditionalFormatting sqref="AU129">
    <cfRule type="cellIs" dxfId="0" priority="3114" operator="lessThan">
      <formula>20</formula>
    </cfRule>
    <cfRule type="cellIs" dxfId="1" priority="2035" operator="greaterThan">
      <formula>120</formula>
    </cfRule>
    <cfRule type="containsText" dxfId="2" priority="956" operator="between" text="库存为">
      <formula>NOT(ISERROR(SEARCH("库存为",AU129)))</formula>
    </cfRule>
  </conditionalFormatting>
  <conditionalFormatting sqref="AU130">
    <cfRule type="cellIs" dxfId="0" priority="3113" operator="lessThan">
      <formula>20</formula>
    </cfRule>
    <cfRule type="cellIs" dxfId="1" priority="2034" operator="greaterThan">
      <formula>120</formula>
    </cfRule>
    <cfRule type="containsText" dxfId="2" priority="955" operator="between" text="库存为">
      <formula>NOT(ISERROR(SEARCH("库存为",AU130)))</formula>
    </cfRule>
  </conditionalFormatting>
  <conditionalFormatting sqref="AU131">
    <cfRule type="cellIs" dxfId="0" priority="3112" operator="lessThan">
      <formula>20</formula>
    </cfRule>
    <cfRule type="cellIs" dxfId="1" priority="2033" operator="greaterThan">
      <formula>120</formula>
    </cfRule>
    <cfRule type="containsText" dxfId="2" priority="954" operator="between" text="库存为">
      <formula>NOT(ISERROR(SEARCH("库存为",AU131)))</formula>
    </cfRule>
  </conditionalFormatting>
  <conditionalFormatting sqref="AU132">
    <cfRule type="cellIs" dxfId="0" priority="3111" operator="lessThan">
      <formula>20</formula>
    </cfRule>
    <cfRule type="cellIs" dxfId="1" priority="2032" operator="greaterThan">
      <formula>120</formula>
    </cfRule>
    <cfRule type="containsText" dxfId="2" priority="953" operator="between" text="库存为">
      <formula>NOT(ISERROR(SEARCH("库存为",AU132)))</formula>
    </cfRule>
  </conditionalFormatting>
  <conditionalFormatting sqref="AU133">
    <cfRule type="cellIs" dxfId="0" priority="3110" operator="lessThan">
      <formula>20</formula>
    </cfRule>
    <cfRule type="cellIs" dxfId="1" priority="2031" operator="greaterThan">
      <formula>120</formula>
    </cfRule>
    <cfRule type="containsText" dxfId="2" priority="952" operator="between" text="库存为">
      <formula>NOT(ISERROR(SEARCH("库存为",AU133)))</formula>
    </cfRule>
  </conditionalFormatting>
  <conditionalFormatting sqref="AU134">
    <cfRule type="cellIs" dxfId="0" priority="3109" operator="lessThan">
      <formula>20</formula>
    </cfRule>
    <cfRule type="cellIs" dxfId="1" priority="2030" operator="greaterThan">
      <formula>120</formula>
    </cfRule>
    <cfRule type="containsText" dxfId="2" priority="951" operator="between" text="库存为">
      <formula>NOT(ISERROR(SEARCH("库存为",AU134)))</formula>
    </cfRule>
  </conditionalFormatting>
  <conditionalFormatting sqref="AU135">
    <cfRule type="cellIs" dxfId="0" priority="3108" operator="lessThan">
      <formula>20</formula>
    </cfRule>
    <cfRule type="cellIs" dxfId="1" priority="2029" operator="greaterThan">
      <formula>120</formula>
    </cfRule>
    <cfRule type="containsText" dxfId="2" priority="950" operator="between" text="库存为">
      <formula>NOT(ISERROR(SEARCH("库存为",AU135)))</formula>
    </cfRule>
  </conditionalFormatting>
  <conditionalFormatting sqref="AU136">
    <cfRule type="cellIs" dxfId="0" priority="3107" operator="lessThan">
      <formula>20</formula>
    </cfRule>
    <cfRule type="cellIs" dxfId="1" priority="2028" operator="greaterThan">
      <formula>120</formula>
    </cfRule>
    <cfRule type="containsText" dxfId="2" priority="949" operator="between" text="库存为">
      <formula>NOT(ISERROR(SEARCH("库存为",AU136)))</formula>
    </cfRule>
  </conditionalFormatting>
  <conditionalFormatting sqref="AU137">
    <cfRule type="cellIs" dxfId="0" priority="3106" operator="lessThan">
      <formula>20</formula>
    </cfRule>
    <cfRule type="cellIs" dxfId="1" priority="2027" operator="greaterThan">
      <formula>120</formula>
    </cfRule>
    <cfRule type="containsText" dxfId="2" priority="948" operator="between" text="库存为">
      <formula>NOT(ISERROR(SEARCH("库存为",AU137)))</formula>
    </cfRule>
  </conditionalFormatting>
  <conditionalFormatting sqref="AU138">
    <cfRule type="cellIs" dxfId="0" priority="3105" operator="lessThan">
      <formula>20</formula>
    </cfRule>
    <cfRule type="cellIs" dxfId="1" priority="2026" operator="greaterThan">
      <formula>120</formula>
    </cfRule>
    <cfRule type="containsText" dxfId="2" priority="947" operator="between" text="库存为">
      <formula>NOT(ISERROR(SEARCH("库存为",AU138)))</formula>
    </cfRule>
  </conditionalFormatting>
  <conditionalFormatting sqref="AU139">
    <cfRule type="cellIs" dxfId="0" priority="3104" operator="lessThan">
      <formula>20</formula>
    </cfRule>
    <cfRule type="cellIs" dxfId="1" priority="2025" operator="greaterThan">
      <formula>120</formula>
    </cfRule>
    <cfRule type="containsText" dxfId="2" priority="946" operator="between" text="库存为">
      <formula>NOT(ISERROR(SEARCH("库存为",AU139)))</formula>
    </cfRule>
  </conditionalFormatting>
  <conditionalFormatting sqref="AU140">
    <cfRule type="cellIs" dxfId="0" priority="3103" operator="lessThan">
      <formula>20</formula>
    </cfRule>
    <cfRule type="cellIs" dxfId="1" priority="2024" operator="greaterThan">
      <formula>120</formula>
    </cfRule>
    <cfRule type="containsText" dxfId="2" priority="945" operator="between" text="库存为">
      <formula>NOT(ISERROR(SEARCH("库存为",AU140)))</formula>
    </cfRule>
  </conditionalFormatting>
  <conditionalFormatting sqref="AU141">
    <cfRule type="cellIs" dxfId="0" priority="3102" operator="lessThan">
      <formula>20</formula>
    </cfRule>
    <cfRule type="cellIs" dxfId="1" priority="2023" operator="greaterThan">
      <formula>120</formula>
    </cfRule>
    <cfRule type="containsText" dxfId="2" priority="944" operator="between" text="库存为">
      <formula>NOT(ISERROR(SEARCH("库存为",AU141)))</formula>
    </cfRule>
  </conditionalFormatting>
  <conditionalFormatting sqref="AU142">
    <cfRule type="cellIs" dxfId="0" priority="3101" operator="lessThan">
      <formula>20</formula>
    </cfRule>
    <cfRule type="cellIs" dxfId="1" priority="2022" operator="greaterThan">
      <formula>120</formula>
    </cfRule>
    <cfRule type="containsText" dxfId="2" priority="943" operator="between" text="库存为">
      <formula>NOT(ISERROR(SEARCH("库存为",AU142)))</formula>
    </cfRule>
  </conditionalFormatting>
  <conditionalFormatting sqref="AU143">
    <cfRule type="cellIs" dxfId="0" priority="3100" operator="lessThan">
      <formula>20</formula>
    </cfRule>
    <cfRule type="cellIs" dxfId="1" priority="2021" operator="greaterThan">
      <formula>120</formula>
    </cfRule>
    <cfRule type="containsText" dxfId="2" priority="942" operator="between" text="库存为">
      <formula>NOT(ISERROR(SEARCH("库存为",AU143)))</formula>
    </cfRule>
  </conditionalFormatting>
  <conditionalFormatting sqref="AU144">
    <cfRule type="cellIs" dxfId="0" priority="3099" operator="lessThan">
      <formula>20</formula>
    </cfRule>
    <cfRule type="cellIs" dxfId="1" priority="2020" operator="greaterThan">
      <formula>120</formula>
    </cfRule>
    <cfRule type="containsText" dxfId="2" priority="941" operator="between" text="库存为">
      <formula>NOT(ISERROR(SEARCH("库存为",AU144)))</formula>
    </cfRule>
  </conditionalFormatting>
  <conditionalFormatting sqref="AU145">
    <cfRule type="cellIs" dxfId="0" priority="3098" operator="lessThan">
      <formula>20</formula>
    </cfRule>
    <cfRule type="cellIs" dxfId="1" priority="2019" operator="greaterThan">
      <formula>120</formula>
    </cfRule>
    <cfRule type="containsText" dxfId="2" priority="940" operator="between" text="库存为">
      <formula>NOT(ISERROR(SEARCH("库存为",AU145)))</formula>
    </cfRule>
  </conditionalFormatting>
  <conditionalFormatting sqref="AU146">
    <cfRule type="cellIs" dxfId="0" priority="3097" operator="lessThan">
      <formula>20</formula>
    </cfRule>
    <cfRule type="cellIs" dxfId="1" priority="2018" operator="greaterThan">
      <formula>120</formula>
    </cfRule>
    <cfRule type="containsText" dxfId="2" priority="939" operator="between" text="库存为">
      <formula>NOT(ISERROR(SEARCH("库存为",AU146)))</formula>
    </cfRule>
  </conditionalFormatting>
  <conditionalFormatting sqref="AU147">
    <cfRule type="cellIs" dxfId="0" priority="3096" operator="lessThan">
      <formula>20</formula>
    </cfRule>
    <cfRule type="cellIs" dxfId="1" priority="2017" operator="greaterThan">
      <formula>120</formula>
    </cfRule>
    <cfRule type="containsText" dxfId="2" priority="938" operator="between" text="库存为">
      <formula>NOT(ISERROR(SEARCH("库存为",AU147)))</formula>
    </cfRule>
  </conditionalFormatting>
  <conditionalFormatting sqref="AU148">
    <cfRule type="cellIs" dxfId="0" priority="3095" operator="lessThan">
      <formula>20</formula>
    </cfRule>
    <cfRule type="cellIs" dxfId="1" priority="2016" operator="greaterThan">
      <formula>120</formula>
    </cfRule>
    <cfRule type="containsText" dxfId="2" priority="937" operator="between" text="库存为">
      <formula>NOT(ISERROR(SEARCH("库存为",AU148)))</formula>
    </cfRule>
  </conditionalFormatting>
  <conditionalFormatting sqref="AU149">
    <cfRule type="cellIs" dxfId="0" priority="3094" operator="lessThan">
      <formula>20</formula>
    </cfRule>
    <cfRule type="cellIs" dxfId="1" priority="2015" operator="greaterThan">
      <formula>120</formula>
    </cfRule>
    <cfRule type="containsText" dxfId="2" priority="936" operator="between" text="库存为">
      <formula>NOT(ISERROR(SEARCH("库存为",AU149)))</formula>
    </cfRule>
  </conditionalFormatting>
  <conditionalFormatting sqref="AU150">
    <cfRule type="cellIs" dxfId="0" priority="3093" operator="lessThan">
      <formula>20</formula>
    </cfRule>
    <cfRule type="cellIs" dxfId="1" priority="2014" operator="greaterThan">
      <formula>120</formula>
    </cfRule>
    <cfRule type="containsText" dxfId="2" priority="935" operator="between" text="库存为">
      <formula>NOT(ISERROR(SEARCH("库存为",AU150)))</formula>
    </cfRule>
  </conditionalFormatting>
  <conditionalFormatting sqref="AU151">
    <cfRule type="cellIs" dxfId="0" priority="3092" operator="lessThan">
      <formula>20</formula>
    </cfRule>
    <cfRule type="cellIs" dxfId="1" priority="2013" operator="greaterThan">
      <formula>120</formula>
    </cfRule>
    <cfRule type="containsText" dxfId="2" priority="934" operator="between" text="库存为">
      <formula>NOT(ISERROR(SEARCH("库存为",AU151)))</formula>
    </cfRule>
  </conditionalFormatting>
  <conditionalFormatting sqref="AU152">
    <cfRule type="cellIs" dxfId="0" priority="3091" operator="lessThan">
      <formula>20</formula>
    </cfRule>
    <cfRule type="cellIs" dxfId="1" priority="2012" operator="greaterThan">
      <formula>120</formula>
    </cfRule>
    <cfRule type="containsText" dxfId="2" priority="933" operator="between" text="库存为">
      <formula>NOT(ISERROR(SEARCH("库存为",AU152)))</formula>
    </cfRule>
  </conditionalFormatting>
  <conditionalFormatting sqref="AU153">
    <cfRule type="cellIs" dxfId="0" priority="3090" operator="lessThan">
      <formula>20</formula>
    </cfRule>
    <cfRule type="cellIs" dxfId="1" priority="2011" operator="greaterThan">
      <formula>120</formula>
    </cfRule>
    <cfRule type="containsText" dxfId="2" priority="932" operator="between" text="库存为">
      <formula>NOT(ISERROR(SEARCH("库存为",AU153)))</formula>
    </cfRule>
  </conditionalFormatting>
  <conditionalFormatting sqref="AU154">
    <cfRule type="cellIs" dxfId="0" priority="3089" operator="lessThan">
      <formula>20</formula>
    </cfRule>
    <cfRule type="cellIs" dxfId="1" priority="2010" operator="greaterThan">
      <formula>120</formula>
    </cfRule>
    <cfRule type="containsText" dxfId="2" priority="931" operator="between" text="库存为">
      <formula>NOT(ISERROR(SEARCH("库存为",AU154)))</formula>
    </cfRule>
  </conditionalFormatting>
  <conditionalFormatting sqref="AU155">
    <cfRule type="cellIs" dxfId="0" priority="3088" operator="lessThan">
      <formula>20</formula>
    </cfRule>
    <cfRule type="cellIs" dxfId="1" priority="2009" operator="greaterThan">
      <formula>120</formula>
    </cfRule>
    <cfRule type="containsText" dxfId="2" priority="930" operator="between" text="库存为">
      <formula>NOT(ISERROR(SEARCH("库存为",AU155)))</formula>
    </cfRule>
  </conditionalFormatting>
  <conditionalFormatting sqref="AU156">
    <cfRule type="cellIs" dxfId="0" priority="3087" operator="lessThan">
      <formula>20</formula>
    </cfRule>
    <cfRule type="cellIs" dxfId="1" priority="2008" operator="greaterThan">
      <formula>120</formula>
    </cfRule>
    <cfRule type="containsText" dxfId="2" priority="929" operator="between" text="库存为">
      <formula>NOT(ISERROR(SEARCH("库存为",AU156)))</formula>
    </cfRule>
  </conditionalFormatting>
  <conditionalFormatting sqref="AU157">
    <cfRule type="cellIs" dxfId="0" priority="3086" operator="lessThan">
      <formula>20</formula>
    </cfRule>
    <cfRule type="cellIs" dxfId="1" priority="2007" operator="greaterThan">
      <formula>120</formula>
    </cfRule>
    <cfRule type="containsText" dxfId="2" priority="928" operator="between" text="库存为">
      <formula>NOT(ISERROR(SEARCH("库存为",AU157)))</formula>
    </cfRule>
  </conditionalFormatting>
  <conditionalFormatting sqref="AU158">
    <cfRule type="cellIs" dxfId="0" priority="3085" operator="lessThan">
      <formula>20</formula>
    </cfRule>
    <cfRule type="cellIs" dxfId="1" priority="2006" operator="greaterThan">
      <formula>120</formula>
    </cfRule>
    <cfRule type="containsText" dxfId="2" priority="927" operator="between" text="库存为">
      <formula>NOT(ISERROR(SEARCH("库存为",AU158)))</formula>
    </cfRule>
  </conditionalFormatting>
  <conditionalFormatting sqref="AU159">
    <cfRule type="cellIs" dxfId="0" priority="3084" operator="lessThan">
      <formula>20</formula>
    </cfRule>
    <cfRule type="cellIs" dxfId="1" priority="2005" operator="greaterThan">
      <formula>120</formula>
    </cfRule>
    <cfRule type="containsText" dxfId="2" priority="926" operator="between" text="库存为">
      <formula>NOT(ISERROR(SEARCH("库存为",AU159)))</formula>
    </cfRule>
  </conditionalFormatting>
  <conditionalFormatting sqref="AU160">
    <cfRule type="cellIs" dxfId="0" priority="3083" operator="lessThan">
      <formula>20</formula>
    </cfRule>
    <cfRule type="cellIs" dxfId="1" priority="2004" operator="greaterThan">
      <formula>120</formula>
    </cfRule>
    <cfRule type="containsText" dxfId="2" priority="925" operator="between" text="库存为">
      <formula>NOT(ISERROR(SEARCH("库存为",AU160)))</formula>
    </cfRule>
  </conditionalFormatting>
  <conditionalFormatting sqref="AU161">
    <cfRule type="cellIs" dxfId="0" priority="3082" operator="lessThan">
      <formula>20</formula>
    </cfRule>
    <cfRule type="cellIs" dxfId="1" priority="2003" operator="greaterThan">
      <formula>120</formula>
    </cfRule>
    <cfRule type="containsText" dxfId="2" priority="924" operator="between" text="库存为">
      <formula>NOT(ISERROR(SEARCH("库存为",AU161)))</formula>
    </cfRule>
  </conditionalFormatting>
  <conditionalFormatting sqref="AU162">
    <cfRule type="cellIs" dxfId="0" priority="3081" operator="lessThan">
      <formula>20</formula>
    </cfRule>
    <cfRule type="cellIs" dxfId="1" priority="2002" operator="greaterThan">
      <formula>120</formula>
    </cfRule>
    <cfRule type="containsText" dxfId="2" priority="923" operator="between" text="库存为">
      <formula>NOT(ISERROR(SEARCH("库存为",AU162)))</formula>
    </cfRule>
  </conditionalFormatting>
  <conditionalFormatting sqref="AU163">
    <cfRule type="cellIs" dxfId="0" priority="3080" operator="lessThan">
      <formula>20</formula>
    </cfRule>
    <cfRule type="cellIs" dxfId="1" priority="2001" operator="greaterThan">
      <formula>120</formula>
    </cfRule>
    <cfRule type="containsText" dxfId="2" priority="922" operator="between" text="库存为">
      <formula>NOT(ISERROR(SEARCH("库存为",AU163)))</formula>
    </cfRule>
  </conditionalFormatting>
  <conditionalFormatting sqref="AU164">
    <cfRule type="cellIs" dxfId="0" priority="3079" operator="lessThan">
      <formula>20</formula>
    </cfRule>
    <cfRule type="cellIs" dxfId="1" priority="2000" operator="greaterThan">
      <formula>120</formula>
    </cfRule>
    <cfRule type="containsText" dxfId="2" priority="921" operator="between" text="库存为">
      <formula>NOT(ISERROR(SEARCH("库存为",AU164)))</formula>
    </cfRule>
  </conditionalFormatting>
  <conditionalFormatting sqref="AU165">
    <cfRule type="cellIs" dxfId="0" priority="3078" operator="lessThan">
      <formula>20</formula>
    </cfRule>
    <cfRule type="cellIs" dxfId="1" priority="1999" operator="greaterThan">
      <formula>120</formula>
    </cfRule>
    <cfRule type="containsText" dxfId="2" priority="920" operator="between" text="库存为">
      <formula>NOT(ISERROR(SEARCH("库存为",AU165)))</formula>
    </cfRule>
  </conditionalFormatting>
  <conditionalFormatting sqref="AU166">
    <cfRule type="cellIs" dxfId="0" priority="3077" operator="lessThan">
      <formula>20</formula>
    </cfRule>
    <cfRule type="cellIs" dxfId="1" priority="1998" operator="greaterThan">
      <formula>120</formula>
    </cfRule>
    <cfRule type="containsText" dxfId="2" priority="919" operator="between" text="库存为">
      <formula>NOT(ISERROR(SEARCH("库存为",AU166)))</formula>
    </cfRule>
  </conditionalFormatting>
  <conditionalFormatting sqref="AU167">
    <cfRule type="cellIs" dxfId="0" priority="3076" operator="lessThan">
      <formula>20</formula>
    </cfRule>
    <cfRule type="cellIs" dxfId="1" priority="1997" operator="greaterThan">
      <formula>120</formula>
    </cfRule>
    <cfRule type="containsText" dxfId="2" priority="918" operator="between" text="库存为">
      <formula>NOT(ISERROR(SEARCH("库存为",AU167)))</formula>
    </cfRule>
  </conditionalFormatting>
  <conditionalFormatting sqref="AU168">
    <cfRule type="cellIs" dxfId="0" priority="3075" operator="lessThan">
      <formula>20</formula>
    </cfRule>
    <cfRule type="cellIs" dxfId="1" priority="1996" operator="greaterThan">
      <formula>120</formula>
    </cfRule>
    <cfRule type="containsText" dxfId="2" priority="917" operator="between" text="库存为">
      <formula>NOT(ISERROR(SEARCH("库存为",AU168)))</formula>
    </cfRule>
  </conditionalFormatting>
  <conditionalFormatting sqref="AU169">
    <cfRule type="cellIs" dxfId="0" priority="3074" operator="lessThan">
      <formula>20</formula>
    </cfRule>
    <cfRule type="cellIs" dxfId="1" priority="1995" operator="greaterThan">
      <formula>120</formula>
    </cfRule>
    <cfRule type="containsText" dxfId="2" priority="916" operator="between" text="库存为">
      <formula>NOT(ISERROR(SEARCH("库存为",AU169)))</formula>
    </cfRule>
  </conditionalFormatting>
  <conditionalFormatting sqref="AU170">
    <cfRule type="cellIs" dxfId="0" priority="3073" operator="lessThan">
      <formula>20</formula>
    </cfRule>
    <cfRule type="cellIs" dxfId="1" priority="1994" operator="greaterThan">
      <formula>120</formula>
    </cfRule>
    <cfRule type="containsText" dxfId="2" priority="915" operator="between" text="库存为">
      <formula>NOT(ISERROR(SEARCH("库存为",AU170)))</formula>
    </cfRule>
  </conditionalFormatting>
  <conditionalFormatting sqref="AU171">
    <cfRule type="cellIs" dxfId="0" priority="3072" operator="lessThan">
      <formula>20</formula>
    </cfRule>
    <cfRule type="cellIs" dxfId="1" priority="1993" operator="greaterThan">
      <formula>120</formula>
    </cfRule>
    <cfRule type="containsText" dxfId="2" priority="914" operator="between" text="库存为">
      <formula>NOT(ISERROR(SEARCH("库存为",AU171)))</formula>
    </cfRule>
  </conditionalFormatting>
  <conditionalFormatting sqref="AU172">
    <cfRule type="cellIs" dxfId="0" priority="3071" operator="lessThan">
      <formula>20</formula>
    </cfRule>
    <cfRule type="cellIs" dxfId="1" priority="1992" operator="greaterThan">
      <formula>120</formula>
    </cfRule>
    <cfRule type="containsText" dxfId="2" priority="913" operator="between" text="库存为">
      <formula>NOT(ISERROR(SEARCH("库存为",AU172)))</formula>
    </cfRule>
  </conditionalFormatting>
  <conditionalFormatting sqref="AU173">
    <cfRule type="cellIs" dxfId="0" priority="3070" operator="lessThan">
      <formula>20</formula>
    </cfRule>
    <cfRule type="cellIs" dxfId="1" priority="1991" operator="greaterThan">
      <formula>120</formula>
    </cfRule>
    <cfRule type="containsText" dxfId="2" priority="912" operator="between" text="库存为">
      <formula>NOT(ISERROR(SEARCH("库存为",AU173)))</formula>
    </cfRule>
  </conditionalFormatting>
  <conditionalFormatting sqref="AU174">
    <cfRule type="cellIs" dxfId="0" priority="3069" operator="lessThan">
      <formula>20</formula>
    </cfRule>
    <cfRule type="cellIs" dxfId="1" priority="1990" operator="greaterThan">
      <formula>120</formula>
    </cfRule>
    <cfRule type="containsText" dxfId="2" priority="911" operator="between" text="库存为">
      <formula>NOT(ISERROR(SEARCH("库存为",AU174)))</formula>
    </cfRule>
  </conditionalFormatting>
  <conditionalFormatting sqref="AU175">
    <cfRule type="cellIs" dxfId="0" priority="3068" operator="lessThan">
      <formula>20</formula>
    </cfRule>
    <cfRule type="cellIs" dxfId="1" priority="1989" operator="greaterThan">
      <formula>120</formula>
    </cfRule>
    <cfRule type="containsText" dxfId="2" priority="910" operator="between" text="库存为">
      <formula>NOT(ISERROR(SEARCH("库存为",AU175)))</formula>
    </cfRule>
  </conditionalFormatting>
  <conditionalFormatting sqref="AU176">
    <cfRule type="cellIs" dxfId="0" priority="3067" operator="lessThan">
      <formula>20</formula>
    </cfRule>
    <cfRule type="cellIs" dxfId="1" priority="1988" operator="greaterThan">
      <formula>120</formula>
    </cfRule>
    <cfRule type="containsText" dxfId="2" priority="909" operator="between" text="库存为">
      <formula>NOT(ISERROR(SEARCH("库存为",AU176)))</formula>
    </cfRule>
  </conditionalFormatting>
  <conditionalFormatting sqref="AU177">
    <cfRule type="cellIs" dxfId="0" priority="3066" operator="lessThan">
      <formula>20</formula>
    </cfRule>
    <cfRule type="cellIs" dxfId="1" priority="1987" operator="greaterThan">
      <formula>120</formula>
    </cfRule>
    <cfRule type="containsText" dxfId="2" priority="908" operator="between" text="库存为">
      <formula>NOT(ISERROR(SEARCH("库存为",AU177)))</formula>
    </cfRule>
  </conditionalFormatting>
  <conditionalFormatting sqref="AU178">
    <cfRule type="cellIs" dxfId="0" priority="3065" operator="lessThan">
      <formula>20</formula>
    </cfRule>
    <cfRule type="cellIs" dxfId="1" priority="1986" operator="greaterThan">
      <formula>120</formula>
    </cfRule>
    <cfRule type="containsText" dxfId="2" priority="907" operator="between" text="库存为">
      <formula>NOT(ISERROR(SEARCH("库存为",AU178)))</formula>
    </cfRule>
  </conditionalFormatting>
  <conditionalFormatting sqref="AU179">
    <cfRule type="cellIs" dxfId="0" priority="3064" operator="lessThan">
      <formula>20</formula>
    </cfRule>
    <cfRule type="cellIs" dxfId="1" priority="1985" operator="greaterThan">
      <formula>120</formula>
    </cfRule>
    <cfRule type="containsText" dxfId="2" priority="906" operator="between" text="库存为">
      <formula>NOT(ISERROR(SEARCH("库存为",AU179)))</formula>
    </cfRule>
  </conditionalFormatting>
  <conditionalFormatting sqref="AU180">
    <cfRule type="cellIs" dxfId="0" priority="3063" operator="lessThan">
      <formula>20</formula>
    </cfRule>
    <cfRule type="cellIs" dxfId="1" priority="1984" operator="greaterThan">
      <formula>120</formula>
    </cfRule>
    <cfRule type="containsText" dxfId="2" priority="905" operator="between" text="库存为">
      <formula>NOT(ISERROR(SEARCH("库存为",AU180)))</formula>
    </cfRule>
  </conditionalFormatting>
  <conditionalFormatting sqref="AU181">
    <cfRule type="cellIs" dxfId="0" priority="3062" operator="lessThan">
      <formula>20</formula>
    </cfRule>
    <cfRule type="cellIs" dxfId="1" priority="1983" operator="greaterThan">
      <formula>120</formula>
    </cfRule>
    <cfRule type="containsText" dxfId="2" priority="904" operator="between" text="库存为">
      <formula>NOT(ISERROR(SEARCH("库存为",AU181)))</formula>
    </cfRule>
  </conditionalFormatting>
  <conditionalFormatting sqref="AU182">
    <cfRule type="cellIs" dxfId="0" priority="3061" operator="lessThan">
      <formula>20</formula>
    </cfRule>
    <cfRule type="cellIs" dxfId="1" priority="1982" operator="greaterThan">
      <formula>120</formula>
    </cfRule>
    <cfRule type="containsText" dxfId="2" priority="903" operator="between" text="库存为">
      <formula>NOT(ISERROR(SEARCH("库存为",AU182)))</formula>
    </cfRule>
  </conditionalFormatting>
  <conditionalFormatting sqref="AU183">
    <cfRule type="cellIs" dxfId="0" priority="3060" operator="lessThan">
      <formula>20</formula>
    </cfRule>
    <cfRule type="cellIs" dxfId="1" priority="1981" operator="greaterThan">
      <formula>120</formula>
    </cfRule>
    <cfRule type="containsText" dxfId="2" priority="902" operator="between" text="库存为">
      <formula>NOT(ISERROR(SEARCH("库存为",AU183)))</formula>
    </cfRule>
  </conditionalFormatting>
  <conditionalFormatting sqref="AU184">
    <cfRule type="cellIs" dxfId="0" priority="3059" operator="lessThan">
      <formula>20</formula>
    </cfRule>
    <cfRule type="cellIs" dxfId="1" priority="1980" operator="greaterThan">
      <formula>120</formula>
    </cfRule>
    <cfRule type="containsText" dxfId="2" priority="901" operator="between" text="库存为">
      <formula>NOT(ISERROR(SEARCH("库存为",AU184)))</formula>
    </cfRule>
  </conditionalFormatting>
  <conditionalFormatting sqref="AU185">
    <cfRule type="cellIs" dxfId="0" priority="3058" operator="lessThan">
      <formula>20</formula>
    </cfRule>
    <cfRule type="cellIs" dxfId="1" priority="1979" operator="greaterThan">
      <formula>120</formula>
    </cfRule>
    <cfRule type="containsText" dxfId="2" priority="900" operator="between" text="库存为">
      <formula>NOT(ISERROR(SEARCH("库存为",AU185)))</formula>
    </cfRule>
  </conditionalFormatting>
  <conditionalFormatting sqref="AU186">
    <cfRule type="cellIs" dxfId="0" priority="3057" operator="lessThan">
      <formula>20</formula>
    </cfRule>
    <cfRule type="cellIs" dxfId="1" priority="1978" operator="greaterThan">
      <formula>120</formula>
    </cfRule>
    <cfRule type="containsText" dxfId="2" priority="899" operator="between" text="库存为">
      <formula>NOT(ISERROR(SEARCH("库存为",AU186)))</formula>
    </cfRule>
  </conditionalFormatting>
  <conditionalFormatting sqref="AU187">
    <cfRule type="cellIs" dxfId="0" priority="3056" operator="lessThan">
      <formula>20</formula>
    </cfRule>
    <cfRule type="cellIs" dxfId="1" priority="1977" operator="greaterThan">
      <formula>120</formula>
    </cfRule>
    <cfRule type="containsText" dxfId="2" priority="898" operator="between" text="库存为">
      <formula>NOT(ISERROR(SEARCH("库存为",AU187)))</formula>
    </cfRule>
  </conditionalFormatting>
  <conditionalFormatting sqref="AU188">
    <cfRule type="cellIs" dxfId="0" priority="3055" operator="lessThan">
      <formula>20</formula>
    </cfRule>
    <cfRule type="cellIs" dxfId="1" priority="1976" operator="greaterThan">
      <formula>120</formula>
    </cfRule>
    <cfRule type="containsText" dxfId="2" priority="897" operator="between" text="库存为">
      <formula>NOT(ISERROR(SEARCH("库存为",AU188)))</formula>
    </cfRule>
  </conditionalFormatting>
  <conditionalFormatting sqref="AU189">
    <cfRule type="cellIs" dxfId="0" priority="3054" operator="lessThan">
      <formula>20</formula>
    </cfRule>
    <cfRule type="cellIs" dxfId="1" priority="1975" operator="greaterThan">
      <formula>120</formula>
    </cfRule>
    <cfRule type="containsText" dxfId="2" priority="896" operator="between" text="库存为">
      <formula>NOT(ISERROR(SEARCH("库存为",AU189)))</formula>
    </cfRule>
  </conditionalFormatting>
  <conditionalFormatting sqref="AU190">
    <cfRule type="cellIs" dxfId="0" priority="3053" operator="lessThan">
      <formula>20</formula>
    </cfRule>
    <cfRule type="cellIs" dxfId="1" priority="1974" operator="greaterThan">
      <formula>120</formula>
    </cfRule>
    <cfRule type="containsText" dxfId="2" priority="895" operator="between" text="库存为">
      <formula>NOT(ISERROR(SEARCH("库存为",AU190)))</formula>
    </cfRule>
  </conditionalFormatting>
  <conditionalFormatting sqref="AU191">
    <cfRule type="cellIs" dxfId="0" priority="3052" operator="lessThan">
      <formula>20</formula>
    </cfRule>
    <cfRule type="cellIs" dxfId="1" priority="1973" operator="greaterThan">
      <formula>120</formula>
    </cfRule>
    <cfRule type="containsText" dxfId="2" priority="894" operator="between" text="库存为">
      <formula>NOT(ISERROR(SEARCH("库存为",AU191)))</formula>
    </cfRule>
  </conditionalFormatting>
  <conditionalFormatting sqref="AU192">
    <cfRule type="cellIs" dxfId="0" priority="3051" operator="lessThan">
      <formula>20</formula>
    </cfRule>
    <cfRule type="cellIs" dxfId="1" priority="1972" operator="greaterThan">
      <formula>120</formula>
    </cfRule>
    <cfRule type="containsText" dxfId="2" priority="893" operator="between" text="库存为">
      <formula>NOT(ISERROR(SEARCH("库存为",AU192)))</formula>
    </cfRule>
  </conditionalFormatting>
  <conditionalFormatting sqref="AU193">
    <cfRule type="cellIs" dxfId="0" priority="3050" operator="lessThan">
      <formula>20</formula>
    </cfRule>
    <cfRule type="cellIs" dxfId="1" priority="1971" operator="greaterThan">
      <formula>120</formula>
    </cfRule>
    <cfRule type="containsText" dxfId="2" priority="892" operator="between" text="库存为">
      <formula>NOT(ISERROR(SEARCH("库存为",AU193)))</formula>
    </cfRule>
  </conditionalFormatting>
  <conditionalFormatting sqref="AU194">
    <cfRule type="cellIs" dxfId="0" priority="3049" operator="lessThan">
      <formula>20</formula>
    </cfRule>
    <cfRule type="cellIs" dxfId="1" priority="1970" operator="greaterThan">
      <formula>120</formula>
    </cfRule>
    <cfRule type="containsText" dxfId="2" priority="891" operator="between" text="库存为">
      <formula>NOT(ISERROR(SEARCH("库存为",AU194)))</formula>
    </cfRule>
  </conditionalFormatting>
  <conditionalFormatting sqref="AU195">
    <cfRule type="cellIs" dxfId="0" priority="3048" operator="lessThan">
      <formula>20</formula>
    </cfRule>
    <cfRule type="cellIs" dxfId="1" priority="1969" operator="greaterThan">
      <formula>120</formula>
    </cfRule>
    <cfRule type="containsText" dxfId="2" priority="890" operator="between" text="库存为">
      <formula>NOT(ISERROR(SEARCH("库存为",AU195)))</formula>
    </cfRule>
  </conditionalFormatting>
  <conditionalFormatting sqref="AU196">
    <cfRule type="cellIs" dxfId="0" priority="3047" operator="lessThan">
      <formula>20</formula>
    </cfRule>
    <cfRule type="cellIs" dxfId="1" priority="1968" operator="greaterThan">
      <formula>120</formula>
    </cfRule>
    <cfRule type="containsText" dxfId="2" priority="889" operator="between" text="库存为">
      <formula>NOT(ISERROR(SEARCH("库存为",AU196)))</formula>
    </cfRule>
  </conditionalFormatting>
  <conditionalFormatting sqref="AU197">
    <cfRule type="cellIs" dxfId="0" priority="3046" operator="lessThan">
      <formula>20</formula>
    </cfRule>
    <cfRule type="cellIs" dxfId="1" priority="1967" operator="greaterThan">
      <formula>120</formula>
    </cfRule>
    <cfRule type="containsText" dxfId="2" priority="888" operator="between" text="库存为">
      <formula>NOT(ISERROR(SEARCH("库存为",AU197)))</formula>
    </cfRule>
  </conditionalFormatting>
  <conditionalFormatting sqref="AU198">
    <cfRule type="cellIs" dxfId="0" priority="3045" operator="lessThan">
      <formula>20</formula>
    </cfRule>
    <cfRule type="cellIs" dxfId="1" priority="1966" operator="greaterThan">
      <formula>120</formula>
    </cfRule>
    <cfRule type="containsText" dxfId="2" priority="887" operator="between" text="库存为">
      <formula>NOT(ISERROR(SEARCH("库存为",AU198)))</formula>
    </cfRule>
  </conditionalFormatting>
  <conditionalFormatting sqref="AU199">
    <cfRule type="cellIs" dxfId="0" priority="3044" operator="lessThan">
      <formula>20</formula>
    </cfRule>
    <cfRule type="cellIs" dxfId="1" priority="1965" operator="greaterThan">
      <formula>120</formula>
    </cfRule>
    <cfRule type="containsText" dxfId="2" priority="886" operator="between" text="库存为">
      <formula>NOT(ISERROR(SEARCH("库存为",AU199)))</formula>
    </cfRule>
  </conditionalFormatting>
  <conditionalFormatting sqref="AU200">
    <cfRule type="cellIs" dxfId="0" priority="3043" operator="lessThan">
      <formula>20</formula>
    </cfRule>
    <cfRule type="cellIs" dxfId="1" priority="1964" operator="greaterThan">
      <formula>120</formula>
    </cfRule>
    <cfRule type="containsText" dxfId="2" priority="885" operator="between" text="库存为">
      <formula>NOT(ISERROR(SEARCH("库存为",AU200)))</formula>
    </cfRule>
  </conditionalFormatting>
  <conditionalFormatting sqref="AU201">
    <cfRule type="cellIs" dxfId="0" priority="3042" operator="lessThan">
      <formula>20</formula>
    </cfRule>
    <cfRule type="cellIs" dxfId="1" priority="1963" operator="greaterThan">
      <formula>120</formula>
    </cfRule>
    <cfRule type="containsText" dxfId="2" priority="884" operator="between" text="库存为">
      <formula>NOT(ISERROR(SEARCH("库存为",AU201)))</formula>
    </cfRule>
  </conditionalFormatting>
  <conditionalFormatting sqref="AU202">
    <cfRule type="cellIs" dxfId="0" priority="3041" operator="lessThan">
      <formula>20</formula>
    </cfRule>
    <cfRule type="cellIs" dxfId="1" priority="1962" operator="greaterThan">
      <formula>120</formula>
    </cfRule>
    <cfRule type="containsText" dxfId="2" priority="883" operator="between" text="库存为">
      <formula>NOT(ISERROR(SEARCH("库存为",AU202)))</formula>
    </cfRule>
  </conditionalFormatting>
  <conditionalFormatting sqref="AU203">
    <cfRule type="cellIs" dxfId="0" priority="3040" operator="lessThan">
      <formula>20</formula>
    </cfRule>
    <cfRule type="cellIs" dxfId="1" priority="1961" operator="greaterThan">
      <formula>120</formula>
    </cfRule>
    <cfRule type="containsText" dxfId="2" priority="882" operator="between" text="库存为">
      <formula>NOT(ISERROR(SEARCH("库存为",AU203)))</formula>
    </cfRule>
  </conditionalFormatting>
  <conditionalFormatting sqref="AU204">
    <cfRule type="cellIs" dxfId="0" priority="3039" operator="lessThan">
      <formula>20</formula>
    </cfRule>
    <cfRule type="cellIs" dxfId="1" priority="1960" operator="greaterThan">
      <formula>120</formula>
    </cfRule>
    <cfRule type="containsText" dxfId="2" priority="881" operator="between" text="库存为">
      <formula>NOT(ISERROR(SEARCH("库存为",AU204)))</formula>
    </cfRule>
  </conditionalFormatting>
  <conditionalFormatting sqref="AU205">
    <cfRule type="cellIs" dxfId="0" priority="3038" operator="lessThan">
      <formula>20</formula>
    </cfRule>
    <cfRule type="cellIs" dxfId="1" priority="1959" operator="greaterThan">
      <formula>120</formula>
    </cfRule>
    <cfRule type="containsText" dxfId="2" priority="880" operator="between" text="库存为">
      <formula>NOT(ISERROR(SEARCH("库存为",AU205)))</formula>
    </cfRule>
  </conditionalFormatting>
  <conditionalFormatting sqref="AU206">
    <cfRule type="cellIs" dxfId="0" priority="3037" operator="lessThan">
      <formula>20</formula>
    </cfRule>
    <cfRule type="cellIs" dxfId="1" priority="1958" operator="greaterThan">
      <formula>120</formula>
    </cfRule>
    <cfRule type="containsText" dxfId="2" priority="879" operator="between" text="库存为">
      <formula>NOT(ISERROR(SEARCH("库存为",AU206)))</formula>
    </cfRule>
  </conditionalFormatting>
  <conditionalFormatting sqref="AU207">
    <cfRule type="cellIs" dxfId="0" priority="3036" operator="lessThan">
      <formula>20</formula>
    </cfRule>
    <cfRule type="cellIs" dxfId="1" priority="1957" operator="greaterThan">
      <formula>120</formula>
    </cfRule>
    <cfRule type="containsText" dxfId="2" priority="878" operator="between" text="库存为">
      <formula>NOT(ISERROR(SEARCH("库存为",AU207)))</formula>
    </cfRule>
  </conditionalFormatting>
  <conditionalFormatting sqref="AU208">
    <cfRule type="cellIs" dxfId="0" priority="3035" operator="lessThan">
      <formula>20</formula>
    </cfRule>
    <cfRule type="cellIs" dxfId="1" priority="1956" operator="greaterThan">
      <formula>120</formula>
    </cfRule>
    <cfRule type="containsText" dxfId="2" priority="877" operator="between" text="库存为">
      <formula>NOT(ISERROR(SEARCH("库存为",AU208)))</formula>
    </cfRule>
  </conditionalFormatting>
  <conditionalFormatting sqref="AU209">
    <cfRule type="cellIs" dxfId="0" priority="3034" operator="lessThan">
      <formula>20</formula>
    </cfRule>
    <cfRule type="cellIs" dxfId="1" priority="1955" operator="greaterThan">
      <formula>120</formula>
    </cfRule>
    <cfRule type="containsText" dxfId="2" priority="876" operator="between" text="库存为">
      <formula>NOT(ISERROR(SEARCH("库存为",AU209)))</formula>
    </cfRule>
  </conditionalFormatting>
  <conditionalFormatting sqref="AU210">
    <cfRule type="cellIs" dxfId="0" priority="3033" operator="lessThan">
      <formula>20</formula>
    </cfRule>
    <cfRule type="cellIs" dxfId="1" priority="1954" operator="greaterThan">
      <formula>120</formula>
    </cfRule>
    <cfRule type="containsText" dxfId="2" priority="875" operator="between" text="库存为">
      <formula>NOT(ISERROR(SEARCH("库存为",AU210)))</formula>
    </cfRule>
  </conditionalFormatting>
  <conditionalFormatting sqref="AU211">
    <cfRule type="cellIs" dxfId="0" priority="3032" operator="lessThan">
      <formula>20</formula>
    </cfRule>
    <cfRule type="cellIs" dxfId="1" priority="1953" operator="greaterThan">
      <formula>120</formula>
    </cfRule>
    <cfRule type="containsText" dxfId="2" priority="874" operator="between" text="库存为">
      <formula>NOT(ISERROR(SEARCH("库存为",AU211)))</formula>
    </cfRule>
  </conditionalFormatting>
  <conditionalFormatting sqref="AU212">
    <cfRule type="cellIs" dxfId="0" priority="3031" operator="lessThan">
      <formula>20</formula>
    </cfRule>
    <cfRule type="cellIs" dxfId="1" priority="1952" operator="greaterThan">
      <formula>120</formula>
    </cfRule>
    <cfRule type="containsText" dxfId="2" priority="873" operator="between" text="库存为">
      <formula>NOT(ISERROR(SEARCH("库存为",AU212)))</formula>
    </cfRule>
  </conditionalFormatting>
  <conditionalFormatting sqref="AU213">
    <cfRule type="cellIs" dxfId="0" priority="3030" operator="lessThan">
      <formula>20</formula>
    </cfRule>
    <cfRule type="cellIs" dxfId="1" priority="1951" operator="greaterThan">
      <formula>120</formula>
    </cfRule>
    <cfRule type="containsText" dxfId="2" priority="872" operator="between" text="库存为">
      <formula>NOT(ISERROR(SEARCH("库存为",AU213)))</formula>
    </cfRule>
  </conditionalFormatting>
  <conditionalFormatting sqref="AU214">
    <cfRule type="cellIs" dxfId="0" priority="3029" operator="lessThan">
      <formula>20</formula>
    </cfRule>
    <cfRule type="cellIs" dxfId="1" priority="1950" operator="greaterThan">
      <formula>120</formula>
    </cfRule>
    <cfRule type="containsText" dxfId="2" priority="871" operator="between" text="库存为">
      <formula>NOT(ISERROR(SEARCH("库存为",AU214)))</formula>
    </cfRule>
  </conditionalFormatting>
  <conditionalFormatting sqref="AU215">
    <cfRule type="cellIs" dxfId="0" priority="3028" operator="lessThan">
      <formula>20</formula>
    </cfRule>
    <cfRule type="cellIs" dxfId="1" priority="1949" operator="greaterThan">
      <formula>120</formula>
    </cfRule>
    <cfRule type="containsText" dxfId="2" priority="870" operator="between" text="库存为">
      <formula>NOT(ISERROR(SEARCH("库存为",AU215)))</formula>
    </cfRule>
  </conditionalFormatting>
  <conditionalFormatting sqref="AU216">
    <cfRule type="cellIs" dxfId="0" priority="3027" operator="lessThan">
      <formula>20</formula>
    </cfRule>
    <cfRule type="cellIs" dxfId="1" priority="1948" operator="greaterThan">
      <formula>120</formula>
    </cfRule>
    <cfRule type="containsText" dxfId="2" priority="869" operator="between" text="库存为">
      <formula>NOT(ISERROR(SEARCH("库存为",AU216)))</formula>
    </cfRule>
  </conditionalFormatting>
  <conditionalFormatting sqref="AU217">
    <cfRule type="cellIs" dxfId="0" priority="3026" operator="lessThan">
      <formula>20</formula>
    </cfRule>
    <cfRule type="cellIs" dxfId="1" priority="1947" operator="greaterThan">
      <formula>120</formula>
    </cfRule>
    <cfRule type="containsText" dxfId="2" priority="868" operator="between" text="库存为">
      <formula>NOT(ISERROR(SEARCH("库存为",AU217)))</formula>
    </cfRule>
  </conditionalFormatting>
  <conditionalFormatting sqref="AU218">
    <cfRule type="cellIs" dxfId="0" priority="3025" operator="lessThan">
      <formula>20</formula>
    </cfRule>
    <cfRule type="cellIs" dxfId="1" priority="1946" operator="greaterThan">
      <formula>120</formula>
    </cfRule>
    <cfRule type="containsText" dxfId="2" priority="867" operator="between" text="库存为">
      <formula>NOT(ISERROR(SEARCH("库存为",AU218)))</formula>
    </cfRule>
  </conditionalFormatting>
  <conditionalFormatting sqref="AU219">
    <cfRule type="cellIs" dxfId="0" priority="3024" operator="lessThan">
      <formula>20</formula>
    </cfRule>
    <cfRule type="cellIs" dxfId="1" priority="1945" operator="greaterThan">
      <formula>120</formula>
    </cfRule>
    <cfRule type="containsText" dxfId="2" priority="866" operator="between" text="库存为">
      <formula>NOT(ISERROR(SEARCH("库存为",AU219)))</formula>
    </cfRule>
  </conditionalFormatting>
  <conditionalFormatting sqref="AU220">
    <cfRule type="cellIs" dxfId="0" priority="3023" operator="lessThan">
      <formula>20</formula>
    </cfRule>
    <cfRule type="cellIs" dxfId="1" priority="1944" operator="greaterThan">
      <formula>120</formula>
    </cfRule>
    <cfRule type="containsText" dxfId="2" priority="865" operator="between" text="库存为">
      <formula>NOT(ISERROR(SEARCH("库存为",AU220)))</formula>
    </cfRule>
  </conditionalFormatting>
  <conditionalFormatting sqref="AU221">
    <cfRule type="cellIs" dxfId="0" priority="3022" operator="lessThan">
      <formula>20</formula>
    </cfRule>
    <cfRule type="cellIs" dxfId="1" priority="1943" operator="greaterThan">
      <formula>120</formula>
    </cfRule>
    <cfRule type="containsText" dxfId="2" priority="864" operator="between" text="库存为">
      <formula>NOT(ISERROR(SEARCH("库存为",AU221)))</formula>
    </cfRule>
  </conditionalFormatting>
  <conditionalFormatting sqref="AU222">
    <cfRule type="cellIs" dxfId="0" priority="3021" operator="lessThan">
      <formula>20</formula>
    </cfRule>
    <cfRule type="cellIs" dxfId="1" priority="1942" operator="greaterThan">
      <formula>120</formula>
    </cfRule>
    <cfRule type="containsText" dxfId="2" priority="863" operator="between" text="库存为">
      <formula>NOT(ISERROR(SEARCH("库存为",AU222)))</formula>
    </cfRule>
  </conditionalFormatting>
  <conditionalFormatting sqref="AU223">
    <cfRule type="cellIs" dxfId="0" priority="3020" operator="lessThan">
      <formula>20</formula>
    </cfRule>
    <cfRule type="cellIs" dxfId="1" priority="1941" operator="greaterThan">
      <formula>120</formula>
    </cfRule>
    <cfRule type="containsText" dxfId="2" priority="862" operator="between" text="库存为">
      <formula>NOT(ISERROR(SEARCH("库存为",AU223)))</formula>
    </cfRule>
  </conditionalFormatting>
  <conditionalFormatting sqref="AU224">
    <cfRule type="cellIs" dxfId="0" priority="3019" operator="lessThan">
      <formula>20</formula>
    </cfRule>
    <cfRule type="cellIs" dxfId="1" priority="1940" operator="greaterThan">
      <formula>120</formula>
    </cfRule>
    <cfRule type="containsText" dxfId="2" priority="861" operator="between" text="库存为">
      <formula>NOT(ISERROR(SEARCH("库存为",AU224)))</formula>
    </cfRule>
  </conditionalFormatting>
  <conditionalFormatting sqref="AU225">
    <cfRule type="cellIs" dxfId="0" priority="3018" operator="lessThan">
      <formula>20</formula>
    </cfRule>
    <cfRule type="cellIs" dxfId="1" priority="1939" operator="greaterThan">
      <formula>120</formula>
    </cfRule>
    <cfRule type="containsText" dxfId="2" priority="860" operator="between" text="库存为">
      <formula>NOT(ISERROR(SEARCH("库存为",AU225)))</formula>
    </cfRule>
  </conditionalFormatting>
  <conditionalFormatting sqref="AU226">
    <cfRule type="cellIs" dxfId="0" priority="3017" operator="lessThan">
      <formula>20</formula>
    </cfRule>
    <cfRule type="cellIs" dxfId="1" priority="1938" operator="greaterThan">
      <formula>120</formula>
    </cfRule>
    <cfRule type="containsText" dxfId="2" priority="859" operator="between" text="库存为">
      <formula>NOT(ISERROR(SEARCH("库存为",AU226)))</formula>
    </cfRule>
  </conditionalFormatting>
  <conditionalFormatting sqref="AU227">
    <cfRule type="cellIs" dxfId="0" priority="3016" operator="lessThan">
      <formula>20</formula>
    </cfRule>
    <cfRule type="cellIs" dxfId="1" priority="1937" operator="greaterThan">
      <formula>120</formula>
    </cfRule>
    <cfRule type="containsText" dxfId="2" priority="858" operator="between" text="库存为">
      <formula>NOT(ISERROR(SEARCH("库存为",AU227)))</formula>
    </cfRule>
  </conditionalFormatting>
  <conditionalFormatting sqref="AU228">
    <cfRule type="cellIs" dxfId="0" priority="3015" operator="lessThan">
      <formula>20</formula>
    </cfRule>
    <cfRule type="cellIs" dxfId="1" priority="1936" operator="greaterThan">
      <formula>120</formula>
    </cfRule>
    <cfRule type="containsText" dxfId="2" priority="857" operator="between" text="库存为">
      <formula>NOT(ISERROR(SEARCH("库存为",AU228)))</formula>
    </cfRule>
  </conditionalFormatting>
  <conditionalFormatting sqref="AU229">
    <cfRule type="cellIs" dxfId="0" priority="3014" operator="lessThan">
      <formula>20</formula>
    </cfRule>
    <cfRule type="cellIs" dxfId="1" priority="1935" operator="greaterThan">
      <formula>120</formula>
    </cfRule>
    <cfRule type="containsText" dxfId="2" priority="856" operator="between" text="库存为">
      <formula>NOT(ISERROR(SEARCH("库存为",AU229)))</formula>
    </cfRule>
  </conditionalFormatting>
  <conditionalFormatting sqref="AU230">
    <cfRule type="cellIs" dxfId="0" priority="3013" operator="lessThan">
      <formula>20</formula>
    </cfRule>
    <cfRule type="cellIs" dxfId="1" priority="1934" operator="greaterThan">
      <formula>120</formula>
    </cfRule>
    <cfRule type="containsText" dxfId="2" priority="855" operator="between" text="库存为">
      <formula>NOT(ISERROR(SEARCH("库存为",AU230)))</formula>
    </cfRule>
  </conditionalFormatting>
  <conditionalFormatting sqref="AU231">
    <cfRule type="cellIs" dxfId="0" priority="3012" operator="lessThan">
      <formula>20</formula>
    </cfRule>
    <cfRule type="cellIs" dxfId="1" priority="1933" operator="greaterThan">
      <formula>120</formula>
    </cfRule>
    <cfRule type="containsText" dxfId="2" priority="854" operator="between" text="库存为">
      <formula>NOT(ISERROR(SEARCH("库存为",AU231)))</formula>
    </cfRule>
  </conditionalFormatting>
  <conditionalFormatting sqref="AU232">
    <cfRule type="cellIs" dxfId="0" priority="3011" operator="lessThan">
      <formula>20</formula>
    </cfRule>
    <cfRule type="cellIs" dxfId="1" priority="1932" operator="greaterThan">
      <formula>120</formula>
    </cfRule>
    <cfRule type="containsText" dxfId="2" priority="853" operator="between" text="库存为">
      <formula>NOT(ISERROR(SEARCH("库存为",AU232)))</formula>
    </cfRule>
  </conditionalFormatting>
  <conditionalFormatting sqref="AU233">
    <cfRule type="cellIs" dxfId="0" priority="3010" operator="lessThan">
      <formula>20</formula>
    </cfRule>
    <cfRule type="cellIs" dxfId="1" priority="1931" operator="greaterThan">
      <formula>120</formula>
    </cfRule>
    <cfRule type="containsText" dxfId="2" priority="852" operator="between" text="库存为">
      <formula>NOT(ISERROR(SEARCH("库存为",AU233)))</formula>
    </cfRule>
  </conditionalFormatting>
  <conditionalFormatting sqref="AU234">
    <cfRule type="cellIs" dxfId="0" priority="3009" operator="lessThan">
      <formula>20</formula>
    </cfRule>
    <cfRule type="cellIs" dxfId="1" priority="1930" operator="greaterThan">
      <formula>120</formula>
    </cfRule>
    <cfRule type="containsText" dxfId="2" priority="851" operator="between" text="库存为">
      <formula>NOT(ISERROR(SEARCH("库存为",AU234)))</formula>
    </cfRule>
  </conditionalFormatting>
  <conditionalFormatting sqref="AU235">
    <cfRule type="cellIs" dxfId="0" priority="3008" operator="lessThan">
      <formula>20</formula>
    </cfRule>
    <cfRule type="cellIs" dxfId="1" priority="1929" operator="greaterThan">
      <formula>120</formula>
    </cfRule>
    <cfRule type="containsText" dxfId="2" priority="850" operator="between" text="库存为">
      <formula>NOT(ISERROR(SEARCH("库存为",AU235)))</formula>
    </cfRule>
  </conditionalFormatting>
  <conditionalFormatting sqref="AU236">
    <cfRule type="cellIs" dxfId="0" priority="3007" operator="lessThan">
      <formula>20</formula>
    </cfRule>
    <cfRule type="cellIs" dxfId="1" priority="1928" operator="greaterThan">
      <formula>120</formula>
    </cfRule>
    <cfRule type="containsText" dxfId="2" priority="849" operator="between" text="库存为">
      <formula>NOT(ISERROR(SEARCH("库存为",AU236)))</formula>
    </cfRule>
  </conditionalFormatting>
  <conditionalFormatting sqref="AU237">
    <cfRule type="cellIs" dxfId="0" priority="3006" operator="lessThan">
      <formula>20</formula>
    </cfRule>
    <cfRule type="cellIs" dxfId="1" priority="1927" operator="greaterThan">
      <formula>120</formula>
    </cfRule>
    <cfRule type="containsText" dxfId="2" priority="848" operator="between" text="库存为">
      <formula>NOT(ISERROR(SEARCH("库存为",AU237)))</formula>
    </cfRule>
  </conditionalFormatting>
  <conditionalFormatting sqref="AU238">
    <cfRule type="cellIs" dxfId="0" priority="3005" operator="lessThan">
      <formula>20</formula>
    </cfRule>
    <cfRule type="cellIs" dxfId="1" priority="1926" operator="greaterThan">
      <formula>120</formula>
    </cfRule>
    <cfRule type="containsText" dxfId="2" priority="847" operator="between" text="库存为">
      <formula>NOT(ISERROR(SEARCH("库存为",AU238)))</formula>
    </cfRule>
  </conditionalFormatting>
  <conditionalFormatting sqref="AU239">
    <cfRule type="cellIs" dxfId="0" priority="3004" operator="lessThan">
      <formula>20</formula>
    </cfRule>
    <cfRule type="cellIs" dxfId="1" priority="1925" operator="greaterThan">
      <formula>120</formula>
    </cfRule>
    <cfRule type="containsText" dxfId="2" priority="846" operator="between" text="库存为">
      <formula>NOT(ISERROR(SEARCH("库存为",AU239)))</formula>
    </cfRule>
  </conditionalFormatting>
  <conditionalFormatting sqref="AU240">
    <cfRule type="cellIs" dxfId="0" priority="3003" operator="lessThan">
      <formula>20</formula>
    </cfRule>
    <cfRule type="cellIs" dxfId="1" priority="1924" operator="greaterThan">
      <formula>120</formula>
    </cfRule>
    <cfRule type="containsText" dxfId="2" priority="845" operator="between" text="库存为">
      <formula>NOT(ISERROR(SEARCH("库存为",AU240)))</formula>
    </cfRule>
  </conditionalFormatting>
  <conditionalFormatting sqref="AU241">
    <cfRule type="cellIs" dxfId="0" priority="3002" operator="lessThan">
      <formula>20</formula>
    </cfRule>
    <cfRule type="cellIs" dxfId="1" priority="1923" operator="greaterThan">
      <formula>120</formula>
    </cfRule>
    <cfRule type="containsText" dxfId="2" priority="844" operator="between" text="库存为">
      <formula>NOT(ISERROR(SEARCH("库存为",AU241)))</formula>
    </cfRule>
  </conditionalFormatting>
  <conditionalFormatting sqref="AU242">
    <cfRule type="cellIs" dxfId="0" priority="3001" operator="lessThan">
      <formula>20</formula>
    </cfRule>
    <cfRule type="cellIs" dxfId="1" priority="1922" operator="greaterThan">
      <formula>120</formula>
    </cfRule>
    <cfRule type="containsText" dxfId="2" priority="843" operator="between" text="库存为">
      <formula>NOT(ISERROR(SEARCH("库存为",AU242)))</formula>
    </cfRule>
  </conditionalFormatting>
  <conditionalFormatting sqref="AU243">
    <cfRule type="cellIs" dxfId="0" priority="3000" operator="lessThan">
      <formula>20</formula>
    </cfRule>
    <cfRule type="cellIs" dxfId="1" priority="1921" operator="greaterThan">
      <formula>120</formula>
    </cfRule>
    <cfRule type="containsText" dxfId="2" priority="842" operator="between" text="库存为">
      <formula>NOT(ISERROR(SEARCH("库存为",AU243)))</formula>
    </cfRule>
  </conditionalFormatting>
  <conditionalFormatting sqref="AU244">
    <cfRule type="cellIs" dxfId="0" priority="2999" operator="lessThan">
      <formula>20</formula>
    </cfRule>
    <cfRule type="cellIs" dxfId="1" priority="1920" operator="greaterThan">
      <formula>120</formula>
    </cfRule>
    <cfRule type="containsText" dxfId="2" priority="841" operator="between" text="库存为">
      <formula>NOT(ISERROR(SEARCH("库存为",AU244)))</formula>
    </cfRule>
  </conditionalFormatting>
  <conditionalFormatting sqref="AU245">
    <cfRule type="cellIs" dxfId="0" priority="2998" operator="lessThan">
      <formula>20</formula>
    </cfRule>
    <cfRule type="cellIs" dxfId="1" priority="1919" operator="greaterThan">
      <formula>120</formula>
    </cfRule>
    <cfRule type="containsText" dxfId="2" priority="840" operator="between" text="库存为">
      <formula>NOT(ISERROR(SEARCH("库存为",AU245)))</formula>
    </cfRule>
  </conditionalFormatting>
  <conditionalFormatting sqref="AU246">
    <cfRule type="cellIs" dxfId="0" priority="2997" operator="lessThan">
      <formula>20</formula>
    </cfRule>
    <cfRule type="cellIs" dxfId="1" priority="1918" operator="greaterThan">
      <formula>120</formula>
    </cfRule>
    <cfRule type="containsText" dxfId="2" priority="839" operator="between" text="库存为">
      <formula>NOT(ISERROR(SEARCH("库存为",AU246)))</formula>
    </cfRule>
  </conditionalFormatting>
  <conditionalFormatting sqref="AU247">
    <cfRule type="cellIs" dxfId="0" priority="2996" operator="lessThan">
      <formula>20</formula>
    </cfRule>
    <cfRule type="cellIs" dxfId="1" priority="1917" operator="greaterThan">
      <formula>120</formula>
    </cfRule>
    <cfRule type="containsText" dxfId="2" priority="838" operator="between" text="库存为">
      <formula>NOT(ISERROR(SEARCH("库存为",AU247)))</formula>
    </cfRule>
  </conditionalFormatting>
  <conditionalFormatting sqref="AU248">
    <cfRule type="cellIs" dxfId="0" priority="2995" operator="lessThan">
      <formula>20</formula>
    </cfRule>
    <cfRule type="cellIs" dxfId="1" priority="1916" operator="greaterThan">
      <formula>120</formula>
    </cfRule>
    <cfRule type="containsText" dxfId="2" priority="837" operator="between" text="库存为">
      <formula>NOT(ISERROR(SEARCH("库存为",AU248)))</formula>
    </cfRule>
  </conditionalFormatting>
  <conditionalFormatting sqref="AU249">
    <cfRule type="cellIs" dxfId="0" priority="2994" operator="lessThan">
      <formula>20</formula>
    </cfRule>
    <cfRule type="cellIs" dxfId="1" priority="1915" operator="greaterThan">
      <formula>120</formula>
    </cfRule>
    <cfRule type="containsText" dxfId="2" priority="836" operator="between" text="库存为">
      <formula>NOT(ISERROR(SEARCH("库存为",AU249)))</formula>
    </cfRule>
  </conditionalFormatting>
  <conditionalFormatting sqref="AU250">
    <cfRule type="cellIs" dxfId="0" priority="2993" operator="lessThan">
      <formula>20</formula>
    </cfRule>
    <cfRule type="cellIs" dxfId="1" priority="1914" operator="greaterThan">
      <formula>120</formula>
    </cfRule>
    <cfRule type="containsText" dxfId="2" priority="835" operator="between" text="库存为">
      <formula>NOT(ISERROR(SEARCH("库存为",AU250)))</formula>
    </cfRule>
  </conditionalFormatting>
  <conditionalFormatting sqref="AU251">
    <cfRule type="cellIs" dxfId="0" priority="2992" operator="lessThan">
      <formula>20</formula>
    </cfRule>
    <cfRule type="cellIs" dxfId="1" priority="1913" operator="greaterThan">
      <formula>120</formula>
    </cfRule>
    <cfRule type="containsText" dxfId="2" priority="834" operator="between" text="库存为">
      <formula>NOT(ISERROR(SEARCH("库存为",AU251)))</formula>
    </cfRule>
  </conditionalFormatting>
  <conditionalFormatting sqref="AU252">
    <cfRule type="cellIs" dxfId="0" priority="2991" operator="lessThan">
      <formula>20</formula>
    </cfRule>
    <cfRule type="cellIs" dxfId="1" priority="1912" operator="greaterThan">
      <formula>120</formula>
    </cfRule>
    <cfRule type="containsText" dxfId="2" priority="833" operator="between" text="库存为">
      <formula>NOT(ISERROR(SEARCH("库存为",AU252)))</formula>
    </cfRule>
  </conditionalFormatting>
  <conditionalFormatting sqref="AU253">
    <cfRule type="cellIs" dxfId="0" priority="2990" operator="lessThan">
      <formula>20</formula>
    </cfRule>
    <cfRule type="cellIs" dxfId="1" priority="1911" operator="greaterThan">
      <formula>120</formula>
    </cfRule>
    <cfRule type="containsText" dxfId="2" priority="832" operator="between" text="库存为">
      <formula>NOT(ISERROR(SEARCH("库存为",AU253)))</formula>
    </cfRule>
  </conditionalFormatting>
  <conditionalFormatting sqref="AU254">
    <cfRule type="cellIs" dxfId="0" priority="2989" operator="lessThan">
      <formula>20</formula>
    </cfRule>
    <cfRule type="cellIs" dxfId="1" priority="1910" operator="greaterThan">
      <formula>120</formula>
    </cfRule>
    <cfRule type="containsText" dxfId="2" priority="831" operator="between" text="库存为">
      <formula>NOT(ISERROR(SEARCH("库存为",AU254)))</formula>
    </cfRule>
  </conditionalFormatting>
  <conditionalFormatting sqref="AU255">
    <cfRule type="cellIs" dxfId="0" priority="2988" operator="lessThan">
      <formula>20</formula>
    </cfRule>
    <cfRule type="cellIs" dxfId="1" priority="1909" operator="greaterThan">
      <formula>120</formula>
    </cfRule>
    <cfRule type="containsText" dxfId="2" priority="830" operator="between" text="库存为">
      <formula>NOT(ISERROR(SEARCH("库存为",AU255)))</formula>
    </cfRule>
  </conditionalFormatting>
  <conditionalFormatting sqref="AU256">
    <cfRule type="cellIs" dxfId="0" priority="2987" operator="lessThan">
      <formula>20</formula>
    </cfRule>
    <cfRule type="cellIs" dxfId="1" priority="1908" operator="greaterThan">
      <formula>120</formula>
    </cfRule>
    <cfRule type="containsText" dxfId="2" priority="829" operator="between" text="库存为">
      <formula>NOT(ISERROR(SEARCH("库存为",AU256)))</formula>
    </cfRule>
  </conditionalFormatting>
  <conditionalFormatting sqref="AU257">
    <cfRule type="cellIs" dxfId="0" priority="2986" operator="lessThan">
      <formula>20</formula>
    </cfRule>
    <cfRule type="cellIs" dxfId="1" priority="1907" operator="greaterThan">
      <formula>120</formula>
    </cfRule>
    <cfRule type="containsText" dxfId="2" priority="828" operator="between" text="库存为">
      <formula>NOT(ISERROR(SEARCH("库存为",AU257)))</formula>
    </cfRule>
  </conditionalFormatting>
  <conditionalFormatting sqref="AU258">
    <cfRule type="cellIs" dxfId="0" priority="2985" operator="lessThan">
      <formula>20</formula>
    </cfRule>
    <cfRule type="cellIs" dxfId="1" priority="1906" operator="greaterThan">
      <formula>120</formula>
    </cfRule>
    <cfRule type="containsText" dxfId="2" priority="827" operator="between" text="库存为">
      <formula>NOT(ISERROR(SEARCH("库存为",AU258)))</formula>
    </cfRule>
  </conditionalFormatting>
  <conditionalFormatting sqref="AU259">
    <cfRule type="cellIs" dxfId="0" priority="2984" operator="lessThan">
      <formula>20</formula>
    </cfRule>
    <cfRule type="cellIs" dxfId="1" priority="1905" operator="greaterThan">
      <formula>120</formula>
    </cfRule>
    <cfRule type="containsText" dxfId="2" priority="826" operator="between" text="库存为">
      <formula>NOT(ISERROR(SEARCH("库存为",AU259)))</formula>
    </cfRule>
  </conditionalFormatting>
  <conditionalFormatting sqref="AU260">
    <cfRule type="cellIs" dxfId="0" priority="2983" operator="lessThan">
      <formula>20</formula>
    </cfRule>
    <cfRule type="cellIs" dxfId="1" priority="1904" operator="greaterThan">
      <formula>120</formula>
    </cfRule>
    <cfRule type="containsText" dxfId="2" priority="825" operator="between" text="库存为">
      <formula>NOT(ISERROR(SEARCH("库存为",AU260)))</formula>
    </cfRule>
  </conditionalFormatting>
  <conditionalFormatting sqref="AU261">
    <cfRule type="cellIs" dxfId="0" priority="2982" operator="lessThan">
      <formula>20</formula>
    </cfRule>
    <cfRule type="cellIs" dxfId="1" priority="1903" operator="greaterThan">
      <formula>120</formula>
    </cfRule>
    <cfRule type="containsText" dxfId="2" priority="824" operator="between" text="库存为">
      <formula>NOT(ISERROR(SEARCH("库存为",AU261)))</formula>
    </cfRule>
  </conditionalFormatting>
  <conditionalFormatting sqref="AU262">
    <cfRule type="cellIs" dxfId="0" priority="2981" operator="lessThan">
      <formula>20</formula>
    </cfRule>
    <cfRule type="cellIs" dxfId="1" priority="1902" operator="greaterThan">
      <formula>120</formula>
    </cfRule>
    <cfRule type="containsText" dxfId="2" priority="823" operator="between" text="库存为">
      <formula>NOT(ISERROR(SEARCH("库存为",AU262)))</formula>
    </cfRule>
  </conditionalFormatting>
  <conditionalFormatting sqref="AU263">
    <cfRule type="cellIs" dxfId="0" priority="2980" operator="lessThan">
      <formula>20</formula>
    </cfRule>
    <cfRule type="cellIs" dxfId="1" priority="1901" operator="greaterThan">
      <formula>120</formula>
    </cfRule>
    <cfRule type="containsText" dxfId="2" priority="822" operator="between" text="库存为">
      <formula>NOT(ISERROR(SEARCH("库存为",AU263)))</formula>
    </cfRule>
  </conditionalFormatting>
  <conditionalFormatting sqref="AU264">
    <cfRule type="cellIs" dxfId="0" priority="2979" operator="lessThan">
      <formula>20</formula>
    </cfRule>
    <cfRule type="cellIs" dxfId="1" priority="1900" operator="greaterThan">
      <formula>120</formula>
    </cfRule>
    <cfRule type="containsText" dxfId="2" priority="821" operator="between" text="库存为">
      <formula>NOT(ISERROR(SEARCH("库存为",AU264)))</formula>
    </cfRule>
  </conditionalFormatting>
  <conditionalFormatting sqref="AU265">
    <cfRule type="cellIs" dxfId="0" priority="2978" operator="lessThan">
      <formula>20</formula>
    </cfRule>
    <cfRule type="cellIs" dxfId="1" priority="1899" operator="greaterThan">
      <formula>120</formula>
    </cfRule>
    <cfRule type="containsText" dxfId="2" priority="820" operator="between" text="库存为">
      <formula>NOT(ISERROR(SEARCH("库存为",AU265)))</formula>
    </cfRule>
  </conditionalFormatting>
  <conditionalFormatting sqref="AU266">
    <cfRule type="cellIs" dxfId="0" priority="2977" operator="lessThan">
      <formula>20</formula>
    </cfRule>
    <cfRule type="cellIs" dxfId="1" priority="1898" operator="greaterThan">
      <formula>120</formula>
    </cfRule>
    <cfRule type="containsText" dxfId="2" priority="819" operator="between" text="库存为">
      <formula>NOT(ISERROR(SEARCH("库存为",AU266)))</formula>
    </cfRule>
  </conditionalFormatting>
  <conditionalFormatting sqref="AU267">
    <cfRule type="cellIs" dxfId="0" priority="2976" operator="lessThan">
      <formula>20</formula>
    </cfRule>
    <cfRule type="cellIs" dxfId="1" priority="1897" operator="greaterThan">
      <formula>120</formula>
    </cfRule>
    <cfRule type="containsText" dxfId="2" priority="818" operator="between" text="库存为">
      <formula>NOT(ISERROR(SEARCH("库存为",AU267)))</formula>
    </cfRule>
  </conditionalFormatting>
  <conditionalFormatting sqref="AU268">
    <cfRule type="cellIs" dxfId="0" priority="2975" operator="lessThan">
      <formula>20</formula>
    </cfRule>
    <cfRule type="cellIs" dxfId="1" priority="1896" operator="greaterThan">
      <formula>120</formula>
    </cfRule>
    <cfRule type="containsText" dxfId="2" priority="817" operator="between" text="库存为">
      <formula>NOT(ISERROR(SEARCH("库存为",AU268)))</formula>
    </cfRule>
  </conditionalFormatting>
  <conditionalFormatting sqref="AU269">
    <cfRule type="cellIs" dxfId="0" priority="2974" operator="lessThan">
      <formula>20</formula>
    </cfRule>
    <cfRule type="cellIs" dxfId="1" priority="1895" operator="greaterThan">
      <formula>120</formula>
    </cfRule>
    <cfRule type="containsText" dxfId="2" priority="816" operator="between" text="库存为">
      <formula>NOT(ISERROR(SEARCH("库存为",AU269)))</formula>
    </cfRule>
  </conditionalFormatting>
  <conditionalFormatting sqref="AU270">
    <cfRule type="cellIs" dxfId="0" priority="2973" operator="lessThan">
      <formula>20</formula>
    </cfRule>
    <cfRule type="cellIs" dxfId="1" priority="1894" operator="greaterThan">
      <formula>120</formula>
    </cfRule>
    <cfRule type="containsText" dxfId="2" priority="815" operator="between" text="库存为">
      <formula>NOT(ISERROR(SEARCH("库存为",AU270)))</formula>
    </cfRule>
  </conditionalFormatting>
  <conditionalFormatting sqref="AU271">
    <cfRule type="cellIs" dxfId="0" priority="2972" operator="lessThan">
      <formula>20</formula>
    </cfRule>
    <cfRule type="cellIs" dxfId="1" priority="1893" operator="greaterThan">
      <formula>120</formula>
    </cfRule>
    <cfRule type="containsText" dxfId="2" priority="814" operator="between" text="库存为">
      <formula>NOT(ISERROR(SEARCH("库存为",AU271)))</formula>
    </cfRule>
  </conditionalFormatting>
  <conditionalFormatting sqref="AU272">
    <cfRule type="cellIs" dxfId="0" priority="2971" operator="lessThan">
      <formula>20</formula>
    </cfRule>
    <cfRule type="cellIs" dxfId="1" priority="1892" operator="greaterThan">
      <formula>120</formula>
    </cfRule>
    <cfRule type="containsText" dxfId="2" priority="813" operator="between" text="库存为">
      <formula>NOT(ISERROR(SEARCH("库存为",AU272)))</formula>
    </cfRule>
  </conditionalFormatting>
  <conditionalFormatting sqref="AU273">
    <cfRule type="cellIs" dxfId="0" priority="2970" operator="lessThan">
      <formula>20</formula>
    </cfRule>
    <cfRule type="cellIs" dxfId="1" priority="1891" operator="greaterThan">
      <formula>120</formula>
    </cfRule>
    <cfRule type="containsText" dxfId="2" priority="812" operator="between" text="库存为">
      <formula>NOT(ISERROR(SEARCH("库存为",AU273)))</formula>
    </cfRule>
  </conditionalFormatting>
  <conditionalFormatting sqref="AU274">
    <cfRule type="cellIs" dxfId="0" priority="2969" operator="lessThan">
      <formula>20</formula>
    </cfRule>
    <cfRule type="cellIs" dxfId="1" priority="1890" operator="greaterThan">
      <formula>120</formula>
    </cfRule>
    <cfRule type="containsText" dxfId="2" priority="811" operator="between" text="库存为">
      <formula>NOT(ISERROR(SEARCH("库存为",AU274)))</formula>
    </cfRule>
  </conditionalFormatting>
  <conditionalFormatting sqref="AU275">
    <cfRule type="cellIs" dxfId="0" priority="2968" operator="lessThan">
      <formula>20</formula>
    </cfRule>
    <cfRule type="cellIs" dxfId="1" priority="1889" operator="greaterThan">
      <formula>120</formula>
    </cfRule>
    <cfRule type="containsText" dxfId="2" priority="810" operator="between" text="库存为">
      <formula>NOT(ISERROR(SEARCH("库存为",AU275)))</formula>
    </cfRule>
  </conditionalFormatting>
  <conditionalFormatting sqref="AU276">
    <cfRule type="cellIs" dxfId="0" priority="2967" operator="lessThan">
      <formula>20</formula>
    </cfRule>
    <cfRule type="cellIs" dxfId="1" priority="1888" operator="greaterThan">
      <formula>120</formula>
    </cfRule>
    <cfRule type="containsText" dxfId="2" priority="809" operator="between" text="库存为">
      <formula>NOT(ISERROR(SEARCH("库存为",AU276)))</formula>
    </cfRule>
  </conditionalFormatting>
  <conditionalFormatting sqref="AU277">
    <cfRule type="cellIs" dxfId="0" priority="2966" operator="lessThan">
      <formula>20</formula>
    </cfRule>
    <cfRule type="cellIs" dxfId="1" priority="1887" operator="greaterThan">
      <formula>120</formula>
    </cfRule>
    <cfRule type="containsText" dxfId="2" priority="808" operator="between" text="库存为">
      <formula>NOT(ISERROR(SEARCH("库存为",AU277)))</formula>
    </cfRule>
  </conditionalFormatting>
  <conditionalFormatting sqref="AU278">
    <cfRule type="cellIs" dxfId="0" priority="2965" operator="lessThan">
      <formula>20</formula>
    </cfRule>
    <cfRule type="cellIs" dxfId="1" priority="1886" operator="greaterThan">
      <formula>120</formula>
    </cfRule>
    <cfRule type="containsText" dxfId="2" priority="807" operator="between" text="库存为">
      <formula>NOT(ISERROR(SEARCH("库存为",AU278)))</formula>
    </cfRule>
  </conditionalFormatting>
  <conditionalFormatting sqref="AU279">
    <cfRule type="cellIs" dxfId="0" priority="2964" operator="lessThan">
      <formula>20</formula>
    </cfRule>
    <cfRule type="cellIs" dxfId="1" priority="1885" operator="greaterThan">
      <formula>120</formula>
    </cfRule>
    <cfRule type="containsText" dxfId="2" priority="806" operator="between" text="库存为">
      <formula>NOT(ISERROR(SEARCH("库存为",AU279)))</formula>
    </cfRule>
  </conditionalFormatting>
  <conditionalFormatting sqref="AU280">
    <cfRule type="cellIs" dxfId="0" priority="2963" operator="lessThan">
      <formula>20</formula>
    </cfRule>
    <cfRule type="cellIs" dxfId="1" priority="1884" operator="greaterThan">
      <formula>120</formula>
    </cfRule>
    <cfRule type="containsText" dxfId="2" priority="805" operator="between" text="库存为">
      <formula>NOT(ISERROR(SEARCH("库存为",AU280)))</formula>
    </cfRule>
  </conditionalFormatting>
  <conditionalFormatting sqref="AU281">
    <cfRule type="cellIs" dxfId="0" priority="2962" operator="lessThan">
      <formula>20</formula>
    </cfRule>
    <cfRule type="cellIs" dxfId="1" priority="1883" operator="greaterThan">
      <formula>120</formula>
    </cfRule>
    <cfRule type="containsText" dxfId="2" priority="804" operator="between" text="库存为">
      <formula>NOT(ISERROR(SEARCH("库存为",AU281)))</formula>
    </cfRule>
  </conditionalFormatting>
  <conditionalFormatting sqref="AU282">
    <cfRule type="cellIs" dxfId="0" priority="2961" operator="lessThan">
      <formula>20</formula>
    </cfRule>
    <cfRule type="cellIs" dxfId="1" priority="1882" operator="greaterThan">
      <formula>120</formula>
    </cfRule>
    <cfRule type="containsText" dxfId="2" priority="803" operator="between" text="库存为">
      <formula>NOT(ISERROR(SEARCH("库存为",AU282)))</formula>
    </cfRule>
  </conditionalFormatting>
  <conditionalFormatting sqref="AU283">
    <cfRule type="cellIs" dxfId="0" priority="2960" operator="lessThan">
      <formula>20</formula>
    </cfRule>
    <cfRule type="cellIs" dxfId="1" priority="1881" operator="greaterThan">
      <formula>120</formula>
    </cfRule>
    <cfRule type="containsText" dxfId="2" priority="802" operator="between" text="库存为">
      <formula>NOT(ISERROR(SEARCH("库存为",AU283)))</formula>
    </cfRule>
  </conditionalFormatting>
  <conditionalFormatting sqref="AU284">
    <cfRule type="cellIs" dxfId="0" priority="2959" operator="lessThan">
      <formula>20</formula>
    </cfRule>
    <cfRule type="cellIs" dxfId="1" priority="1880" operator="greaterThan">
      <formula>120</formula>
    </cfRule>
    <cfRule type="containsText" dxfId="2" priority="801" operator="between" text="库存为">
      <formula>NOT(ISERROR(SEARCH("库存为",AU284)))</formula>
    </cfRule>
  </conditionalFormatting>
  <conditionalFormatting sqref="AU285">
    <cfRule type="cellIs" dxfId="0" priority="2958" operator="lessThan">
      <formula>20</formula>
    </cfRule>
    <cfRule type="cellIs" dxfId="1" priority="1879" operator="greaterThan">
      <formula>120</formula>
    </cfRule>
    <cfRule type="containsText" dxfId="2" priority="800" operator="between" text="库存为">
      <formula>NOT(ISERROR(SEARCH("库存为",AU285)))</formula>
    </cfRule>
  </conditionalFormatting>
  <conditionalFormatting sqref="AU286">
    <cfRule type="cellIs" dxfId="0" priority="2957" operator="lessThan">
      <formula>20</formula>
    </cfRule>
    <cfRule type="cellIs" dxfId="1" priority="1878" operator="greaterThan">
      <formula>120</formula>
    </cfRule>
    <cfRule type="containsText" dxfId="2" priority="799" operator="between" text="库存为">
      <formula>NOT(ISERROR(SEARCH("库存为",AU286)))</formula>
    </cfRule>
  </conditionalFormatting>
  <conditionalFormatting sqref="AU287">
    <cfRule type="cellIs" dxfId="0" priority="2956" operator="lessThan">
      <formula>20</formula>
    </cfRule>
    <cfRule type="cellIs" dxfId="1" priority="1877" operator="greaterThan">
      <formula>120</formula>
    </cfRule>
    <cfRule type="containsText" dxfId="2" priority="798" operator="between" text="库存为">
      <formula>NOT(ISERROR(SEARCH("库存为",AU287)))</formula>
    </cfRule>
  </conditionalFormatting>
  <conditionalFormatting sqref="AU288">
    <cfRule type="cellIs" dxfId="0" priority="2955" operator="lessThan">
      <formula>20</formula>
    </cfRule>
    <cfRule type="cellIs" dxfId="1" priority="1876" operator="greaterThan">
      <formula>120</formula>
    </cfRule>
    <cfRule type="containsText" dxfId="2" priority="797" operator="between" text="库存为">
      <formula>NOT(ISERROR(SEARCH("库存为",AU288)))</formula>
    </cfRule>
  </conditionalFormatting>
  <conditionalFormatting sqref="AU289">
    <cfRule type="cellIs" dxfId="0" priority="2954" operator="lessThan">
      <formula>20</formula>
    </cfRule>
    <cfRule type="cellIs" dxfId="1" priority="1875" operator="greaterThan">
      <formula>120</formula>
    </cfRule>
    <cfRule type="containsText" dxfId="2" priority="796" operator="between" text="库存为">
      <formula>NOT(ISERROR(SEARCH("库存为",AU289)))</formula>
    </cfRule>
  </conditionalFormatting>
  <conditionalFormatting sqref="AU290">
    <cfRule type="cellIs" dxfId="0" priority="2953" operator="lessThan">
      <formula>20</formula>
    </cfRule>
    <cfRule type="cellIs" dxfId="1" priority="1874" operator="greaterThan">
      <formula>120</formula>
    </cfRule>
    <cfRule type="containsText" dxfId="2" priority="795" operator="between" text="库存为">
      <formula>NOT(ISERROR(SEARCH("库存为",AU290)))</formula>
    </cfRule>
  </conditionalFormatting>
  <conditionalFormatting sqref="AU291">
    <cfRule type="cellIs" dxfId="0" priority="2952" operator="lessThan">
      <formula>20</formula>
    </cfRule>
    <cfRule type="cellIs" dxfId="1" priority="1873" operator="greaterThan">
      <formula>120</formula>
    </cfRule>
    <cfRule type="containsText" dxfId="2" priority="794" operator="between" text="库存为">
      <formula>NOT(ISERROR(SEARCH("库存为",AU291)))</formula>
    </cfRule>
  </conditionalFormatting>
  <conditionalFormatting sqref="AU292">
    <cfRule type="cellIs" dxfId="0" priority="2951" operator="lessThan">
      <formula>20</formula>
    </cfRule>
    <cfRule type="cellIs" dxfId="1" priority="1872" operator="greaterThan">
      <formula>120</formula>
    </cfRule>
    <cfRule type="containsText" dxfId="2" priority="793" operator="between" text="库存为">
      <formula>NOT(ISERROR(SEARCH("库存为",AU292)))</formula>
    </cfRule>
  </conditionalFormatting>
  <conditionalFormatting sqref="AU293">
    <cfRule type="cellIs" dxfId="0" priority="2950" operator="lessThan">
      <formula>20</formula>
    </cfRule>
    <cfRule type="cellIs" dxfId="1" priority="1871" operator="greaterThan">
      <formula>120</formula>
    </cfRule>
    <cfRule type="containsText" dxfId="2" priority="792" operator="between" text="库存为">
      <formula>NOT(ISERROR(SEARCH("库存为",AU293)))</formula>
    </cfRule>
  </conditionalFormatting>
  <conditionalFormatting sqref="AU294">
    <cfRule type="cellIs" dxfId="0" priority="2949" operator="lessThan">
      <formula>20</formula>
    </cfRule>
    <cfRule type="cellIs" dxfId="1" priority="1870" operator="greaterThan">
      <formula>120</formula>
    </cfRule>
    <cfRule type="containsText" dxfId="2" priority="791" operator="between" text="库存为">
      <formula>NOT(ISERROR(SEARCH("库存为",AU294)))</formula>
    </cfRule>
  </conditionalFormatting>
  <conditionalFormatting sqref="AU295">
    <cfRule type="cellIs" dxfId="0" priority="2948" operator="lessThan">
      <formula>20</formula>
    </cfRule>
    <cfRule type="cellIs" dxfId="1" priority="1869" operator="greaterThan">
      <formula>120</formula>
    </cfRule>
    <cfRule type="containsText" dxfId="2" priority="790" operator="between" text="库存为">
      <formula>NOT(ISERROR(SEARCH("库存为",AU295)))</formula>
    </cfRule>
  </conditionalFormatting>
  <conditionalFormatting sqref="AU296">
    <cfRule type="cellIs" dxfId="0" priority="2947" operator="lessThan">
      <formula>20</formula>
    </cfRule>
    <cfRule type="cellIs" dxfId="1" priority="1868" operator="greaterThan">
      <formula>120</formula>
    </cfRule>
    <cfRule type="containsText" dxfId="2" priority="789" operator="between" text="库存为">
      <formula>NOT(ISERROR(SEARCH("库存为",AU296)))</formula>
    </cfRule>
  </conditionalFormatting>
  <conditionalFormatting sqref="AU297">
    <cfRule type="cellIs" dxfId="0" priority="2946" operator="lessThan">
      <formula>20</formula>
    </cfRule>
    <cfRule type="cellIs" dxfId="1" priority="1867" operator="greaterThan">
      <formula>120</formula>
    </cfRule>
    <cfRule type="containsText" dxfId="2" priority="788" operator="between" text="库存为">
      <formula>NOT(ISERROR(SEARCH("库存为",AU297)))</formula>
    </cfRule>
  </conditionalFormatting>
  <conditionalFormatting sqref="AU298">
    <cfRule type="cellIs" dxfId="0" priority="2945" operator="lessThan">
      <formula>20</formula>
    </cfRule>
    <cfRule type="cellIs" dxfId="1" priority="1866" operator="greaterThan">
      <formula>120</formula>
    </cfRule>
    <cfRule type="containsText" dxfId="2" priority="787" operator="between" text="库存为">
      <formula>NOT(ISERROR(SEARCH("库存为",AU298)))</formula>
    </cfRule>
  </conditionalFormatting>
  <conditionalFormatting sqref="AU299">
    <cfRule type="cellIs" dxfId="0" priority="2944" operator="lessThan">
      <formula>20</formula>
    </cfRule>
    <cfRule type="cellIs" dxfId="1" priority="1865" operator="greaterThan">
      <formula>120</formula>
    </cfRule>
    <cfRule type="containsText" dxfId="2" priority="786" operator="between" text="库存为">
      <formula>NOT(ISERROR(SEARCH("库存为",AU299)))</formula>
    </cfRule>
  </conditionalFormatting>
  <conditionalFormatting sqref="AU300">
    <cfRule type="cellIs" dxfId="0" priority="2943" operator="lessThan">
      <formula>20</formula>
    </cfRule>
    <cfRule type="cellIs" dxfId="1" priority="1864" operator="greaterThan">
      <formula>120</formula>
    </cfRule>
    <cfRule type="containsText" dxfId="2" priority="785" operator="between" text="库存为">
      <formula>NOT(ISERROR(SEARCH("库存为",AU300)))</formula>
    </cfRule>
  </conditionalFormatting>
  <conditionalFormatting sqref="AU301">
    <cfRule type="cellIs" dxfId="0" priority="2942" operator="lessThan">
      <formula>20</formula>
    </cfRule>
    <cfRule type="cellIs" dxfId="1" priority="1863" operator="greaterThan">
      <formula>120</formula>
    </cfRule>
    <cfRule type="containsText" dxfId="2" priority="784" operator="between" text="库存为">
      <formula>NOT(ISERROR(SEARCH("库存为",AU301)))</formula>
    </cfRule>
  </conditionalFormatting>
  <conditionalFormatting sqref="AU302">
    <cfRule type="cellIs" dxfId="0" priority="2941" operator="lessThan">
      <formula>20</formula>
    </cfRule>
    <cfRule type="cellIs" dxfId="1" priority="1862" operator="greaterThan">
      <formula>120</formula>
    </cfRule>
    <cfRule type="containsText" dxfId="2" priority="783" operator="between" text="库存为">
      <formula>NOT(ISERROR(SEARCH("库存为",AU302)))</formula>
    </cfRule>
  </conditionalFormatting>
  <conditionalFormatting sqref="AU303">
    <cfRule type="cellIs" dxfId="0" priority="2940" operator="lessThan">
      <formula>20</formula>
    </cfRule>
    <cfRule type="cellIs" dxfId="1" priority="1861" operator="greaterThan">
      <formula>120</formula>
    </cfRule>
    <cfRule type="containsText" dxfId="2" priority="782" operator="between" text="库存为">
      <formula>NOT(ISERROR(SEARCH("库存为",AU303)))</formula>
    </cfRule>
  </conditionalFormatting>
  <conditionalFormatting sqref="AU304">
    <cfRule type="cellIs" dxfId="0" priority="2939" operator="lessThan">
      <formula>20</formula>
    </cfRule>
    <cfRule type="cellIs" dxfId="1" priority="1860" operator="greaterThan">
      <formula>120</formula>
    </cfRule>
    <cfRule type="containsText" dxfId="2" priority="781" operator="between" text="库存为">
      <formula>NOT(ISERROR(SEARCH("库存为",AU304)))</formula>
    </cfRule>
  </conditionalFormatting>
  <conditionalFormatting sqref="AU305">
    <cfRule type="cellIs" dxfId="0" priority="2938" operator="lessThan">
      <formula>20</formula>
    </cfRule>
    <cfRule type="cellIs" dxfId="1" priority="1859" operator="greaterThan">
      <formula>120</formula>
    </cfRule>
    <cfRule type="containsText" dxfId="2" priority="780" operator="between" text="库存为">
      <formula>NOT(ISERROR(SEARCH("库存为",AU305)))</formula>
    </cfRule>
  </conditionalFormatting>
  <conditionalFormatting sqref="AU306">
    <cfRule type="cellIs" dxfId="0" priority="2937" operator="lessThan">
      <formula>20</formula>
    </cfRule>
    <cfRule type="cellIs" dxfId="1" priority="1858" operator="greaterThan">
      <formula>120</formula>
    </cfRule>
    <cfRule type="containsText" dxfId="2" priority="779" operator="between" text="库存为">
      <formula>NOT(ISERROR(SEARCH("库存为",AU306)))</formula>
    </cfRule>
  </conditionalFormatting>
  <conditionalFormatting sqref="AU307">
    <cfRule type="cellIs" dxfId="0" priority="2936" operator="lessThan">
      <formula>20</formula>
    </cfRule>
    <cfRule type="cellIs" dxfId="1" priority="1857" operator="greaterThan">
      <formula>120</formula>
    </cfRule>
    <cfRule type="containsText" dxfId="2" priority="778" operator="between" text="库存为">
      <formula>NOT(ISERROR(SEARCH("库存为",AU307)))</formula>
    </cfRule>
  </conditionalFormatting>
  <conditionalFormatting sqref="AU308">
    <cfRule type="cellIs" dxfId="0" priority="2935" operator="lessThan">
      <formula>20</formula>
    </cfRule>
    <cfRule type="cellIs" dxfId="1" priority="1856" operator="greaterThan">
      <formula>120</formula>
    </cfRule>
    <cfRule type="containsText" dxfId="2" priority="777" operator="between" text="库存为">
      <formula>NOT(ISERROR(SEARCH("库存为",AU308)))</formula>
    </cfRule>
  </conditionalFormatting>
  <conditionalFormatting sqref="AU309">
    <cfRule type="cellIs" dxfId="0" priority="2934" operator="lessThan">
      <formula>20</formula>
    </cfRule>
    <cfRule type="cellIs" dxfId="1" priority="1855" operator="greaterThan">
      <formula>120</formula>
    </cfRule>
    <cfRule type="containsText" dxfId="2" priority="776" operator="between" text="库存为">
      <formula>NOT(ISERROR(SEARCH("库存为",AU309)))</formula>
    </cfRule>
  </conditionalFormatting>
  <conditionalFormatting sqref="AU310">
    <cfRule type="cellIs" dxfId="0" priority="2933" operator="lessThan">
      <formula>20</formula>
    </cfRule>
    <cfRule type="cellIs" dxfId="1" priority="1854" operator="greaterThan">
      <formula>120</formula>
    </cfRule>
    <cfRule type="containsText" dxfId="2" priority="775" operator="between" text="库存为">
      <formula>NOT(ISERROR(SEARCH("库存为",AU310)))</formula>
    </cfRule>
  </conditionalFormatting>
  <conditionalFormatting sqref="AU311">
    <cfRule type="cellIs" dxfId="0" priority="2932" operator="lessThan">
      <formula>20</formula>
    </cfRule>
    <cfRule type="cellIs" dxfId="1" priority="1853" operator="greaterThan">
      <formula>120</formula>
    </cfRule>
    <cfRule type="containsText" dxfId="2" priority="774" operator="between" text="库存为">
      <formula>NOT(ISERROR(SEARCH("库存为",AU311)))</formula>
    </cfRule>
  </conditionalFormatting>
  <conditionalFormatting sqref="AU312">
    <cfRule type="cellIs" dxfId="0" priority="2931" operator="lessThan">
      <formula>20</formula>
    </cfRule>
    <cfRule type="cellIs" dxfId="1" priority="1852" operator="greaterThan">
      <formula>120</formula>
    </cfRule>
    <cfRule type="containsText" dxfId="2" priority="773" operator="between" text="库存为">
      <formula>NOT(ISERROR(SEARCH("库存为",AU312)))</formula>
    </cfRule>
  </conditionalFormatting>
  <conditionalFormatting sqref="AU313">
    <cfRule type="cellIs" dxfId="0" priority="2930" operator="lessThan">
      <formula>20</formula>
    </cfRule>
    <cfRule type="cellIs" dxfId="1" priority="1851" operator="greaterThan">
      <formula>120</formula>
    </cfRule>
    <cfRule type="containsText" dxfId="2" priority="772" operator="between" text="库存为">
      <formula>NOT(ISERROR(SEARCH("库存为",AU313)))</formula>
    </cfRule>
  </conditionalFormatting>
  <conditionalFormatting sqref="AU314">
    <cfRule type="cellIs" dxfId="0" priority="2929" operator="lessThan">
      <formula>20</formula>
    </cfRule>
    <cfRule type="cellIs" dxfId="1" priority="1850" operator="greaterThan">
      <formula>120</formula>
    </cfRule>
    <cfRule type="containsText" dxfId="2" priority="771" operator="between" text="库存为">
      <formula>NOT(ISERROR(SEARCH("库存为",AU314)))</formula>
    </cfRule>
  </conditionalFormatting>
  <conditionalFormatting sqref="AU315">
    <cfRule type="cellIs" dxfId="0" priority="2928" operator="lessThan">
      <formula>20</formula>
    </cfRule>
    <cfRule type="cellIs" dxfId="1" priority="1849" operator="greaterThan">
      <formula>120</formula>
    </cfRule>
    <cfRule type="containsText" dxfId="2" priority="770" operator="between" text="库存为">
      <formula>NOT(ISERROR(SEARCH("库存为",AU315)))</formula>
    </cfRule>
  </conditionalFormatting>
  <conditionalFormatting sqref="AU316">
    <cfRule type="cellIs" dxfId="0" priority="2927" operator="lessThan">
      <formula>20</formula>
    </cfRule>
    <cfRule type="cellIs" dxfId="1" priority="1848" operator="greaterThan">
      <formula>120</formula>
    </cfRule>
    <cfRule type="containsText" dxfId="2" priority="769" operator="between" text="库存为">
      <formula>NOT(ISERROR(SEARCH("库存为",AU316)))</formula>
    </cfRule>
  </conditionalFormatting>
  <conditionalFormatting sqref="AU317">
    <cfRule type="cellIs" dxfId="0" priority="2926" operator="lessThan">
      <formula>20</formula>
    </cfRule>
    <cfRule type="cellIs" dxfId="1" priority="1847" operator="greaterThan">
      <formula>120</formula>
    </cfRule>
    <cfRule type="containsText" dxfId="2" priority="768" operator="between" text="库存为">
      <formula>NOT(ISERROR(SEARCH("库存为",AU317)))</formula>
    </cfRule>
  </conditionalFormatting>
  <conditionalFormatting sqref="AU318">
    <cfRule type="cellIs" dxfId="0" priority="2925" operator="lessThan">
      <formula>20</formula>
    </cfRule>
    <cfRule type="cellIs" dxfId="1" priority="1846" operator="greaterThan">
      <formula>120</formula>
    </cfRule>
    <cfRule type="containsText" dxfId="2" priority="767" operator="between" text="库存为">
      <formula>NOT(ISERROR(SEARCH("库存为",AU318)))</formula>
    </cfRule>
  </conditionalFormatting>
  <conditionalFormatting sqref="AU319">
    <cfRule type="cellIs" dxfId="0" priority="2924" operator="lessThan">
      <formula>20</formula>
    </cfRule>
    <cfRule type="cellIs" dxfId="1" priority="1845" operator="greaterThan">
      <formula>120</formula>
    </cfRule>
    <cfRule type="containsText" dxfId="2" priority="766" operator="between" text="库存为">
      <formula>NOT(ISERROR(SEARCH("库存为",AU319)))</formula>
    </cfRule>
  </conditionalFormatting>
  <conditionalFormatting sqref="AU320">
    <cfRule type="cellIs" dxfId="0" priority="2923" operator="lessThan">
      <formula>20</formula>
    </cfRule>
    <cfRule type="cellIs" dxfId="1" priority="1844" operator="greaterThan">
      <formula>120</formula>
    </cfRule>
    <cfRule type="containsText" dxfId="2" priority="765" operator="between" text="库存为">
      <formula>NOT(ISERROR(SEARCH("库存为",AU320)))</formula>
    </cfRule>
  </conditionalFormatting>
  <conditionalFormatting sqref="AU321">
    <cfRule type="cellIs" dxfId="0" priority="2922" operator="lessThan">
      <formula>20</formula>
    </cfRule>
    <cfRule type="cellIs" dxfId="1" priority="1843" operator="greaterThan">
      <formula>120</formula>
    </cfRule>
    <cfRule type="containsText" dxfId="2" priority="764" operator="between" text="库存为">
      <formula>NOT(ISERROR(SEARCH("库存为",AU321)))</formula>
    </cfRule>
  </conditionalFormatting>
  <conditionalFormatting sqref="AU322">
    <cfRule type="cellIs" dxfId="0" priority="2921" operator="lessThan">
      <formula>20</formula>
    </cfRule>
    <cfRule type="cellIs" dxfId="1" priority="1842" operator="greaterThan">
      <formula>120</formula>
    </cfRule>
    <cfRule type="containsText" dxfId="2" priority="763" operator="between" text="库存为">
      <formula>NOT(ISERROR(SEARCH("库存为",AU322)))</formula>
    </cfRule>
  </conditionalFormatting>
  <conditionalFormatting sqref="AU323">
    <cfRule type="cellIs" dxfId="0" priority="2920" operator="lessThan">
      <formula>20</formula>
    </cfRule>
    <cfRule type="cellIs" dxfId="1" priority="1841" operator="greaterThan">
      <formula>120</formula>
    </cfRule>
    <cfRule type="containsText" dxfId="2" priority="762" operator="between" text="库存为">
      <formula>NOT(ISERROR(SEARCH("库存为",AU323)))</formula>
    </cfRule>
  </conditionalFormatting>
  <conditionalFormatting sqref="AU324">
    <cfRule type="cellIs" dxfId="0" priority="2919" operator="lessThan">
      <formula>20</formula>
    </cfRule>
    <cfRule type="cellIs" dxfId="1" priority="1840" operator="greaterThan">
      <formula>120</formula>
    </cfRule>
    <cfRule type="containsText" dxfId="2" priority="761" operator="between" text="库存为">
      <formula>NOT(ISERROR(SEARCH("库存为",AU324)))</formula>
    </cfRule>
  </conditionalFormatting>
  <conditionalFormatting sqref="AU325">
    <cfRule type="cellIs" dxfId="0" priority="2918" operator="lessThan">
      <formula>20</formula>
    </cfRule>
    <cfRule type="cellIs" dxfId="1" priority="1839" operator="greaterThan">
      <formula>120</formula>
    </cfRule>
    <cfRule type="containsText" dxfId="2" priority="760" operator="between" text="库存为">
      <formula>NOT(ISERROR(SEARCH("库存为",AU325)))</formula>
    </cfRule>
  </conditionalFormatting>
  <conditionalFormatting sqref="AU326">
    <cfRule type="cellIs" dxfId="0" priority="2917" operator="lessThan">
      <formula>20</formula>
    </cfRule>
    <cfRule type="cellIs" dxfId="1" priority="1838" operator="greaterThan">
      <formula>120</formula>
    </cfRule>
    <cfRule type="containsText" dxfId="2" priority="759" operator="between" text="库存为">
      <formula>NOT(ISERROR(SEARCH("库存为",AU326)))</formula>
    </cfRule>
  </conditionalFormatting>
  <conditionalFormatting sqref="AU327">
    <cfRule type="cellIs" dxfId="0" priority="2916" operator="lessThan">
      <formula>20</formula>
    </cfRule>
    <cfRule type="cellIs" dxfId="1" priority="1837" operator="greaterThan">
      <formula>120</formula>
    </cfRule>
    <cfRule type="containsText" dxfId="2" priority="758" operator="between" text="库存为">
      <formula>NOT(ISERROR(SEARCH("库存为",AU327)))</formula>
    </cfRule>
  </conditionalFormatting>
  <conditionalFormatting sqref="AU328">
    <cfRule type="cellIs" dxfId="0" priority="2915" operator="lessThan">
      <formula>20</formula>
    </cfRule>
    <cfRule type="cellIs" dxfId="1" priority="1836" operator="greaterThan">
      <formula>120</formula>
    </cfRule>
    <cfRule type="containsText" dxfId="2" priority="757" operator="between" text="库存为">
      <formula>NOT(ISERROR(SEARCH("库存为",AU328)))</formula>
    </cfRule>
  </conditionalFormatting>
  <conditionalFormatting sqref="AU329">
    <cfRule type="cellIs" dxfId="0" priority="2914" operator="lessThan">
      <formula>20</formula>
    </cfRule>
    <cfRule type="cellIs" dxfId="1" priority="1835" operator="greaterThan">
      <formula>120</formula>
    </cfRule>
    <cfRule type="containsText" dxfId="2" priority="756" operator="between" text="库存为">
      <formula>NOT(ISERROR(SEARCH("库存为",AU329)))</formula>
    </cfRule>
  </conditionalFormatting>
  <conditionalFormatting sqref="AU330">
    <cfRule type="cellIs" dxfId="0" priority="2913" operator="lessThan">
      <formula>20</formula>
    </cfRule>
    <cfRule type="cellIs" dxfId="1" priority="1834" operator="greaterThan">
      <formula>120</formula>
    </cfRule>
    <cfRule type="containsText" dxfId="2" priority="755" operator="between" text="库存为">
      <formula>NOT(ISERROR(SEARCH("库存为",AU330)))</formula>
    </cfRule>
  </conditionalFormatting>
  <conditionalFormatting sqref="AU331">
    <cfRule type="cellIs" dxfId="0" priority="2912" operator="lessThan">
      <formula>20</formula>
    </cfRule>
    <cfRule type="cellIs" dxfId="1" priority="1833" operator="greaterThan">
      <formula>120</formula>
    </cfRule>
    <cfRule type="containsText" dxfId="2" priority="754" operator="between" text="库存为">
      <formula>NOT(ISERROR(SEARCH("库存为",AU331)))</formula>
    </cfRule>
  </conditionalFormatting>
  <conditionalFormatting sqref="AU332">
    <cfRule type="cellIs" dxfId="0" priority="2911" operator="lessThan">
      <formula>20</formula>
    </cfRule>
    <cfRule type="cellIs" dxfId="1" priority="1832" operator="greaterThan">
      <formula>120</formula>
    </cfRule>
    <cfRule type="containsText" dxfId="2" priority="753" operator="between" text="库存为">
      <formula>NOT(ISERROR(SEARCH("库存为",AU332)))</formula>
    </cfRule>
  </conditionalFormatting>
  <conditionalFormatting sqref="AU333">
    <cfRule type="cellIs" dxfId="0" priority="2910" operator="lessThan">
      <formula>20</formula>
    </cfRule>
    <cfRule type="cellIs" dxfId="1" priority="1831" operator="greaterThan">
      <formula>120</formula>
    </cfRule>
    <cfRule type="containsText" dxfId="2" priority="752" operator="between" text="库存为">
      <formula>NOT(ISERROR(SEARCH("库存为",AU333)))</formula>
    </cfRule>
  </conditionalFormatting>
  <conditionalFormatting sqref="AU334">
    <cfRule type="cellIs" dxfId="0" priority="2909" operator="lessThan">
      <formula>20</formula>
    </cfRule>
    <cfRule type="cellIs" dxfId="1" priority="1830" operator="greaterThan">
      <formula>120</formula>
    </cfRule>
    <cfRule type="containsText" dxfId="2" priority="751" operator="between" text="库存为">
      <formula>NOT(ISERROR(SEARCH("库存为",AU334)))</formula>
    </cfRule>
  </conditionalFormatting>
  <conditionalFormatting sqref="AU335">
    <cfRule type="cellIs" dxfId="0" priority="2908" operator="lessThan">
      <formula>20</formula>
    </cfRule>
    <cfRule type="cellIs" dxfId="1" priority="1829" operator="greaterThan">
      <formula>120</formula>
    </cfRule>
    <cfRule type="containsText" dxfId="2" priority="750" operator="between" text="库存为">
      <formula>NOT(ISERROR(SEARCH("库存为",AU335)))</formula>
    </cfRule>
  </conditionalFormatting>
  <conditionalFormatting sqref="AU336">
    <cfRule type="cellIs" dxfId="0" priority="2907" operator="lessThan">
      <formula>20</formula>
    </cfRule>
    <cfRule type="cellIs" dxfId="1" priority="1828" operator="greaterThan">
      <formula>120</formula>
    </cfRule>
    <cfRule type="containsText" dxfId="2" priority="749" operator="between" text="库存为">
      <formula>NOT(ISERROR(SEARCH("库存为",AU336)))</formula>
    </cfRule>
  </conditionalFormatting>
  <conditionalFormatting sqref="AU337">
    <cfRule type="cellIs" dxfId="0" priority="2906" operator="lessThan">
      <formula>20</formula>
    </cfRule>
    <cfRule type="cellIs" dxfId="1" priority="1827" operator="greaterThan">
      <formula>120</formula>
    </cfRule>
    <cfRule type="containsText" dxfId="2" priority="748" operator="between" text="库存为">
      <formula>NOT(ISERROR(SEARCH("库存为",AU337)))</formula>
    </cfRule>
  </conditionalFormatting>
  <conditionalFormatting sqref="AU338">
    <cfRule type="cellIs" dxfId="0" priority="2905" operator="lessThan">
      <formula>20</formula>
    </cfRule>
    <cfRule type="cellIs" dxfId="1" priority="1826" operator="greaterThan">
      <formula>120</formula>
    </cfRule>
    <cfRule type="containsText" dxfId="2" priority="747" operator="between" text="库存为">
      <formula>NOT(ISERROR(SEARCH("库存为",AU338)))</formula>
    </cfRule>
  </conditionalFormatting>
  <conditionalFormatting sqref="AU339">
    <cfRule type="cellIs" dxfId="0" priority="2904" operator="lessThan">
      <formula>20</formula>
    </cfRule>
    <cfRule type="cellIs" dxfId="1" priority="1825" operator="greaterThan">
      <formula>120</formula>
    </cfRule>
    <cfRule type="containsText" dxfId="2" priority="746" operator="between" text="库存为">
      <formula>NOT(ISERROR(SEARCH("库存为",AU339)))</formula>
    </cfRule>
  </conditionalFormatting>
  <conditionalFormatting sqref="AU340">
    <cfRule type="cellIs" dxfId="0" priority="2903" operator="lessThan">
      <formula>20</formula>
    </cfRule>
    <cfRule type="cellIs" dxfId="1" priority="1824" operator="greaterThan">
      <formula>120</formula>
    </cfRule>
    <cfRule type="containsText" dxfId="2" priority="745" operator="between" text="库存为">
      <formula>NOT(ISERROR(SEARCH("库存为",AU340)))</formula>
    </cfRule>
  </conditionalFormatting>
  <conditionalFormatting sqref="AU341">
    <cfRule type="cellIs" dxfId="0" priority="2902" operator="lessThan">
      <formula>20</formula>
    </cfRule>
    <cfRule type="cellIs" dxfId="1" priority="1823" operator="greaterThan">
      <formula>120</formula>
    </cfRule>
    <cfRule type="containsText" dxfId="2" priority="744" operator="between" text="库存为">
      <formula>NOT(ISERROR(SEARCH("库存为",AU341)))</formula>
    </cfRule>
  </conditionalFormatting>
  <conditionalFormatting sqref="AU342">
    <cfRule type="cellIs" dxfId="0" priority="2901" operator="lessThan">
      <formula>20</formula>
    </cfRule>
    <cfRule type="cellIs" dxfId="1" priority="1822" operator="greaterThan">
      <formula>120</formula>
    </cfRule>
    <cfRule type="containsText" dxfId="2" priority="743" operator="between" text="库存为">
      <formula>NOT(ISERROR(SEARCH("库存为",AU342)))</formula>
    </cfRule>
  </conditionalFormatting>
  <conditionalFormatting sqref="AU343">
    <cfRule type="cellIs" dxfId="0" priority="2900" operator="lessThan">
      <formula>20</formula>
    </cfRule>
    <cfRule type="cellIs" dxfId="1" priority="1821" operator="greaterThan">
      <formula>120</formula>
    </cfRule>
    <cfRule type="containsText" dxfId="2" priority="742" operator="between" text="库存为">
      <formula>NOT(ISERROR(SEARCH("库存为",AU343)))</formula>
    </cfRule>
  </conditionalFormatting>
  <conditionalFormatting sqref="AU344">
    <cfRule type="cellIs" dxfId="0" priority="2899" operator="lessThan">
      <formula>20</formula>
    </cfRule>
    <cfRule type="cellIs" dxfId="1" priority="1820" operator="greaterThan">
      <formula>120</formula>
    </cfRule>
    <cfRule type="containsText" dxfId="2" priority="741" operator="between" text="库存为">
      <formula>NOT(ISERROR(SEARCH("库存为",AU344)))</formula>
    </cfRule>
  </conditionalFormatting>
  <conditionalFormatting sqref="AU345">
    <cfRule type="cellIs" dxfId="0" priority="2898" operator="lessThan">
      <formula>20</formula>
    </cfRule>
    <cfRule type="cellIs" dxfId="1" priority="1819" operator="greaterThan">
      <formula>120</formula>
    </cfRule>
    <cfRule type="containsText" dxfId="2" priority="740" operator="between" text="库存为">
      <formula>NOT(ISERROR(SEARCH("库存为",AU345)))</formula>
    </cfRule>
  </conditionalFormatting>
  <conditionalFormatting sqref="AU346">
    <cfRule type="cellIs" dxfId="0" priority="2897" operator="lessThan">
      <formula>20</formula>
    </cfRule>
    <cfRule type="cellIs" dxfId="1" priority="1818" operator="greaterThan">
      <formula>120</formula>
    </cfRule>
    <cfRule type="containsText" dxfId="2" priority="739" operator="between" text="库存为">
      <formula>NOT(ISERROR(SEARCH("库存为",AU346)))</formula>
    </cfRule>
  </conditionalFormatting>
  <conditionalFormatting sqref="AU347">
    <cfRule type="cellIs" dxfId="0" priority="2896" operator="lessThan">
      <formula>20</formula>
    </cfRule>
    <cfRule type="cellIs" dxfId="1" priority="1817" operator="greaterThan">
      <formula>120</formula>
    </cfRule>
    <cfRule type="containsText" dxfId="2" priority="738" operator="between" text="库存为">
      <formula>NOT(ISERROR(SEARCH("库存为",AU347)))</formula>
    </cfRule>
  </conditionalFormatting>
  <conditionalFormatting sqref="AU348">
    <cfRule type="cellIs" dxfId="0" priority="2895" operator="lessThan">
      <formula>20</formula>
    </cfRule>
    <cfRule type="cellIs" dxfId="1" priority="1816" operator="greaterThan">
      <formula>120</formula>
    </cfRule>
    <cfRule type="containsText" dxfId="2" priority="737" operator="between" text="库存为">
      <formula>NOT(ISERROR(SEARCH("库存为",AU348)))</formula>
    </cfRule>
  </conditionalFormatting>
  <conditionalFormatting sqref="AU349">
    <cfRule type="cellIs" dxfId="0" priority="2894" operator="lessThan">
      <formula>20</formula>
    </cfRule>
    <cfRule type="cellIs" dxfId="1" priority="1815" operator="greaterThan">
      <formula>120</formula>
    </cfRule>
    <cfRule type="containsText" dxfId="2" priority="736" operator="between" text="库存为">
      <formula>NOT(ISERROR(SEARCH("库存为",AU349)))</formula>
    </cfRule>
  </conditionalFormatting>
  <conditionalFormatting sqref="AU350">
    <cfRule type="cellIs" dxfId="0" priority="2893" operator="lessThan">
      <formula>20</formula>
    </cfRule>
    <cfRule type="cellIs" dxfId="1" priority="1814" operator="greaterThan">
      <formula>120</formula>
    </cfRule>
    <cfRule type="containsText" dxfId="2" priority="735" operator="between" text="库存为">
      <formula>NOT(ISERROR(SEARCH("库存为",AU350)))</formula>
    </cfRule>
  </conditionalFormatting>
  <conditionalFormatting sqref="AU351">
    <cfRule type="cellIs" dxfId="0" priority="2892" operator="lessThan">
      <formula>20</formula>
    </cfRule>
    <cfRule type="cellIs" dxfId="1" priority="1813" operator="greaterThan">
      <formula>120</formula>
    </cfRule>
    <cfRule type="containsText" dxfId="2" priority="734" operator="between" text="库存为">
      <formula>NOT(ISERROR(SEARCH("库存为",AU351)))</formula>
    </cfRule>
  </conditionalFormatting>
  <conditionalFormatting sqref="AU352">
    <cfRule type="cellIs" dxfId="0" priority="2891" operator="lessThan">
      <formula>20</formula>
    </cfRule>
    <cfRule type="cellIs" dxfId="1" priority="1812" operator="greaterThan">
      <formula>120</formula>
    </cfRule>
    <cfRule type="containsText" dxfId="2" priority="733" operator="between" text="库存为">
      <formula>NOT(ISERROR(SEARCH("库存为",AU352)))</formula>
    </cfRule>
  </conditionalFormatting>
  <conditionalFormatting sqref="AU353">
    <cfRule type="cellIs" dxfId="0" priority="2890" operator="lessThan">
      <formula>20</formula>
    </cfRule>
    <cfRule type="cellIs" dxfId="1" priority="1811" operator="greaterThan">
      <formula>120</formula>
    </cfRule>
    <cfRule type="containsText" dxfId="2" priority="732" operator="between" text="库存为">
      <formula>NOT(ISERROR(SEARCH("库存为",AU353)))</formula>
    </cfRule>
  </conditionalFormatting>
  <conditionalFormatting sqref="AU354">
    <cfRule type="cellIs" dxfId="0" priority="2889" operator="lessThan">
      <formula>20</formula>
    </cfRule>
    <cfRule type="cellIs" dxfId="1" priority="1810" operator="greaterThan">
      <formula>120</formula>
    </cfRule>
    <cfRule type="containsText" dxfId="2" priority="731" operator="between" text="库存为">
      <formula>NOT(ISERROR(SEARCH("库存为",AU354)))</formula>
    </cfRule>
  </conditionalFormatting>
  <conditionalFormatting sqref="AU355">
    <cfRule type="cellIs" dxfId="0" priority="2888" operator="lessThan">
      <formula>20</formula>
    </cfRule>
    <cfRule type="cellIs" dxfId="1" priority="1809" operator="greaterThan">
      <formula>120</formula>
    </cfRule>
    <cfRule type="containsText" dxfId="2" priority="730" operator="between" text="库存为">
      <formula>NOT(ISERROR(SEARCH("库存为",AU355)))</formula>
    </cfRule>
  </conditionalFormatting>
  <conditionalFormatting sqref="AU356">
    <cfRule type="cellIs" dxfId="0" priority="2887" operator="lessThan">
      <formula>20</formula>
    </cfRule>
    <cfRule type="cellIs" dxfId="1" priority="1808" operator="greaterThan">
      <formula>120</formula>
    </cfRule>
    <cfRule type="containsText" dxfId="2" priority="729" operator="between" text="库存为">
      <formula>NOT(ISERROR(SEARCH("库存为",AU356)))</formula>
    </cfRule>
  </conditionalFormatting>
  <conditionalFormatting sqref="AU357">
    <cfRule type="cellIs" dxfId="0" priority="2886" operator="lessThan">
      <formula>20</formula>
    </cfRule>
    <cfRule type="cellIs" dxfId="1" priority="1807" operator="greaterThan">
      <formula>120</formula>
    </cfRule>
    <cfRule type="containsText" dxfId="2" priority="728" operator="between" text="库存为">
      <formula>NOT(ISERROR(SEARCH("库存为",AU357)))</formula>
    </cfRule>
  </conditionalFormatting>
  <conditionalFormatting sqref="AU358">
    <cfRule type="cellIs" dxfId="0" priority="2885" operator="lessThan">
      <formula>20</formula>
    </cfRule>
    <cfRule type="cellIs" dxfId="1" priority="1806" operator="greaterThan">
      <formula>120</formula>
    </cfRule>
    <cfRule type="containsText" dxfId="2" priority="727" operator="between" text="库存为">
      <formula>NOT(ISERROR(SEARCH("库存为",AU358)))</formula>
    </cfRule>
  </conditionalFormatting>
  <conditionalFormatting sqref="AU359">
    <cfRule type="cellIs" dxfId="0" priority="2884" operator="lessThan">
      <formula>20</formula>
    </cfRule>
    <cfRule type="cellIs" dxfId="1" priority="1805" operator="greaterThan">
      <formula>120</formula>
    </cfRule>
    <cfRule type="containsText" dxfId="2" priority="726" operator="between" text="库存为">
      <formula>NOT(ISERROR(SEARCH("库存为",AU359)))</formula>
    </cfRule>
  </conditionalFormatting>
  <conditionalFormatting sqref="AU360">
    <cfRule type="cellIs" dxfId="0" priority="2883" operator="lessThan">
      <formula>20</formula>
    </cfRule>
    <cfRule type="cellIs" dxfId="1" priority="1804" operator="greaterThan">
      <formula>120</formula>
    </cfRule>
    <cfRule type="containsText" dxfId="2" priority="725" operator="between" text="库存为">
      <formula>NOT(ISERROR(SEARCH("库存为",AU360)))</formula>
    </cfRule>
  </conditionalFormatting>
  <conditionalFormatting sqref="AU361">
    <cfRule type="cellIs" dxfId="0" priority="2882" operator="lessThan">
      <formula>20</formula>
    </cfRule>
    <cfRule type="cellIs" dxfId="1" priority="1803" operator="greaterThan">
      <formula>120</formula>
    </cfRule>
    <cfRule type="containsText" dxfId="2" priority="724" operator="between" text="库存为">
      <formula>NOT(ISERROR(SEARCH("库存为",AU361)))</formula>
    </cfRule>
  </conditionalFormatting>
  <conditionalFormatting sqref="AU362">
    <cfRule type="cellIs" dxfId="0" priority="2881" operator="lessThan">
      <formula>20</formula>
    </cfRule>
    <cfRule type="cellIs" dxfId="1" priority="1802" operator="greaterThan">
      <formula>120</formula>
    </cfRule>
    <cfRule type="containsText" dxfId="2" priority="723" operator="between" text="库存为">
      <formula>NOT(ISERROR(SEARCH("库存为",AU362)))</formula>
    </cfRule>
  </conditionalFormatting>
  <conditionalFormatting sqref="AU363">
    <cfRule type="cellIs" dxfId="0" priority="2880" operator="lessThan">
      <formula>20</formula>
    </cfRule>
    <cfRule type="cellIs" dxfId="1" priority="1801" operator="greaterThan">
      <formula>120</formula>
    </cfRule>
    <cfRule type="containsText" dxfId="2" priority="722" operator="between" text="库存为">
      <formula>NOT(ISERROR(SEARCH("库存为",AU363)))</formula>
    </cfRule>
  </conditionalFormatting>
  <conditionalFormatting sqref="AU364">
    <cfRule type="cellIs" dxfId="0" priority="2879" operator="lessThan">
      <formula>20</formula>
    </cfRule>
    <cfRule type="cellIs" dxfId="1" priority="1800" operator="greaterThan">
      <formula>120</formula>
    </cfRule>
    <cfRule type="containsText" dxfId="2" priority="721" operator="between" text="库存为">
      <formula>NOT(ISERROR(SEARCH("库存为",AU364)))</formula>
    </cfRule>
  </conditionalFormatting>
  <conditionalFormatting sqref="AU365">
    <cfRule type="cellIs" dxfId="0" priority="2878" operator="lessThan">
      <formula>20</formula>
    </cfRule>
    <cfRule type="cellIs" dxfId="1" priority="1799" operator="greaterThan">
      <formula>120</formula>
    </cfRule>
    <cfRule type="containsText" dxfId="2" priority="720" operator="between" text="库存为">
      <formula>NOT(ISERROR(SEARCH("库存为",AU365)))</formula>
    </cfRule>
  </conditionalFormatting>
  <conditionalFormatting sqref="AU366">
    <cfRule type="cellIs" dxfId="0" priority="2877" operator="lessThan">
      <formula>20</formula>
    </cfRule>
    <cfRule type="cellIs" dxfId="1" priority="1798" operator="greaterThan">
      <formula>120</formula>
    </cfRule>
    <cfRule type="containsText" dxfId="2" priority="719" operator="between" text="库存为">
      <formula>NOT(ISERROR(SEARCH("库存为",AU366)))</formula>
    </cfRule>
  </conditionalFormatting>
  <conditionalFormatting sqref="AU367">
    <cfRule type="cellIs" dxfId="0" priority="2876" operator="lessThan">
      <formula>20</formula>
    </cfRule>
    <cfRule type="cellIs" dxfId="1" priority="1797" operator="greaterThan">
      <formula>120</formula>
    </cfRule>
    <cfRule type="containsText" dxfId="2" priority="718" operator="between" text="库存为">
      <formula>NOT(ISERROR(SEARCH("库存为",AU367)))</formula>
    </cfRule>
  </conditionalFormatting>
  <conditionalFormatting sqref="AU368">
    <cfRule type="cellIs" dxfId="0" priority="2875" operator="lessThan">
      <formula>20</formula>
    </cfRule>
    <cfRule type="cellIs" dxfId="1" priority="1796" operator="greaterThan">
      <formula>120</formula>
    </cfRule>
    <cfRule type="containsText" dxfId="2" priority="717" operator="between" text="库存为">
      <formula>NOT(ISERROR(SEARCH("库存为",AU368)))</formula>
    </cfRule>
  </conditionalFormatting>
  <conditionalFormatting sqref="AU369">
    <cfRule type="cellIs" dxfId="0" priority="2874" operator="lessThan">
      <formula>20</formula>
    </cfRule>
    <cfRule type="cellIs" dxfId="1" priority="1795" operator="greaterThan">
      <formula>120</formula>
    </cfRule>
    <cfRule type="containsText" dxfId="2" priority="716" operator="between" text="库存为">
      <formula>NOT(ISERROR(SEARCH("库存为",AU369)))</formula>
    </cfRule>
  </conditionalFormatting>
  <conditionalFormatting sqref="AU370">
    <cfRule type="cellIs" dxfId="0" priority="2873" operator="lessThan">
      <formula>20</formula>
    </cfRule>
    <cfRule type="cellIs" dxfId="1" priority="1794" operator="greaterThan">
      <formula>120</formula>
    </cfRule>
    <cfRule type="containsText" dxfId="2" priority="715" operator="between" text="库存为">
      <formula>NOT(ISERROR(SEARCH("库存为",AU370)))</formula>
    </cfRule>
  </conditionalFormatting>
  <conditionalFormatting sqref="AU371">
    <cfRule type="cellIs" dxfId="0" priority="2872" operator="lessThan">
      <formula>20</formula>
    </cfRule>
    <cfRule type="cellIs" dxfId="1" priority="1793" operator="greaterThan">
      <formula>120</formula>
    </cfRule>
    <cfRule type="containsText" dxfId="2" priority="714" operator="between" text="库存为">
      <formula>NOT(ISERROR(SEARCH("库存为",AU371)))</formula>
    </cfRule>
  </conditionalFormatting>
  <conditionalFormatting sqref="AU372">
    <cfRule type="cellIs" dxfId="0" priority="2871" operator="lessThan">
      <formula>20</formula>
    </cfRule>
    <cfRule type="cellIs" dxfId="1" priority="1792" operator="greaterThan">
      <formula>120</formula>
    </cfRule>
    <cfRule type="containsText" dxfId="2" priority="713" operator="between" text="库存为">
      <formula>NOT(ISERROR(SEARCH("库存为",AU372)))</formula>
    </cfRule>
  </conditionalFormatting>
  <conditionalFormatting sqref="AU373">
    <cfRule type="cellIs" dxfId="0" priority="2870" operator="lessThan">
      <formula>20</formula>
    </cfRule>
    <cfRule type="cellIs" dxfId="1" priority="1791" operator="greaterThan">
      <formula>120</formula>
    </cfRule>
    <cfRule type="containsText" dxfId="2" priority="712" operator="between" text="库存为">
      <formula>NOT(ISERROR(SEARCH("库存为",AU373)))</formula>
    </cfRule>
  </conditionalFormatting>
  <conditionalFormatting sqref="AU374">
    <cfRule type="cellIs" dxfId="0" priority="2869" operator="lessThan">
      <formula>20</formula>
    </cfRule>
    <cfRule type="cellIs" dxfId="1" priority="1790" operator="greaterThan">
      <formula>120</formula>
    </cfRule>
    <cfRule type="containsText" dxfId="2" priority="711" operator="between" text="库存为">
      <formula>NOT(ISERROR(SEARCH("库存为",AU374)))</formula>
    </cfRule>
  </conditionalFormatting>
  <conditionalFormatting sqref="AU375">
    <cfRule type="cellIs" dxfId="0" priority="2868" operator="lessThan">
      <formula>20</formula>
    </cfRule>
    <cfRule type="cellIs" dxfId="1" priority="1789" operator="greaterThan">
      <formula>120</formula>
    </cfRule>
    <cfRule type="containsText" dxfId="2" priority="710" operator="between" text="库存为">
      <formula>NOT(ISERROR(SEARCH("库存为",AU375)))</formula>
    </cfRule>
  </conditionalFormatting>
  <conditionalFormatting sqref="AU376">
    <cfRule type="cellIs" dxfId="0" priority="2867" operator="lessThan">
      <formula>20</formula>
    </cfRule>
    <cfRule type="cellIs" dxfId="1" priority="1788" operator="greaterThan">
      <formula>120</formula>
    </cfRule>
    <cfRule type="containsText" dxfId="2" priority="709" operator="between" text="库存为">
      <formula>NOT(ISERROR(SEARCH("库存为",AU376)))</formula>
    </cfRule>
  </conditionalFormatting>
  <conditionalFormatting sqref="AU377">
    <cfRule type="cellIs" dxfId="0" priority="2866" operator="lessThan">
      <formula>20</formula>
    </cfRule>
    <cfRule type="cellIs" dxfId="1" priority="1787" operator="greaterThan">
      <formula>120</formula>
    </cfRule>
    <cfRule type="containsText" dxfId="2" priority="708" operator="between" text="库存为">
      <formula>NOT(ISERROR(SEARCH("库存为",AU377)))</formula>
    </cfRule>
  </conditionalFormatting>
  <conditionalFormatting sqref="AU378">
    <cfRule type="cellIs" dxfId="0" priority="2865" operator="lessThan">
      <formula>20</formula>
    </cfRule>
    <cfRule type="cellIs" dxfId="1" priority="1786" operator="greaterThan">
      <formula>120</formula>
    </cfRule>
    <cfRule type="containsText" dxfId="2" priority="707" operator="between" text="库存为">
      <formula>NOT(ISERROR(SEARCH("库存为",AU378)))</formula>
    </cfRule>
  </conditionalFormatting>
  <conditionalFormatting sqref="AU379">
    <cfRule type="cellIs" dxfId="0" priority="2864" operator="lessThan">
      <formula>20</formula>
    </cfRule>
    <cfRule type="cellIs" dxfId="1" priority="1785" operator="greaterThan">
      <formula>120</formula>
    </cfRule>
    <cfRule type="containsText" dxfId="2" priority="706" operator="between" text="库存为">
      <formula>NOT(ISERROR(SEARCH("库存为",AU379)))</formula>
    </cfRule>
  </conditionalFormatting>
  <conditionalFormatting sqref="AU380">
    <cfRule type="cellIs" dxfId="0" priority="2863" operator="lessThan">
      <formula>20</formula>
    </cfRule>
    <cfRule type="cellIs" dxfId="1" priority="1784" operator="greaterThan">
      <formula>120</formula>
    </cfRule>
    <cfRule type="containsText" dxfId="2" priority="705" operator="between" text="库存为">
      <formula>NOT(ISERROR(SEARCH("库存为",AU380)))</formula>
    </cfRule>
  </conditionalFormatting>
  <conditionalFormatting sqref="AU381">
    <cfRule type="cellIs" dxfId="0" priority="2862" operator="lessThan">
      <formula>20</formula>
    </cfRule>
    <cfRule type="cellIs" dxfId="1" priority="1783" operator="greaterThan">
      <formula>120</formula>
    </cfRule>
    <cfRule type="containsText" dxfId="2" priority="704" operator="between" text="库存为">
      <formula>NOT(ISERROR(SEARCH("库存为",AU381)))</formula>
    </cfRule>
  </conditionalFormatting>
  <conditionalFormatting sqref="AU382">
    <cfRule type="cellIs" dxfId="0" priority="2861" operator="lessThan">
      <formula>20</formula>
    </cfRule>
    <cfRule type="cellIs" dxfId="1" priority="1782" operator="greaterThan">
      <formula>120</formula>
    </cfRule>
    <cfRule type="containsText" dxfId="2" priority="703" operator="between" text="库存为">
      <formula>NOT(ISERROR(SEARCH("库存为",AU382)))</formula>
    </cfRule>
  </conditionalFormatting>
  <conditionalFormatting sqref="AU383">
    <cfRule type="cellIs" dxfId="0" priority="2860" operator="lessThan">
      <formula>20</formula>
    </cfRule>
    <cfRule type="cellIs" dxfId="1" priority="1781" operator="greaterThan">
      <formula>120</formula>
    </cfRule>
    <cfRule type="containsText" dxfId="2" priority="702" operator="between" text="库存为">
      <formula>NOT(ISERROR(SEARCH("库存为",AU383)))</formula>
    </cfRule>
  </conditionalFormatting>
  <conditionalFormatting sqref="AU384">
    <cfRule type="cellIs" dxfId="0" priority="2859" operator="lessThan">
      <formula>20</formula>
    </cfRule>
    <cfRule type="cellIs" dxfId="1" priority="1780" operator="greaterThan">
      <formula>120</formula>
    </cfRule>
    <cfRule type="containsText" dxfId="2" priority="701" operator="between" text="库存为">
      <formula>NOT(ISERROR(SEARCH("库存为",AU384)))</formula>
    </cfRule>
  </conditionalFormatting>
  <conditionalFormatting sqref="AU385">
    <cfRule type="cellIs" dxfId="0" priority="2858" operator="lessThan">
      <formula>20</formula>
    </cfRule>
    <cfRule type="cellIs" dxfId="1" priority="1779" operator="greaterThan">
      <formula>120</formula>
    </cfRule>
    <cfRule type="containsText" dxfId="2" priority="700" operator="between" text="库存为">
      <formula>NOT(ISERROR(SEARCH("库存为",AU385)))</formula>
    </cfRule>
  </conditionalFormatting>
  <conditionalFormatting sqref="AU386">
    <cfRule type="cellIs" dxfId="0" priority="2857" operator="lessThan">
      <formula>20</formula>
    </cfRule>
    <cfRule type="cellIs" dxfId="1" priority="1778" operator="greaterThan">
      <formula>120</formula>
    </cfRule>
    <cfRule type="containsText" dxfId="2" priority="699" operator="between" text="库存为">
      <formula>NOT(ISERROR(SEARCH("库存为",AU386)))</formula>
    </cfRule>
  </conditionalFormatting>
  <conditionalFormatting sqref="AU387">
    <cfRule type="cellIs" dxfId="0" priority="2856" operator="lessThan">
      <formula>20</formula>
    </cfRule>
    <cfRule type="cellIs" dxfId="1" priority="1777" operator="greaterThan">
      <formula>120</formula>
    </cfRule>
    <cfRule type="containsText" dxfId="2" priority="698" operator="between" text="库存为">
      <formula>NOT(ISERROR(SEARCH("库存为",AU387)))</formula>
    </cfRule>
  </conditionalFormatting>
  <conditionalFormatting sqref="AU388">
    <cfRule type="cellIs" dxfId="0" priority="2855" operator="lessThan">
      <formula>20</formula>
    </cfRule>
    <cfRule type="cellIs" dxfId="1" priority="1776" operator="greaterThan">
      <formula>120</formula>
    </cfRule>
    <cfRule type="containsText" dxfId="2" priority="697" operator="between" text="库存为">
      <formula>NOT(ISERROR(SEARCH("库存为",AU388)))</formula>
    </cfRule>
  </conditionalFormatting>
  <conditionalFormatting sqref="AU389">
    <cfRule type="cellIs" dxfId="0" priority="2854" operator="lessThan">
      <formula>20</formula>
    </cfRule>
    <cfRule type="cellIs" dxfId="1" priority="1775" operator="greaterThan">
      <formula>120</formula>
    </cfRule>
    <cfRule type="containsText" dxfId="2" priority="696" operator="between" text="库存为">
      <formula>NOT(ISERROR(SEARCH("库存为",AU389)))</formula>
    </cfRule>
  </conditionalFormatting>
  <conditionalFormatting sqref="AU390">
    <cfRule type="cellIs" dxfId="0" priority="2853" operator="lessThan">
      <formula>20</formula>
    </cfRule>
    <cfRule type="cellIs" dxfId="1" priority="1774" operator="greaterThan">
      <formula>120</formula>
    </cfRule>
    <cfRule type="containsText" dxfId="2" priority="695" operator="between" text="库存为">
      <formula>NOT(ISERROR(SEARCH("库存为",AU390)))</formula>
    </cfRule>
  </conditionalFormatting>
  <conditionalFormatting sqref="AU391">
    <cfRule type="cellIs" dxfId="0" priority="2852" operator="lessThan">
      <formula>20</formula>
    </cfRule>
    <cfRule type="cellIs" dxfId="1" priority="1773" operator="greaterThan">
      <formula>120</formula>
    </cfRule>
    <cfRule type="containsText" dxfId="2" priority="694" operator="between" text="库存为">
      <formula>NOT(ISERROR(SEARCH("库存为",AU391)))</formula>
    </cfRule>
  </conditionalFormatting>
  <conditionalFormatting sqref="AU392">
    <cfRule type="cellIs" dxfId="0" priority="2851" operator="lessThan">
      <formula>20</formula>
    </cfRule>
    <cfRule type="cellIs" dxfId="1" priority="1772" operator="greaterThan">
      <formula>120</formula>
    </cfRule>
    <cfRule type="containsText" dxfId="2" priority="693" operator="between" text="库存为">
      <formula>NOT(ISERROR(SEARCH("库存为",AU392)))</formula>
    </cfRule>
  </conditionalFormatting>
  <conditionalFormatting sqref="AU393">
    <cfRule type="cellIs" dxfId="0" priority="2850" operator="lessThan">
      <formula>20</formula>
    </cfRule>
    <cfRule type="cellIs" dxfId="1" priority="1771" operator="greaterThan">
      <formula>120</formula>
    </cfRule>
    <cfRule type="containsText" dxfId="2" priority="692" operator="between" text="库存为">
      <formula>NOT(ISERROR(SEARCH("库存为",AU393)))</formula>
    </cfRule>
  </conditionalFormatting>
  <conditionalFormatting sqref="AU394">
    <cfRule type="cellIs" dxfId="0" priority="2849" operator="lessThan">
      <formula>20</formula>
    </cfRule>
    <cfRule type="cellIs" dxfId="1" priority="1770" operator="greaterThan">
      <formula>120</formula>
    </cfRule>
    <cfRule type="containsText" dxfId="2" priority="691" operator="between" text="库存为">
      <formula>NOT(ISERROR(SEARCH("库存为",AU394)))</formula>
    </cfRule>
  </conditionalFormatting>
  <conditionalFormatting sqref="AU395">
    <cfRule type="cellIs" dxfId="0" priority="2848" operator="lessThan">
      <formula>20</formula>
    </cfRule>
    <cfRule type="cellIs" dxfId="1" priority="1769" operator="greaterThan">
      <formula>120</formula>
    </cfRule>
    <cfRule type="containsText" dxfId="2" priority="690" operator="between" text="库存为">
      <formula>NOT(ISERROR(SEARCH("库存为",AU395)))</formula>
    </cfRule>
  </conditionalFormatting>
  <conditionalFormatting sqref="AU396">
    <cfRule type="cellIs" dxfId="0" priority="2847" operator="lessThan">
      <formula>20</formula>
    </cfRule>
    <cfRule type="cellIs" dxfId="1" priority="1768" operator="greaterThan">
      <formula>120</formula>
    </cfRule>
    <cfRule type="containsText" dxfId="2" priority="689" operator="between" text="库存为">
      <formula>NOT(ISERROR(SEARCH("库存为",AU396)))</formula>
    </cfRule>
  </conditionalFormatting>
  <conditionalFormatting sqref="AU397">
    <cfRule type="cellIs" dxfId="0" priority="2846" operator="lessThan">
      <formula>20</formula>
    </cfRule>
    <cfRule type="cellIs" dxfId="1" priority="1767" operator="greaterThan">
      <formula>120</formula>
    </cfRule>
    <cfRule type="containsText" dxfId="2" priority="688" operator="between" text="库存为">
      <formula>NOT(ISERROR(SEARCH("库存为",AU397)))</formula>
    </cfRule>
  </conditionalFormatting>
  <conditionalFormatting sqref="AU398">
    <cfRule type="cellIs" dxfId="0" priority="2845" operator="lessThan">
      <formula>20</formula>
    </cfRule>
    <cfRule type="cellIs" dxfId="1" priority="1766" operator="greaterThan">
      <formula>120</formula>
    </cfRule>
    <cfRule type="containsText" dxfId="2" priority="687" operator="between" text="库存为">
      <formula>NOT(ISERROR(SEARCH("库存为",AU398)))</formula>
    </cfRule>
  </conditionalFormatting>
  <conditionalFormatting sqref="AU399">
    <cfRule type="cellIs" dxfId="0" priority="2844" operator="lessThan">
      <formula>20</formula>
    </cfRule>
    <cfRule type="cellIs" dxfId="1" priority="1765" operator="greaterThan">
      <formula>120</formula>
    </cfRule>
    <cfRule type="containsText" dxfId="2" priority="686" operator="between" text="库存为">
      <formula>NOT(ISERROR(SEARCH("库存为",AU399)))</formula>
    </cfRule>
  </conditionalFormatting>
  <conditionalFormatting sqref="AU400">
    <cfRule type="cellIs" dxfId="0" priority="2843" operator="lessThan">
      <formula>20</formula>
    </cfRule>
    <cfRule type="cellIs" dxfId="1" priority="1764" operator="greaterThan">
      <formula>120</formula>
    </cfRule>
    <cfRule type="containsText" dxfId="2" priority="685" operator="between" text="库存为">
      <formula>NOT(ISERROR(SEARCH("库存为",AU400)))</formula>
    </cfRule>
  </conditionalFormatting>
  <conditionalFormatting sqref="AU401">
    <cfRule type="cellIs" dxfId="0" priority="2842" operator="lessThan">
      <formula>20</formula>
    </cfRule>
    <cfRule type="cellIs" dxfId="1" priority="1763" operator="greaterThan">
      <formula>120</formula>
    </cfRule>
    <cfRule type="containsText" dxfId="2" priority="684" operator="between" text="库存为">
      <formula>NOT(ISERROR(SEARCH("库存为",AU401)))</formula>
    </cfRule>
  </conditionalFormatting>
  <conditionalFormatting sqref="AU402">
    <cfRule type="cellIs" dxfId="0" priority="2841" operator="lessThan">
      <formula>20</formula>
    </cfRule>
    <cfRule type="cellIs" dxfId="1" priority="1762" operator="greaterThan">
      <formula>120</formula>
    </cfRule>
    <cfRule type="containsText" dxfId="2" priority="683" operator="between" text="库存为">
      <formula>NOT(ISERROR(SEARCH("库存为",AU402)))</formula>
    </cfRule>
  </conditionalFormatting>
  <conditionalFormatting sqref="AU403">
    <cfRule type="cellIs" dxfId="0" priority="2840" operator="lessThan">
      <formula>20</formula>
    </cfRule>
    <cfRule type="cellIs" dxfId="1" priority="1761" operator="greaterThan">
      <formula>120</formula>
    </cfRule>
    <cfRule type="containsText" dxfId="2" priority="682" operator="between" text="库存为">
      <formula>NOT(ISERROR(SEARCH("库存为",AU403)))</formula>
    </cfRule>
  </conditionalFormatting>
  <conditionalFormatting sqref="AU404">
    <cfRule type="cellIs" dxfId="0" priority="2839" operator="lessThan">
      <formula>20</formula>
    </cfRule>
    <cfRule type="cellIs" dxfId="1" priority="1760" operator="greaterThan">
      <formula>120</formula>
    </cfRule>
    <cfRule type="containsText" dxfId="2" priority="681" operator="between" text="库存为">
      <formula>NOT(ISERROR(SEARCH("库存为",AU404)))</formula>
    </cfRule>
  </conditionalFormatting>
  <conditionalFormatting sqref="AU405">
    <cfRule type="cellIs" dxfId="0" priority="2838" operator="lessThan">
      <formula>20</formula>
    </cfRule>
    <cfRule type="cellIs" dxfId="1" priority="1759" operator="greaterThan">
      <formula>120</formula>
    </cfRule>
    <cfRule type="containsText" dxfId="2" priority="680" operator="between" text="库存为">
      <formula>NOT(ISERROR(SEARCH("库存为",AU405)))</formula>
    </cfRule>
  </conditionalFormatting>
  <conditionalFormatting sqref="AU406">
    <cfRule type="cellIs" dxfId="0" priority="2837" operator="lessThan">
      <formula>20</formula>
    </cfRule>
    <cfRule type="cellIs" dxfId="1" priority="1758" operator="greaterThan">
      <formula>120</formula>
    </cfRule>
    <cfRule type="containsText" dxfId="2" priority="679" operator="between" text="库存为">
      <formula>NOT(ISERROR(SEARCH("库存为",AU406)))</formula>
    </cfRule>
  </conditionalFormatting>
  <conditionalFormatting sqref="AU407">
    <cfRule type="cellIs" dxfId="0" priority="2836" operator="lessThan">
      <formula>20</formula>
    </cfRule>
    <cfRule type="cellIs" dxfId="1" priority="1757" operator="greaterThan">
      <formula>120</formula>
    </cfRule>
    <cfRule type="containsText" dxfId="2" priority="678" operator="between" text="库存为">
      <formula>NOT(ISERROR(SEARCH("库存为",AU407)))</formula>
    </cfRule>
  </conditionalFormatting>
  <conditionalFormatting sqref="AU408">
    <cfRule type="cellIs" dxfId="0" priority="2835" operator="lessThan">
      <formula>20</formula>
    </cfRule>
    <cfRule type="cellIs" dxfId="1" priority="1756" operator="greaterThan">
      <formula>120</formula>
    </cfRule>
    <cfRule type="containsText" dxfId="2" priority="677" operator="between" text="库存为">
      <formula>NOT(ISERROR(SEARCH("库存为",AU408)))</formula>
    </cfRule>
  </conditionalFormatting>
  <conditionalFormatting sqref="AU409">
    <cfRule type="cellIs" dxfId="0" priority="2834" operator="lessThan">
      <formula>20</formula>
    </cfRule>
    <cfRule type="cellIs" dxfId="1" priority="1755" operator="greaterThan">
      <formula>120</formula>
    </cfRule>
    <cfRule type="containsText" dxfId="2" priority="676" operator="between" text="库存为">
      <formula>NOT(ISERROR(SEARCH("库存为",AU409)))</formula>
    </cfRule>
  </conditionalFormatting>
  <conditionalFormatting sqref="AU410">
    <cfRule type="cellIs" dxfId="0" priority="2833" operator="lessThan">
      <formula>20</formula>
    </cfRule>
    <cfRule type="cellIs" dxfId="1" priority="1754" operator="greaterThan">
      <formula>120</formula>
    </cfRule>
    <cfRule type="containsText" dxfId="2" priority="675" operator="between" text="库存为">
      <formula>NOT(ISERROR(SEARCH("库存为",AU410)))</formula>
    </cfRule>
  </conditionalFormatting>
  <conditionalFormatting sqref="AU411">
    <cfRule type="cellIs" dxfId="0" priority="2832" operator="lessThan">
      <formula>20</formula>
    </cfRule>
    <cfRule type="cellIs" dxfId="1" priority="1753" operator="greaterThan">
      <formula>120</formula>
    </cfRule>
    <cfRule type="containsText" dxfId="2" priority="674" operator="between" text="库存为">
      <formula>NOT(ISERROR(SEARCH("库存为",AU411)))</formula>
    </cfRule>
  </conditionalFormatting>
  <conditionalFormatting sqref="AU412">
    <cfRule type="cellIs" dxfId="0" priority="2831" operator="lessThan">
      <formula>20</formula>
    </cfRule>
    <cfRule type="cellIs" dxfId="1" priority="1752" operator="greaterThan">
      <formula>120</formula>
    </cfRule>
    <cfRule type="containsText" dxfId="2" priority="673" operator="between" text="库存为">
      <formula>NOT(ISERROR(SEARCH("库存为",AU412)))</formula>
    </cfRule>
  </conditionalFormatting>
  <conditionalFormatting sqref="AU413">
    <cfRule type="cellIs" dxfId="0" priority="2830" operator="lessThan">
      <formula>20</formula>
    </cfRule>
    <cfRule type="cellIs" dxfId="1" priority="1751" operator="greaterThan">
      <formula>120</formula>
    </cfRule>
    <cfRule type="containsText" dxfId="2" priority="672" operator="between" text="库存为">
      <formula>NOT(ISERROR(SEARCH("库存为",AU413)))</formula>
    </cfRule>
  </conditionalFormatting>
  <conditionalFormatting sqref="AU414">
    <cfRule type="cellIs" dxfId="0" priority="2829" operator="lessThan">
      <formula>20</formula>
    </cfRule>
    <cfRule type="cellIs" dxfId="1" priority="1750" operator="greaterThan">
      <formula>120</formula>
    </cfRule>
    <cfRule type="containsText" dxfId="2" priority="671" operator="between" text="库存为">
      <formula>NOT(ISERROR(SEARCH("库存为",AU414)))</formula>
    </cfRule>
  </conditionalFormatting>
  <conditionalFormatting sqref="AU415">
    <cfRule type="cellIs" dxfId="0" priority="2828" operator="lessThan">
      <formula>20</formula>
    </cfRule>
    <cfRule type="cellIs" dxfId="1" priority="1749" operator="greaterThan">
      <formula>120</formula>
    </cfRule>
    <cfRule type="containsText" dxfId="2" priority="670" operator="between" text="库存为">
      <formula>NOT(ISERROR(SEARCH("库存为",AU415)))</formula>
    </cfRule>
  </conditionalFormatting>
  <conditionalFormatting sqref="AU416">
    <cfRule type="cellIs" dxfId="0" priority="2827" operator="lessThan">
      <formula>20</formula>
    </cfRule>
    <cfRule type="cellIs" dxfId="1" priority="1748" operator="greaterThan">
      <formula>120</formula>
    </cfRule>
    <cfRule type="containsText" dxfId="2" priority="669" operator="between" text="库存为">
      <formula>NOT(ISERROR(SEARCH("库存为",AU416)))</formula>
    </cfRule>
  </conditionalFormatting>
  <conditionalFormatting sqref="AU417">
    <cfRule type="cellIs" dxfId="0" priority="2826" operator="lessThan">
      <formula>20</formula>
    </cfRule>
    <cfRule type="cellIs" dxfId="1" priority="1747" operator="greaterThan">
      <formula>120</formula>
    </cfRule>
    <cfRule type="containsText" dxfId="2" priority="668" operator="between" text="库存为">
      <formula>NOT(ISERROR(SEARCH("库存为",AU417)))</formula>
    </cfRule>
  </conditionalFormatting>
  <conditionalFormatting sqref="AU418">
    <cfRule type="cellIs" dxfId="0" priority="2825" operator="lessThan">
      <formula>20</formula>
    </cfRule>
    <cfRule type="cellIs" dxfId="1" priority="1746" operator="greaterThan">
      <formula>120</formula>
    </cfRule>
    <cfRule type="containsText" dxfId="2" priority="667" operator="between" text="库存为">
      <formula>NOT(ISERROR(SEARCH("库存为",AU418)))</formula>
    </cfRule>
  </conditionalFormatting>
  <conditionalFormatting sqref="AU419">
    <cfRule type="cellIs" dxfId="0" priority="2824" operator="lessThan">
      <formula>20</formula>
    </cfRule>
    <cfRule type="cellIs" dxfId="1" priority="1745" operator="greaterThan">
      <formula>120</formula>
    </cfRule>
    <cfRule type="containsText" dxfId="2" priority="666" operator="between" text="库存为">
      <formula>NOT(ISERROR(SEARCH("库存为",AU419)))</formula>
    </cfRule>
  </conditionalFormatting>
  <conditionalFormatting sqref="AU420">
    <cfRule type="cellIs" dxfId="0" priority="2823" operator="lessThan">
      <formula>20</formula>
    </cfRule>
    <cfRule type="cellIs" dxfId="1" priority="1744" operator="greaterThan">
      <formula>120</formula>
    </cfRule>
    <cfRule type="containsText" dxfId="2" priority="665" operator="between" text="库存为">
      <formula>NOT(ISERROR(SEARCH("库存为",AU420)))</formula>
    </cfRule>
  </conditionalFormatting>
  <conditionalFormatting sqref="AU421">
    <cfRule type="cellIs" dxfId="0" priority="2822" operator="lessThan">
      <formula>20</formula>
    </cfRule>
    <cfRule type="cellIs" dxfId="1" priority="1743" operator="greaterThan">
      <formula>120</formula>
    </cfRule>
    <cfRule type="containsText" dxfId="2" priority="664" operator="between" text="库存为">
      <formula>NOT(ISERROR(SEARCH("库存为",AU421)))</formula>
    </cfRule>
  </conditionalFormatting>
  <conditionalFormatting sqref="AU422">
    <cfRule type="cellIs" dxfId="0" priority="2821" operator="lessThan">
      <formula>20</formula>
    </cfRule>
    <cfRule type="cellIs" dxfId="1" priority="1742" operator="greaterThan">
      <formula>120</formula>
    </cfRule>
    <cfRule type="containsText" dxfId="2" priority="663" operator="between" text="库存为">
      <formula>NOT(ISERROR(SEARCH("库存为",AU422)))</formula>
    </cfRule>
  </conditionalFormatting>
  <conditionalFormatting sqref="AU423">
    <cfRule type="cellIs" dxfId="0" priority="2820" operator="lessThan">
      <formula>20</formula>
    </cfRule>
    <cfRule type="cellIs" dxfId="1" priority="1741" operator="greaterThan">
      <formula>120</formula>
    </cfRule>
    <cfRule type="containsText" dxfId="2" priority="662" operator="between" text="库存为">
      <formula>NOT(ISERROR(SEARCH("库存为",AU423)))</formula>
    </cfRule>
  </conditionalFormatting>
  <conditionalFormatting sqref="AU424">
    <cfRule type="cellIs" dxfId="0" priority="2819" operator="lessThan">
      <formula>20</formula>
    </cfRule>
    <cfRule type="cellIs" dxfId="1" priority="1740" operator="greaterThan">
      <formula>120</formula>
    </cfRule>
    <cfRule type="containsText" dxfId="2" priority="661" operator="between" text="库存为">
      <formula>NOT(ISERROR(SEARCH("库存为",AU424)))</formula>
    </cfRule>
  </conditionalFormatting>
  <conditionalFormatting sqref="AU425">
    <cfRule type="cellIs" dxfId="0" priority="2818" operator="lessThan">
      <formula>20</formula>
    </cfRule>
    <cfRule type="cellIs" dxfId="1" priority="1739" operator="greaterThan">
      <formula>120</formula>
    </cfRule>
    <cfRule type="containsText" dxfId="2" priority="660" operator="between" text="库存为">
      <formula>NOT(ISERROR(SEARCH("库存为",AU425)))</formula>
    </cfRule>
  </conditionalFormatting>
  <conditionalFormatting sqref="AU426">
    <cfRule type="cellIs" dxfId="0" priority="2817" operator="lessThan">
      <formula>20</formula>
    </cfRule>
    <cfRule type="cellIs" dxfId="1" priority="1738" operator="greaterThan">
      <formula>120</formula>
    </cfRule>
    <cfRule type="containsText" dxfId="2" priority="659" operator="between" text="库存为">
      <formula>NOT(ISERROR(SEARCH("库存为",AU426)))</formula>
    </cfRule>
  </conditionalFormatting>
  <conditionalFormatting sqref="AU427">
    <cfRule type="cellIs" dxfId="0" priority="2816" operator="lessThan">
      <formula>20</formula>
    </cfRule>
    <cfRule type="cellIs" dxfId="1" priority="1737" operator="greaterThan">
      <formula>120</formula>
    </cfRule>
    <cfRule type="containsText" dxfId="2" priority="658" operator="between" text="库存为">
      <formula>NOT(ISERROR(SEARCH("库存为",AU427)))</formula>
    </cfRule>
  </conditionalFormatting>
  <conditionalFormatting sqref="AU428">
    <cfRule type="cellIs" dxfId="0" priority="2815" operator="lessThan">
      <formula>20</formula>
    </cfRule>
    <cfRule type="cellIs" dxfId="1" priority="1736" operator="greaterThan">
      <formula>120</formula>
    </cfRule>
    <cfRule type="containsText" dxfId="2" priority="657" operator="between" text="库存为">
      <formula>NOT(ISERROR(SEARCH("库存为",AU428)))</formula>
    </cfRule>
  </conditionalFormatting>
  <conditionalFormatting sqref="AU429">
    <cfRule type="cellIs" dxfId="0" priority="2814" operator="lessThan">
      <formula>20</formula>
    </cfRule>
    <cfRule type="cellIs" dxfId="1" priority="1735" operator="greaterThan">
      <formula>120</formula>
    </cfRule>
    <cfRule type="containsText" dxfId="2" priority="656" operator="between" text="库存为">
      <formula>NOT(ISERROR(SEARCH("库存为",AU429)))</formula>
    </cfRule>
  </conditionalFormatting>
  <conditionalFormatting sqref="AU430">
    <cfRule type="cellIs" dxfId="0" priority="2813" operator="lessThan">
      <formula>20</formula>
    </cfRule>
    <cfRule type="cellIs" dxfId="1" priority="1734" operator="greaterThan">
      <formula>120</formula>
    </cfRule>
    <cfRule type="containsText" dxfId="2" priority="655" operator="between" text="库存为">
      <formula>NOT(ISERROR(SEARCH("库存为",AU430)))</formula>
    </cfRule>
  </conditionalFormatting>
  <conditionalFormatting sqref="AU431">
    <cfRule type="cellIs" dxfId="0" priority="2812" operator="lessThan">
      <formula>20</formula>
    </cfRule>
    <cfRule type="cellIs" dxfId="1" priority="1733" operator="greaterThan">
      <formula>120</formula>
    </cfRule>
    <cfRule type="containsText" dxfId="2" priority="654" operator="between" text="库存为">
      <formula>NOT(ISERROR(SEARCH("库存为",AU431)))</formula>
    </cfRule>
  </conditionalFormatting>
  <conditionalFormatting sqref="AU432">
    <cfRule type="cellIs" dxfId="0" priority="2811" operator="lessThan">
      <formula>20</formula>
    </cfRule>
    <cfRule type="cellIs" dxfId="1" priority="1732" operator="greaterThan">
      <formula>120</formula>
    </cfRule>
    <cfRule type="containsText" dxfId="2" priority="653" operator="between" text="库存为">
      <formula>NOT(ISERROR(SEARCH("库存为",AU432)))</formula>
    </cfRule>
  </conditionalFormatting>
  <conditionalFormatting sqref="AU433">
    <cfRule type="cellIs" dxfId="0" priority="2810" operator="lessThan">
      <formula>20</formula>
    </cfRule>
    <cfRule type="cellIs" dxfId="1" priority="1731" operator="greaterThan">
      <formula>120</formula>
    </cfRule>
    <cfRule type="containsText" dxfId="2" priority="652" operator="between" text="库存为">
      <formula>NOT(ISERROR(SEARCH("库存为",AU433)))</formula>
    </cfRule>
  </conditionalFormatting>
  <conditionalFormatting sqref="AU434">
    <cfRule type="cellIs" dxfId="0" priority="2809" operator="lessThan">
      <formula>20</formula>
    </cfRule>
    <cfRule type="cellIs" dxfId="1" priority="1730" operator="greaterThan">
      <formula>120</formula>
    </cfRule>
    <cfRule type="containsText" dxfId="2" priority="651" operator="between" text="库存为">
      <formula>NOT(ISERROR(SEARCH("库存为",AU434)))</formula>
    </cfRule>
  </conditionalFormatting>
  <conditionalFormatting sqref="AU435">
    <cfRule type="cellIs" dxfId="0" priority="2808" operator="lessThan">
      <formula>20</formula>
    </cfRule>
    <cfRule type="cellIs" dxfId="1" priority="1729" operator="greaterThan">
      <formula>120</formula>
    </cfRule>
    <cfRule type="containsText" dxfId="2" priority="650" operator="between" text="库存为">
      <formula>NOT(ISERROR(SEARCH("库存为",AU435)))</formula>
    </cfRule>
  </conditionalFormatting>
  <conditionalFormatting sqref="AU436">
    <cfRule type="cellIs" dxfId="0" priority="2807" operator="lessThan">
      <formula>20</formula>
    </cfRule>
    <cfRule type="cellIs" dxfId="1" priority="1728" operator="greaterThan">
      <formula>120</formula>
    </cfRule>
    <cfRule type="containsText" dxfId="2" priority="649" operator="between" text="库存为">
      <formula>NOT(ISERROR(SEARCH("库存为",AU436)))</formula>
    </cfRule>
  </conditionalFormatting>
  <conditionalFormatting sqref="AU437">
    <cfRule type="cellIs" dxfId="0" priority="2806" operator="lessThan">
      <formula>20</formula>
    </cfRule>
    <cfRule type="cellIs" dxfId="1" priority="1727" operator="greaterThan">
      <formula>120</formula>
    </cfRule>
    <cfRule type="containsText" dxfId="2" priority="648" operator="between" text="库存为">
      <formula>NOT(ISERROR(SEARCH("库存为",AU437)))</formula>
    </cfRule>
  </conditionalFormatting>
  <conditionalFormatting sqref="AU438">
    <cfRule type="cellIs" dxfId="0" priority="2805" operator="lessThan">
      <formula>20</formula>
    </cfRule>
    <cfRule type="cellIs" dxfId="1" priority="1726" operator="greaterThan">
      <formula>120</formula>
    </cfRule>
    <cfRule type="containsText" dxfId="2" priority="647" operator="between" text="库存为">
      <formula>NOT(ISERROR(SEARCH("库存为",AU438)))</formula>
    </cfRule>
  </conditionalFormatting>
  <conditionalFormatting sqref="AU439">
    <cfRule type="cellIs" dxfId="0" priority="2804" operator="lessThan">
      <formula>20</formula>
    </cfRule>
    <cfRule type="cellIs" dxfId="1" priority="1725" operator="greaterThan">
      <formula>120</formula>
    </cfRule>
    <cfRule type="containsText" dxfId="2" priority="646" operator="between" text="库存为">
      <formula>NOT(ISERROR(SEARCH("库存为",AU439)))</formula>
    </cfRule>
  </conditionalFormatting>
  <conditionalFormatting sqref="AU440">
    <cfRule type="cellIs" dxfId="0" priority="2803" operator="lessThan">
      <formula>20</formula>
    </cfRule>
    <cfRule type="cellIs" dxfId="1" priority="1724" operator="greaterThan">
      <formula>120</formula>
    </cfRule>
    <cfRule type="containsText" dxfId="2" priority="645" operator="between" text="库存为">
      <formula>NOT(ISERROR(SEARCH("库存为",AU440)))</formula>
    </cfRule>
  </conditionalFormatting>
  <conditionalFormatting sqref="AU441">
    <cfRule type="cellIs" dxfId="0" priority="2802" operator="lessThan">
      <formula>20</formula>
    </cfRule>
    <cfRule type="cellIs" dxfId="1" priority="1723" operator="greaterThan">
      <formula>120</formula>
    </cfRule>
    <cfRule type="containsText" dxfId="2" priority="644" operator="between" text="库存为">
      <formula>NOT(ISERROR(SEARCH("库存为",AU441)))</formula>
    </cfRule>
  </conditionalFormatting>
  <conditionalFormatting sqref="AU442">
    <cfRule type="cellIs" dxfId="0" priority="2801" operator="lessThan">
      <formula>20</formula>
    </cfRule>
    <cfRule type="cellIs" dxfId="1" priority="1722" operator="greaterThan">
      <formula>120</formula>
    </cfRule>
    <cfRule type="containsText" dxfId="2" priority="643" operator="between" text="库存为">
      <formula>NOT(ISERROR(SEARCH("库存为",AU442)))</formula>
    </cfRule>
  </conditionalFormatting>
  <conditionalFormatting sqref="AU443">
    <cfRule type="cellIs" dxfId="0" priority="2800" operator="lessThan">
      <formula>20</formula>
    </cfRule>
    <cfRule type="cellIs" dxfId="1" priority="1721" operator="greaterThan">
      <formula>120</formula>
    </cfRule>
    <cfRule type="containsText" dxfId="2" priority="642" operator="between" text="库存为">
      <formula>NOT(ISERROR(SEARCH("库存为",AU443)))</formula>
    </cfRule>
  </conditionalFormatting>
  <conditionalFormatting sqref="AU444">
    <cfRule type="cellIs" dxfId="0" priority="2799" operator="lessThan">
      <formula>20</formula>
    </cfRule>
    <cfRule type="cellIs" dxfId="1" priority="1720" operator="greaterThan">
      <formula>120</formula>
    </cfRule>
    <cfRule type="containsText" dxfId="2" priority="641" operator="between" text="库存为">
      <formula>NOT(ISERROR(SEARCH("库存为",AU444)))</formula>
    </cfRule>
  </conditionalFormatting>
  <conditionalFormatting sqref="AU445">
    <cfRule type="cellIs" dxfId="0" priority="2798" operator="lessThan">
      <formula>20</formula>
    </cfRule>
    <cfRule type="cellIs" dxfId="1" priority="1719" operator="greaterThan">
      <formula>120</formula>
    </cfRule>
    <cfRule type="containsText" dxfId="2" priority="640" operator="between" text="库存为">
      <formula>NOT(ISERROR(SEARCH("库存为",AU445)))</formula>
    </cfRule>
  </conditionalFormatting>
  <conditionalFormatting sqref="AU446">
    <cfRule type="cellIs" dxfId="0" priority="2797" operator="lessThan">
      <formula>20</formula>
    </cfRule>
    <cfRule type="cellIs" dxfId="1" priority="1718" operator="greaterThan">
      <formula>120</formula>
    </cfRule>
    <cfRule type="containsText" dxfId="2" priority="639" operator="between" text="库存为">
      <formula>NOT(ISERROR(SEARCH("库存为",AU446)))</formula>
    </cfRule>
  </conditionalFormatting>
  <conditionalFormatting sqref="AU447">
    <cfRule type="cellIs" dxfId="0" priority="2796" operator="lessThan">
      <formula>20</formula>
    </cfRule>
    <cfRule type="cellIs" dxfId="1" priority="1717" operator="greaterThan">
      <formula>120</formula>
    </cfRule>
    <cfRule type="containsText" dxfId="2" priority="638" operator="between" text="库存为">
      <formula>NOT(ISERROR(SEARCH("库存为",AU447)))</formula>
    </cfRule>
  </conditionalFormatting>
  <conditionalFormatting sqref="AU448">
    <cfRule type="cellIs" dxfId="0" priority="2795" operator="lessThan">
      <formula>20</formula>
    </cfRule>
    <cfRule type="cellIs" dxfId="1" priority="1716" operator="greaterThan">
      <formula>120</formula>
    </cfRule>
    <cfRule type="containsText" dxfId="2" priority="637" operator="between" text="库存为">
      <formula>NOT(ISERROR(SEARCH("库存为",AU448)))</formula>
    </cfRule>
  </conditionalFormatting>
  <conditionalFormatting sqref="AU449">
    <cfRule type="cellIs" dxfId="0" priority="2794" operator="lessThan">
      <formula>20</formula>
    </cfRule>
    <cfRule type="cellIs" dxfId="1" priority="1715" operator="greaterThan">
      <formula>120</formula>
    </cfRule>
    <cfRule type="containsText" dxfId="2" priority="636" operator="between" text="库存为">
      <formula>NOT(ISERROR(SEARCH("库存为",AU449)))</formula>
    </cfRule>
  </conditionalFormatting>
  <conditionalFormatting sqref="AU450">
    <cfRule type="cellIs" dxfId="0" priority="2793" operator="lessThan">
      <formula>20</formula>
    </cfRule>
    <cfRule type="cellIs" dxfId="1" priority="1714" operator="greaterThan">
      <formula>120</formula>
    </cfRule>
    <cfRule type="containsText" dxfId="2" priority="635" operator="between" text="库存为">
      <formula>NOT(ISERROR(SEARCH("库存为",AU450)))</formula>
    </cfRule>
  </conditionalFormatting>
  <conditionalFormatting sqref="AU451">
    <cfRule type="cellIs" dxfId="0" priority="2792" operator="lessThan">
      <formula>20</formula>
    </cfRule>
    <cfRule type="cellIs" dxfId="1" priority="1713" operator="greaterThan">
      <formula>120</formula>
    </cfRule>
    <cfRule type="containsText" dxfId="2" priority="634" operator="between" text="库存为">
      <formula>NOT(ISERROR(SEARCH("库存为",AU451)))</formula>
    </cfRule>
  </conditionalFormatting>
  <conditionalFormatting sqref="AU452">
    <cfRule type="cellIs" dxfId="0" priority="2791" operator="lessThan">
      <formula>20</formula>
    </cfRule>
    <cfRule type="cellIs" dxfId="1" priority="1712" operator="greaterThan">
      <formula>120</formula>
    </cfRule>
    <cfRule type="containsText" dxfId="2" priority="633" operator="between" text="库存为">
      <formula>NOT(ISERROR(SEARCH("库存为",AU452)))</formula>
    </cfRule>
  </conditionalFormatting>
  <conditionalFormatting sqref="AU453">
    <cfRule type="cellIs" dxfId="0" priority="2790" operator="lessThan">
      <formula>20</formula>
    </cfRule>
    <cfRule type="cellIs" dxfId="1" priority="1711" operator="greaterThan">
      <formula>120</formula>
    </cfRule>
    <cfRule type="containsText" dxfId="2" priority="632" operator="between" text="库存为">
      <formula>NOT(ISERROR(SEARCH("库存为",AU453)))</formula>
    </cfRule>
  </conditionalFormatting>
  <conditionalFormatting sqref="AU454">
    <cfRule type="cellIs" dxfId="0" priority="2789" operator="lessThan">
      <formula>20</formula>
    </cfRule>
    <cfRule type="cellIs" dxfId="1" priority="1710" operator="greaterThan">
      <formula>120</formula>
    </cfRule>
    <cfRule type="containsText" dxfId="2" priority="631" operator="between" text="库存为">
      <formula>NOT(ISERROR(SEARCH("库存为",AU454)))</formula>
    </cfRule>
  </conditionalFormatting>
  <conditionalFormatting sqref="AU455">
    <cfRule type="cellIs" dxfId="0" priority="2788" operator="lessThan">
      <formula>20</formula>
    </cfRule>
    <cfRule type="cellIs" dxfId="1" priority="1709" operator="greaterThan">
      <formula>120</formula>
    </cfRule>
    <cfRule type="containsText" dxfId="2" priority="630" operator="between" text="库存为">
      <formula>NOT(ISERROR(SEARCH("库存为",AU455)))</formula>
    </cfRule>
  </conditionalFormatting>
  <conditionalFormatting sqref="AU456">
    <cfRule type="cellIs" dxfId="0" priority="2787" operator="lessThan">
      <formula>20</formula>
    </cfRule>
    <cfRule type="cellIs" dxfId="1" priority="1708" operator="greaterThan">
      <formula>120</formula>
    </cfRule>
    <cfRule type="containsText" dxfId="2" priority="629" operator="between" text="库存为">
      <formula>NOT(ISERROR(SEARCH("库存为",AU456)))</formula>
    </cfRule>
  </conditionalFormatting>
  <conditionalFormatting sqref="AU457">
    <cfRule type="cellIs" dxfId="0" priority="2786" operator="lessThan">
      <formula>20</formula>
    </cfRule>
    <cfRule type="cellIs" dxfId="1" priority="1707" operator="greaterThan">
      <formula>120</formula>
    </cfRule>
    <cfRule type="containsText" dxfId="2" priority="628" operator="between" text="库存为">
      <formula>NOT(ISERROR(SEARCH("库存为",AU457)))</formula>
    </cfRule>
  </conditionalFormatting>
  <conditionalFormatting sqref="AU458">
    <cfRule type="cellIs" dxfId="0" priority="2785" operator="lessThan">
      <formula>20</formula>
    </cfRule>
    <cfRule type="cellIs" dxfId="1" priority="1706" operator="greaterThan">
      <formula>120</formula>
    </cfRule>
    <cfRule type="containsText" dxfId="2" priority="627" operator="between" text="库存为">
      <formula>NOT(ISERROR(SEARCH("库存为",AU458)))</formula>
    </cfRule>
  </conditionalFormatting>
  <conditionalFormatting sqref="AU459">
    <cfRule type="cellIs" dxfId="0" priority="2784" operator="lessThan">
      <formula>20</formula>
    </cfRule>
    <cfRule type="cellIs" dxfId="1" priority="1705" operator="greaterThan">
      <formula>120</formula>
    </cfRule>
    <cfRule type="containsText" dxfId="2" priority="626" operator="between" text="库存为">
      <formula>NOT(ISERROR(SEARCH("库存为",AU459)))</formula>
    </cfRule>
  </conditionalFormatting>
  <conditionalFormatting sqref="AU460">
    <cfRule type="cellIs" dxfId="0" priority="2783" operator="lessThan">
      <formula>20</formula>
    </cfRule>
    <cfRule type="cellIs" dxfId="1" priority="1704" operator="greaterThan">
      <formula>120</formula>
    </cfRule>
    <cfRule type="containsText" dxfId="2" priority="625" operator="between" text="库存为">
      <formula>NOT(ISERROR(SEARCH("库存为",AU460)))</formula>
    </cfRule>
  </conditionalFormatting>
  <conditionalFormatting sqref="AU461">
    <cfRule type="cellIs" dxfId="0" priority="2782" operator="lessThan">
      <formula>20</formula>
    </cfRule>
    <cfRule type="cellIs" dxfId="1" priority="1703" operator="greaterThan">
      <formula>120</formula>
    </cfRule>
    <cfRule type="containsText" dxfId="2" priority="624" operator="between" text="库存为">
      <formula>NOT(ISERROR(SEARCH("库存为",AU461)))</formula>
    </cfRule>
  </conditionalFormatting>
  <conditionalFormatting sqref="AU462">
    <cfRule type="cellIs" dxfId="0" priority="2781" operator="lessThan">
      <formula>20</formula>
    </cfRule>
    <cfRule type="cellIs" dxfId="1" priority="1702" operator="greaterThan">
      <formula>120</formula>
    </cfRule>
    <cfRule type="containsText" dxfId="2" priority="623" operator="between" text="库存为">
      <formula>NOT(ISERROR(SEARCH("库存为",AU462)))</formula>
    </cfRule>
  </conditionalFormatting>
  <conditionalFormatting sqref="AU463">
    <cfRule type="cellIs" dxfId="0" priority="2780" operator="lessThan">
      <formula>20</formula>
    </cfRule>
    <cfRule type="cellIs" dxfId="1" priority="1701" operator="greaterThan">
      <formula>120</formula>
    </cfRule>
    <cfRule type="containsText" dxfId="2" priority="622" operator="between" text="库存为">
      <formula>NOT(ISERROR(SEARCH("库存为",AU463)))</formula>
    </cfRule>
  </conditionalFormatting>
  <conditionalFormatting sqref="AU464">
    <cfRule type="cellIs" dxfId="0" priority="2779" operator="lessThan">
      <formula>20</formula>
    </cfRule>
    <cfRule type="cellIs" dxfId="1" priority="1700" operator="greaterThan">
      <formula>120</formula>
    </cfRule>
    <cfRule type="containsText" dxfId="2" priority="621" operator="between" text="库存为">
      <formula>NOT(ISERROR(SEARCH("库存为",AU464)))</formula>
    </cfRule>
  </conditionalFormatting>
  <conditionalFormatting sqref="AU465">
    <cfRule type="cellIs" dxfId="0" priority="2778" operator="lessThan">
      <formula>20</formula>
    </cfRule>
    <cfRule type="cellIs" dxfId="1" priority="1699" operator="greaterThan">
      <formula>120</formula>
    </cfRule>
    <cfRule type="containsText" dxfId="2" priority="620" operator="between" text="库存为">
      <formula>NOT(ISERROR(SEARCH("库存为",AU465)))</formula>
    </cfRule>
  </conditionalFormatting>
  <conditionalFormatting sqref="AU466">
    <cfRule type="cellIs" dxfId="0" priority="2777" operator="lessThan">
      <formula>20</formula>
    </cfRule>
    <cfRule type="cellIs" dxfId="1" priority="1698" operator="greaterThan">
      <formula>120</formula>
    </cfRule>
    <cfRule type="containsText" dxfId="2" priority="619" operator="between" text="库存为">
      <formula>NOT(ISERROR(SEARCH("库存为",AU466)))</formula>
    </cfRule>
  </conditionalFormatting>
  <conditionalFormatting sqref="AU467">
    <cfRule type="cellIs" dxfId="0" priority="2776" operator="lessThan">
      <formula>20</formula>
    </cfRule>
    <cfRule type="cellIs" dxfId="1" priority="1697" operator="greaterThan">
      <formula>120</formula>
    </cfRule>
    <cfRule type="containsText" dxfId="2" priority="618" operator="between" text="库存为">
      <formula>NOT(ISERROR(SEARCH("库存为",AU467)))</formula>
    </cfRule>
  </conditionalFormatting>
  <conditionalFormatting sqref="AU468">
    <cfRule type="cellIs" dxfId="0" priority="2775" operator="lessThan">
      <formula>20</formula>
    </cfRule>
    <cfRule type="cellIs" dxfId="1" priority="1696" operator="greaterThan">
      <formula>120</formula>
    </cfRule>
    <cfRule type="containsText" dxfId="2" priority="617" operator="between" text="库存为">
      <formula>NOT(ISERROR(SEARCH("库存为",AU468)))</formula>
    </cfRule>
  </conditionalFormatting>
  <conditionalFormatting sqref="AU469">
    <cfRule type="cellIs" dxfId="0" priority="2774" operator="lessThan">
      <formula>20</formula>
    </cfRule>
    <cfRule type="cellIs" dxfId="1" priority="1695" operator="greaterThan">
      <formula>120</formula>
    </cfRule>
    <cfRule type="containsText" dxfId="2" priority="616" operator="between" text="库存为">
      <formula>NOT(ISERROR(SEARCH("库存为",AU469)))</formula>
    </cfRule>
  </conditionalFormatting>
  <conditionalFormatting sqref="AU470">
    <cfRule type="cellIs" dxfId="0" priority="2773" operator="lessThan">
      <formula>20</formula>
    </cfRule>
    <cfRule type="cellIs" dxfId="1" priority="1694" operator="greaterThan">
      <formula>120</formula>
    </cfRule>
    <cfRule type="containsText" dxfId="2" priority="615" operator="between" text="库存为">
      <formula>NOT(ISERROR(SEARCH("库存为",AU470)))</formula>
    </cfRule>
  </conditionalFormatting>
  <conditionalFormatting sqref="AU471">
    <cfRule type="cellIs" dxfId="0" priority="2772" operator="lessThan">
      <formula>20</formula>
    </cfRule>
    <cfRule type="cellIs" dxfId="1" priority="1693" operator="greaterThan">
      <formula>120</formula>
    </cfRule>
    <cfRule type="containsText" dxfId="2" priority="614" operator="between" text="库存为">
      <formula>NOT(ISERROR(SEARCH("库存为",AU471)))</formula>
    </cfRule>
  </conditionalFormatting>
  <conditionalFormatting sqref="AU472">
    <cfRule type="cellIs" dxfId="0" priority="2771" operator="lessThan">
      <formula>20</formula>
    </cfRule>
    <cfRule type="cellIs" dxfId="1" priority="1692" operator="greaterThan">
      <formula>120</formula>
    </cfRule>
    <cfRule type="containsText" dxfId="2" priority="613" operator="between" text="库存为">
      <formula>NOT(ISERROR(SEARCH("库存为",AU472)))</formula>
    </cfRule>
  </conditionalFormatting>
  <conditionalFormatting sqref="AU473">
    <cfRule type="cellIs" dxfId="0" priority="2770" operator="lessThan">
      <formula>20</formula>
    </cfRule>
    <cfRule type="cellIs" dxfId="1" priority="1691" operator="greaterThan">
      <formula>120</formula>
    </cfRule>
    <cfRule type="containsText" dxfId="2" priority="612" operator="between" text="库存为">
      <formula>NOT(ISERROR(SEARCH("库存为",AU473)))</formula>
    </cfRule>
  </conditionalFormatting>
  <conditionalFormatting sqref="AU474">
    <cfRule type="cellIs" dxfId="0" priority="2769" operator="lessThan">
      <formula>20</formula>
    </cfRule>
    <cfRule type="cellIs" dxfId="1" priority="1690" operator="greaterThan">
      <formula>120</formula>
    </cfRule>
    <cfRule type="containsText" dxfId="2" priority="611" operator="between" text="库存为">
      <formula>NOT(ISERROR(SEARCH("库存为",AU474)))</formula>
    </cfRule>
  </conditionalFormatting>
  <conditionalFormatting sqref="AU475">
    <cfRule type="cellIs" dxfId="0" priority="2768" operator="lessThan">
      <formula>20</formula>
    </cfRule>
    <cfRule type="cellIs" dxfId="1" priority="1689" operator="greaterThan">
      <formula>120</formula>
    </cfRule>
    <cfRule type="containsText" dxfId="2" priority="610" operator="between" text="库存为">
      <formula>NOT(ISERROR(SEARCH("库存为",AU475)))</formula>
    </cfRule>
  </conditionalFormatting>
  <conditionalFormatting sqref="AU476">
    <cfRule type="cellIs" dxfId="0" priority="2767" operator="lessThan">
      <formula>20</formula>
    </cfRule>
    <cfRule type="cellIs" dxfId="1" priority="1688" operator="greaterThan">
      <formula>120</formula>
    </cfRule>
    <cfRule type="containsText" dxfId="2" priority="609" operator="between" text="库存为">
      <formula>NOT(ISERROR(SEARCH("库存为",AU476)))</formula>
    </cfRule>
  </conditionalFormatting>
  <conditionalFormatting sqref="AU477">
    <cfRule type="cellIs" dxfId="0" priority="2766" operator="lessThan">
      <formula>20</formula>
    </cfRule>
    <cfRule type="cellIs" dxfId="1" priority="1687" operator="greaterThan">
      <formula>120</formula>
    </cfRule>
    <cfRule type="containsText" dxfId="2" priority="608" operator="between" text="库存为">
      <formula>NOT(ISERROR(SEARCH("库存为",AU477)))</formula>
    </cfRule>
  </conditionalFormatting>
  <conditionalFormatting sqref="AU478">
    <cfRule type="cellIs" dxfId="0" priority="2765" operator="lessThan">
      <formula>20</formula>
    </cfRule>
    <cfRule type="cellIs" dxfId="1" priority="1686" operator="greaterThan">
      <formula>120</formula>
    </cfRule>
    <cfRule type="containsText" dxfId="2" priority="607" operator="between" text="库存为">
      <formula>NOT(ISERROR(SEARCH("库存为",AU478)))</formula>
    </cfRule>
  </conditionalFormatting>
  <conditionalFormatting sqref="AU479">
    <cfRule type="cellIs" dxfId="0" priority="2764" operator="lessThan">
      <formula>20</formula>
    </cfRule>
    <cfRule type="cellIs" dxfId="1" priority="1685" operator="greaterThan">
      <formula>120</formula>
    </cfRule>
    <cfRule type="containsText" dxfId="2" priority="606" operator="between" text="库存为">
      <formula>NOT(ISERROR(SEARCH("库存为",AU479)))</formula>
    </cfRule>
  </conditionalFormatting>
  <conditionalFormatting sqref="AU480">
    <cfRule type="cellIs" dxfId="0" priority="2763" operator="lessThan">
      <formula>20</formula>
    </cfRule>
    <cfRule type="cellIs" dxfId="1" priority="1684" operator="greaterThan">
      <formula>120</formula>
    </cfRule>
    <cfRule type="containsText" dxfId="2" priority="605" operator="between" text="库存为">
      <formula>NOT(ISERROR(SEARCH("库存为",AU480)))</formula>
    </cfRule>
  </conditionalFormatting>
  <conditionalFormatting sqref="AU481">
    <cfRule type="cellIs" dxfId="0" priority="2762" operator="lessThan">
      <formula>20</formula>
    </cfRule>
    <cfRule type="cellIs" dxfId="1" priority="1683" operator="greaterThan">
      <formula>120</formula>
    </cfRule>
    <cfRule type="containsText" dxfId="2" priority="604" operator="between" text="库存为">
      <formula>NOT(ISERROR(SEARCH("库存为",AU481)))</formula>
    </cfRule>
  </conditionalFormatting>
  <conditionalFormatting sqref="AU482">
    <cfRule type="cellIs" dxfId="0" priority="2761" operator="lessThan">
      <formula>20</formula>
    </cfRule>
    <cfRule type="cellIs" dxfId="1" priority="1682" operator="greaterThan">
      <formula>120</formula>
    </cfRule>
    <cfRule type="containsText" dxfId="2" priority="603" operator="between" text="库存为">
      <formula>NOT(ISERROR(SEARCH("库存为",AU482)))</formula>
    </cfRule>
  </conditionalFormatting>
  <conditionalFormatting sqref="AU483">
    <cfRule type="cellIs" dxfId="0" priority="2760" operator="lessThan">
      <formula>20</formula>
    </cfRule>
    <cfRule type="cellIs" dxfId="1" priority="1681" operator="greaterThan">
      <formula>120</formula>
    </cfRule>
    <cfRule type="containsText" dxfId="2" priority="602" operator="between" text="库存为">
      <formula>NOT(ISERROR(SEARCH("库存为",AU483)))</formula>
    </cfRule>
  </conditionalFormatting>
  <conditionalFormatting sqref="AU484">
    <cfRule type="cellIs" dxfId="0" priority="2759" operator="lessThan">
      <formula>20</formula>
    </cfRule>
    <cfRule type="cellIs" dxfId="1" priority="1680" operator="greaterThan">
      <formula>120</formula>
    </cfRule>
    <cfRule type="containsText" dxfId="2" priority="601" operator="between" text="库存为">
      <formula>NOT(ISERROR(SEARCH("库存为",AU484)))</formula>
    </cfRule>
  </conditionalFormatting>
  <conditionalFormatting sqref="AU485">
    <cfRule type="cellIs" dxfId="0" priority="2758" operator="lessThan">
      <formula>20</formula>
    </cfRule>
    <cfRule type="cellIs" dxfId="1" priority="1679" operator="greaterThan">
      <formula>120</formula>
    </cfRule>
    <cfRule type="containsText" dxfId="2" priority="600" operator="between" text="库存为">
      <formula>NOT(ISERROR(SEARCH("库存为",AU485)))</formula>
    </cfRule>
  </conditionalFormatting>
  <conditionalFormatting sqref="AU486">
    <cfRule type="cellIs" dxfId="0" priority="2757" operator="lessThan">
      <formula>20</formula>
    </cfRule>
    <cfRule type="cellIs" dxfId="1" priority="1678" operator="greaterThan">
      <formula>120</formula>
    </cfRule>
    <cfRule type="containsText" dxfId="2" priority="599" operator="between" text="库存为">
      <formula>NOT(ISERROR(SEARCH("库存为",AU486)))</formula>
    </cfRule>
  </conditionalFormatting>
  <conditionalFormatting sqref="AU487">
    <cfRule type="cellIs" dxfId="0" priority="2756" operator="lessThan">
      <formula>20</formula>
    </cfRule>
    <cfRule type="cellIs" dxfId="1" priority="1677" operator="greaterThan">
      <formula>120</formula>
    </cfRule>
    <cfRule type="containsText" dxfId="2" priority="598" operator="between" text="库存为">
      <formula>NOT(ISERROR(SEARCH("库存为",AU487)))</formula>
    </cfRule>
  </conditionalFormatting>
  <conditionalFormatting sqref="AU488">
    <cfRule type="cellIs" dxfId="0" priority="2755" operator="lessThan">
      <formula>20</formula>
    </cfRule>
    <cfRule type="cellIs" dxfId="1" priority="1676" operator="greaterThan">
      <formula>120</formula>
    </cfRule>
    <cfRule type="containsText" dxfId="2" priority="597" operator="between" text="库存为">
      <formula>NOT(ISERROR(SEARCH("库存为",AU488)))</formula>
    </cfRule>
  </conditionalFormatting>
  <conditionalFormatting sqref="AU489">
    <cfRule type="cellIs" dxfId="0" priority="2754" operator="lessThan">
      <formula>20</formula>
    </cfRule>
    <cfRule type="cellIs" dxfId="1" priority="1675" operator="greaterThan">
      <formula>120</formula>
    </cfRule>
    <cfRule type="containsText" dxfId="2" priority="596" operator="between" text="库存为">
      <formula>NOT(ISERROR(SEARCH("库存为",AU489)))</formula>
    </cfRule>
  </conditionalFormatting>
  <conditionalFormatting sqref="AU490">
    <cfRule type="cellIs" dxfId="0" priority="2753" operator="lessThan">
      <formula>20</formula>
    </cfRule>
    <cfRule type="cellIs" dxfId="1" priority="1674" operator="greaterThan">
      <formula>120</formula>
    </cfRule>
    <cfRule type="containsText" dxfId="2" priority="595" operator="between" text="库存为">
      <formula>NOT(ISERROR(SEARCH("库存为",AU490)))</formula>
    </cfRule>
  </conditionalFormatting>
  <conditionalFormatting sqref="AU491">
    <cfRule type="cellIs" dxfId="0" priority="2752" operator="lessThan">
      <formula>20</formula>
    </cfRule>
    <cfRule type="cellIs" dxfId="1" priority="1673" operator="greaterThan">
      <formula>120</formula>
    </cfRule>
    <cfRule type="containsText" dxfId="2" priority="594" operator="between" text="库存为">
      <formula>NOT(ISERROR(SEARCH("库存为",AU491)))</formula>
    </cfRule>
  </conditionalFormatting>
  <conditionalFormatting sqref="AU492">
    <cfRule type="cellIs" dxfId="0" priority="2751" operator="lessThan">
      <formula>20</formula>
    </cfRule>
    <cfRule type="cellIs" dxfId="1" priority="1672" operator="greaterThan">
      <formula>120</formula>
    </cfRule>
    <cfRule type="containsText" dxfId="2" priority="593" operator="between" text="库存为">
      <formula>NOT(ISERROR(SEARCH("库存为",AU492)))</formula>
    </cfRule>
  </conditionalFormatting>
  <conditionalFormatting sqref="AU493">
    <cfRule type="cellIs" dxfId="0" priority="2750" operator="lessThan">
      <formula>20</formula>
    </cfRule>
    <cfRule type="cellIs" dxfId="1" priority="1671" operator="greaterThan">
      <formula>120</formula>
    </cfRule>
    <cfRule type="containsText" dxfId="2" priority="592" operator="between" text="库存为">
      <formula>NOT(ISERROR(SEARCH("库存为",AU493)))</formula>
    </cfRule>
  </conditionalFormatting>
  <conditionalFormatting sqref="AU494">
    <cfRule type="cellIs" dxfId="0" priority="2749" operator="lessThan">
      <formula>20</formula>
    </cfRule>
    <cfRule type="cellIs" dxfId="1" priority="1670" operator="greaterThan">
      <formula>120</formula>
    </cfRule>
    <cfRule type="containsText" dxfId="2" priority="591" operator="between" text="库存为">
      <formula>NOT(ISERROR(SEARCH("库存为",AU494)))</formula>
    </cfRule>
  </conditionalFormatting>
  <conditionalFormatting sqref="AU495">
    <cfRule type="cellIs" dxfId="0" priority="2748" operator="lessThan">
      <formula>20</formula>
    </cfRule>
    <cfRule type="cellIs" dxfId="1" priority="1669" operator="greaterThan">
      <formula>120</formula>
    </cfRule>
    <cfRule type="containsText" dxfId="2" priority="590" operator="between" text="库存为">
      <formula>NOT(ISERROR(SEARCH("库存为",AU495)))</formula>
    </cfRule>
  </conditionalFormatting>
  <conditionalFormatting sqref="AU496">
    <cfRule type="cellIs" dxfId="0" priority="2747" operator="lessThan">
      <formula>20</formula>
    </cfRule>
    <cfRule type="cellIs" dxfId="1" priority="1668" operator="greaterThan">
      <formula>120</formula>
    </cfRule>
    <cfRule type="containsText" dxfId="2" priority="589" operator="between" text="库存为">
      <formula>NOT(ISERROR(SEARCH("库存为",AU496)))</formula>
    </cfRule>
  </conditionalFormatting>
  <conditionalFormatting sqref="AU497">
    <cfRule type="cellIs" dxfId="0" priority="2746" operator="lessThan">
      <formula>20</formula>
    </cfRule>
    <cfRule type="cellIs" dxfId="1" priority="1667" operator="greaterThan">
      <formula>120</formula>
    </cfRule>
    <cfRule type="containsText" dxfId="2" priority="588" operator="between" text="库存为">
      <formula>NOT(ISERROR(SEARCH("库存为",AU497)))</formula>
    </cfRule>
  </conditionalFormatting>
  <conditionalFormatting sqref="AU498">
    <cfRule type="cellIs" dxfId="0" priority="2745" operator="lessThan">
      <formula>20</formula>
    </cfRule>
    <cfRule type="cellIs" dxfId="1" priority="1666" operator="greaterThan">
      <formula>120</formula>
    </cfRule>
    <cfRule type="containsText" dxfId="2" priority="587" operator="between" text="库存为">
      <formula>NOT(ISERROR(SEARCH("库存为",AU498)))</formula>
    </cfRule>
  </conditionalFormatting>
  <conditionalFormatting sqref="AU499">
    <cfRule type="cellIs" dxfId="0" priority="2744" operator="lessThan">
      <formula>20</formula>
    </cfRule>
    <cfRule type="cellIs" dxfId="1" priority="1665" operator="greaterThan">
      <formula>120</formula>
    </cfRule>
    <cfRule type="containsText" dxfId="2" priority="586" operator="between" text="库存为">
      <formula>NOT(ISERROR(SEARCH("库存为",AU499)))</formula>
    </cfRule>
  </conditionalFormatting>
  <conditionalFormatting sqref="AU500">
    <cfRule type="cellIs" dxfId="0" priority="2743" operator="lessThan">
      <formula>20</formula>
    </cfRule>
    <cfRule type="cellIs" dxfId="1" priority="1664" operator="greaterThan">
      <formula>120</formula>
    </cfRule>
    <cfRule type="containsText" dxfId="2" priority="585" operator="between" text="库存为">
      <formula>NOT(ISERROR(SEARCH("库存为",AU500)))</formula>
    </cfRule>
  </conditionalFormatting>
  <conditionalFormatting sqref="AU501">
    <cfRule type="cellIs" dxfId="0" priority="2742" operator="lessThan">
      <formula>20</formula>
    </cfRule>
    <cfRule type="cellIs" dxfId="1" priority="1663" operator="greaterThan">
      <formula>120</formula>
    </cfRule>
    <cfRule type="containsText" dxfId="2" priority="584" operator="between" text="库存为">
      <formula>NOT(ISERROR(SEARCH("库存为",AU501)))</formula>
    </cfRule>
  </conditionalFormatting>
  <conditionalFormatting sqref="AU502">
    <cfRule type="cellIs" dxfId="0" priority="2741" operator="lessThan">
      <formula>20</formula>
    </cfRule>
    <cfRule type="cellIs" dxfId="1" priority="1662" operator="greaterThan">
      <formula>120</formula>
    </cfRule>
    <cfRule type="containsText" dxfId="2" priority="583" operator="between" text="库存为">
      <formula>NOT(ISERROR(SEARCH("库存为",AU502)))</formula>
    </cfRule>
  </conditionalFormatting>
  <conditionalFormatting sqref="AU503">
    <cfRule type="cellIs" dxfId="0" priority="2740" operator="lessThan">
      <formula>20</formula>
    </cfRule>
    <cfRule type="cellIs" dxfId="1" priority="1661" operator="greaterThan">
      <formula>120</formula>
    </cfRule>
    <cfRule type="containsText" dxfId="2" priority="582" operator="between" text="库存为">
      <formula>NOT(ISERROR(SEARCH("库存为",AU503)))</formula>
    </cfRule>
  </conditionalFormatting>
  <conditionalFormatting sqref="AU504">
    <cfRule type="cellIs" dxfId="0" priority="2739" operator="lessThan">
      <formula>20</formula>
    </cfRule>
    <cfRule type="cellIs" dxfId="1" priority="1660" operator="greaterThan">
      <formula>120</formula>
    </cfRule>
    <cfRule type="containsText" dxfId="2" priority="581" operator="between" text="库存为">
      <formula>NOT(ISERROR(SEARCH("库存为",AU504)))</formula>
    </cfRule>
  </conditionalFormatting>
  <conditionalFormatting sqref="AU505">
    <cfRule type="cellIs" dxfId="0" priority="2738" operator="lessThan">
      <formula>20</formula>
    </cfRule>
    <cfRule type="cellIs" dxfId="1" priority="1659" operator="greaterThan">
      <formula>120</formula>
    </cfRule>
    <cfRule type="containsText" dxfId="2" priority="580" operator="between" text="库存为">
      <formula>NOT(ISERROR(SEARCH("库存为",AU505)))</formula>
    </cfRule>
  </conditionalFormatting>
  <conditionalFormatting sqref="AU506">
    <cfRule type="cellIs" dxfId="0" priority="2737" operator="lessThan">
      <formula>20</formula>
    </cfRule>
    <cfRule type="cellIs" dxfId="1" priority="1658" operator="greaterThan">
      <formula>120</formula>
    </cfRule>
    <cfRule type="containsText" dxfId="2" priority="579" operator="between" text="库存为">
      <formula>NOT(ISERROR(SEARCH("库存为",AU506)))</formula>
    </cfRule>
  </conditionalFormatting>
  <conditionalFormatting sqref="AU507">
    <cfRule type="cellIs" dxfId="0" priority="2736" operator="lessThan">
      <formula>20</formula>
    </cfRule>
    <cfRule type="cellIs" dxfId="1" priority="1657" operator="greaterThan">
      <formula>120</formula>
    </cfRule>
    <cfRule type="containsText" dxfId="2" priority="578" operator="between" text="库存为">
      <formula>NOT(ISERROR(SEARCH("库存为",AU507)))</formula>
    </cfRule>
  </conditionalFormatting>
  <conditionalFormatting sqref="AU508">
    <cfRule type="cellIs" dxfId="0" priority="2735" operator="lessThan">
      <formula>20</formula>
    </cfRule>
    <cfRule type="cellIs" dxfId="1" priority="1656" operator="greaterThan">
      <formula>120</formula>
    </cfRule>
    <cfRule type="containsText" dxfId="2" priority="577" operator="between" text="库存为">
      <formula>NOT(ISERROR(SEARCH("库存为",AU508)))</formula>
    </cfRule>
  </conditionalFormatting>
  <conditionalFormatting sqref="AU509">
    <cfRule type="cellIs" dxfId="0" priority="2734" operator="lessThan">
      <formula>20</formula>
    </cfRule>
    <cfRule type="cellIs" dxfId="1" priority="1655" operator="greaterThan">
      <formula>120</formula>
    </cfRule>
    <cfRule type="containsText" dxfId="2" priority="576" operator="between" text="库存为">
      <formula>NOT(ISERROR(SEARCH("库存为",AU509)))</formula>
    </cfRule>
  </conditionalFormatting>
  <conditionalFormatting sqref="AU510">
    <cfRule type="cellIs" dxfId="0" priority="2733" operator="lessThan">
      <formula>20</formula>
    </cfRule>
    <cfRule type="cellIs" dxfId="1" priority="1654" operator="greaterThan">
      <formula>120</formula>
    </cfRule>
    <cfRule type="containsText" dxfId="2" priority="575" operator="between" text="库存为">
      <formula>NOT(ISERROR(SEARCH("库存为",AU510)))</formula>
    </cfRule>
  </conditionalFormatting>
  <conditionalFormatting sqref="AU511">
    <cfRule type="cellIs" dxfId="0" priority="2732" operator="lessThan">
      <formula>20</formula>
    </cfRule>
    <cfRule type="cellIs" dxfId="1" priority="1653" operator="greaterThan">
      <formula>120</formula>
    </cfRule>
    <cfRule type="containsText" dxfId="2" priority="574" operator="between" text="库存为">
      <formula>NOT(ISERROR(SEARCH("库存为",AU511)))</formula>
    </cfRule>
  </conditionalFormatting>
  <conditionalFormatting sqref="AU512">
    <cfRule type="cellIs" dxfId="0" priority="2731" operator="lessThan">
      <formula>20</formula>
    </cfRule>
    <cfRule type="cellIs" dxfId="1" priority="1652" operator="greaterThan">
      <formula>120</formula>
    </cfRule>
    <cfRule type="containsText" dxfId="2" priority="573" operator="between" text="库存为">
      <formula>NOT(ISERROR(SEARCH("库存为",AU512)))</formula>
    </cfRule>
  </conditionalFormatting>
  <conditionalFormatting sqref="AU513">
    <cfRule type="cellIs" dxfId="0" priority="2730" operator="lessThan">
      <formula>20</formula>
    </cfRule>
    <cfRule type="cellIs" dxfId="1" priority="1651" operator="greaterThan">
      <formula>120</formula>
    </cfRule>
    <cfRule type="containsText" dxfId="2" priority="572" operator="between" text="库存为">
      <formula>NOT(ISERROR(SEARCH("库存为",AU513)))</formula>
    </cfRule>
  </conditionalFormatting>
  <conditionalFormatting sqref="AU514">
    <cfRule type="cellIs" dxfId="0" priority="2729" operator="lessThan">
      <formula>20</formula>
    </cfRule>
    <cfRule type="cellIs" dxfId="1" priority="1650" operator="greaterThan">
      <formula>120</formula>
    </cfRule>
    <cfRule type="containsText" dxfId="2" priority="571" operator="between" text="库存为">
      <formula>NOT(ISERROR(SEARCH("库存为",AU514)))</formula>
    </cfRule>
  </conditionalFormatting>
  <conditionalFormatting sqref="AU515">
    <cfRule type="cellIs" dxfId="0" priority="2728" operator="lessThan">
      <formula>20</formula>
    </cfRule>
    <cfRule type="cellIs" dxfId="1" priority="1649" operator="greaterThan">
      <formula>120</formula>
    </cfRule>
    <cfRule type="containsText" dxfId="2" priority="570" operator="between" text="库存为">
      <formula>NOT(ISERROR(SEARCH("库存为",AU515)))</formula>
    </cfRule>
  </conditionalFormatting>
  <conditionalFormatting sqref="AU516">
    <cfRule type="cellIs" dxfId="0" priority="2727" operator="lessThan">
      <formula>20</formula>
    </cfRule>
    <cfRule type="cellIs" dxfId="1" priority="1648" operator="greaterThan">
      <formula>120</formula>
    </cfRule>
    <cfRule type="containsText" dxfId="2" priority="569" operator="between" text="库存为">
      <formula>NOT(ISERROR(SEARCH("库存为",AU516)))</formula>
    </cfRule>
  </conditionalFormatting>
  <conditionalFormatting sqref="AU517">
    <cfRule type="cellIs" dxfId="0" priority="2726" operator="lessThan">
      <formula>20</formula>
    </cfRule>
    <cfRule type="cellIs" dxfId="1" priority="1647" operator="greaterThan">
      <formula>120</formula>
    </cfRule>
    <cfRule type="containsText" dxfId="2" priority="568" operator="between" text="库存为">
      <formula>NOT(ISERROR(SEARCH("库存为",AU517)))</formula>
    </cfRule>
  </conditionalFormatting>
  <conditionalFormatting sqref="AU518">
    <cfRule type="cellIs" dxfId="0" priority="2725" operator="lessThan">
      <formula>20</formula>
    </cfRule>
    <cfRule type="cellIs" dxfId="1" priority="1646" operator="greaterThan">
      <formula>120</formula>
    </cfRule>
    <cfRule type="containsText" dxfId="2" priority="567" operator="between" text="库存为">
      <formula>NOT(ISERROR(SEARCH("库存为",AU518)))</formula>
    </cfRule>
  </conditionalFormatting>
  <conditionalFormatting sqref="AU519">
    <cfRule type="cellIs" dxfId="0" priority="2724" operator="lessThan">
      <formula>20</formula>
    </cfRule>
    <cfRule type="cellIs" dxfId="1" priority="1645" operator="greaterThan">
      <formula>120</formula>
    </cfRule>
    <cfRule type="containsText" dxfId="2" priority="566" operator="between" text="库存为">
      <formula>NOT(ISERROR(SEARCH("库存为",AU519)))</formula>
    </cfRule>
  </conditionalFormatting>
  <conditionalFormatting sqref="AU520">
    <cfRule type="cellIs" dxfId="0" priority="2723" operator="lessThan">
      <formula>20</formula>
    </cfRule>
    <cfRule type="cellIs" dxfId="1" priority="1644" operator="greaterThan">
      <formula>120</formula>
    </cfRule>
    <cfRule type="containsText" dxfId="2" priority="565" operator="between" text="库存为">
      <formula>NOT(ISERROR(SEARCH("库存为",AU520)))</formula>
    </cfRule>
  </conditionalFormatting>
  <conditionalFormatting sqref="AU521">
    <cfRule type="cellIs" dxfId="0" priority="2722" operator="lessThan">
      <formula>20</formula>
    </cfRule>
    <cfRule type="cellIs" dxfId="1" priority="1643" operator="greaterThan">
      <formula>120</formula>
    </cfRule>
    <cfRule type="containsText" dxfId="2" priority="564" operator="between" text="库存为">
      <formula>NOT(ISERROR(SEARCH("库存为",AU521)))</formula>
    </cfRule>
  </conditionalFormatting>
  <conditionalFormatting sqref="AU522">
    <cfRule type="cellIs" dxfId="0" priority="2721" operator="lessThan">
      <formula>20</formula>
    </cfRule>
    <cfRule type="cellIs" dxfId="1" priority="1642" operator="greaterThan">
      <formula>120</formula>
    </cfRule>
    <cfRule type="containsText" dxfId="2" priority="563" operator="between" text="库存为">
      <formula>NOT(ISERROR(SEARCH("库存为",AU522)))</formula>
    </cfRule>
  </conditionalFormatting>
  <conditionalFormatting sqref="AU523">
    <cfRule type="cellIs" dxfId="0" priority="2720" operator="lessThan">
      <formula>20</formula>
    </cfRule>
    <cfRule type="cellIs" dxfId="1" priority="1641" operator="greaterThan">
      <formula>120</formula>
    </cfRule>
    <cfRule type="containsText" dxfId="2" priority="562" operator="between" text="库存为">
      <formula>NOT(ISERROR(SEARCH("库存为",AU523)))</formula>
    </cfRule>
  </conditionalFormatting>
  <conditionalFormatting sqref="AU524">
    <cfRule type="cellIs" dxfId="0" priority="2719" operator="lessThan">
      <formula>20</formula>
    </cfRule>
    <cfRule type="cellIs" dxfId="1" priority="1640" operator="greaterThan">
      <formula>120</formula>
    </cfRule>
    <cfRule type="containsText" dxfId="2" priority="561" operator="between" text="库存为">
      <formula>NOT(ISERROR(SEARCH("库存为",AU524)))</formula>
    </cfRule>
  </conditionalFormatting>
  <conditionalFormatting sqref="AU525">
    <cfRule type="cellIs" dxfId="0" priority="2718" operator="lessThan">
      <formula>20</formula>
    </cfRule>
    <cfRule type="cellIs" dxfId="1" priority="1639" operator="greaterThan">
      <formula>120</formula>
    </cfRule>
    <cfRule type="containsText" dxfId="2" priority="560" operator="between" text="库存为">
      <formula>NOT(ISERROR(SEARCH("库存为",AU525)))</formula>
    </cfRule>
  </conditionalFormatting>
  <conditionalFormatting sqref="AU526">
    <cfRule type="cellIs" dxfId="0" priority="2717" operator="lessThan">
      <formula>20</formula>
    </cfRule>
    <cfRule type="cellIs" dxfId="1" priority="1638" operator="greaterThan">
      <formula>120</formula>
    </cfRule>
    <cfRule type="containsText" dxfId="2" priority="559" operator="between" text="库存为">
      <formula>NOT(ISERROR(SEARCH("库存为",AU526)))</formula>
    </cfRule>
  </conditionalFormatting>
  <conditionalFormatting sqref="AU527">
    <cfRule type="cellIs" dxfId="0" priority="2716" operator="lessThan">
      <formula>20</formula>
    </cfRule>
    <cfRule type="cellIs" dxfId="1" priority="1637" operator="greaterThan">
      <formula>120</formula>
    </cfRule>
    <cfRule type="containsText" dxfId="2" priority="558" operator="between" text="库存为">
      <formula>NOT(ISERROR(SEARCH("库存为",AU527)))</formula>
    </cfRule>
  </conditionalFormatting>
  <conditionalFormatting sqref="AU528">
    <cfRule type="cellIs" dxfId="0" priority="2715" operator="lessThan">
      <formula>20</formula>
    </cfRule>
    <cfRule type="cellIs" dxfId="1" priority="1636" operator="greaterThan">
      <formula>120</formula>
    </cfRule>
    <cfRule type="containsText" dxfId="2" priority="557" operator="between" text="库存为">
      <formula>NOT(ISERROR(SEARCH("库存为",AU528)))</formula>
    </cfRule>
  </conditionalFormatting>
  <conditionalFormatting sqref="AU529">
    <cfRule type="cellIs" dxfId="0" priority="2714" operator="lessThan">
      <formula>20</formula>
    </cfRule>
    <cfRule type="cellIs" dxfId="1" priority="1635" operator="greaterThan">
      <formula>120</formula>
    </cfRule>
    <cfRule type="containsText" dxfId="2" priority="556" operator="between" text="库存为">
      <formula>NOT(ISERROR(SEARCH("库存为",AU529)))</formula>
    </cfRule>
  </conditionalFormatting>
  <conditionalFormatting sqref="AU530">
    <cfRule type="cellIs" dxfId="0" priority="2713" operator="lessThan">
      <formula>20</formula>
    </cfRule>
    <cfRule type="cellIs" dxfId="1" priority="1634" operator="greaterThan">
      <formula>120</formula>
    </cfRule>
    <cfRule type="containsText" dxfId="2" priority="555" operator="between" text="库存为">
      <formula>NOT(ISERROR(SEARCH("库存为",AU530)))</formula>
    </cfRule>
  </conditionalFormatting>
  <conditionalFormatting sqref="AU531">
    <cfRule type="cellIs" dxfId="0" priority="2712" operator="lessThan">
      <formula>20</formula>
    </cfRule>
    <cfRule type="cellIs" dxfId="1" priority="1633" operator="greaterThan">
      <formula>120</formula>
    </cfRule>
    <cfRule type="containsText" dxfId="2" priority="554" operator="between" text="库存为">
      <formula>NOT(ISERROR(SEARCH("库存为",AU531)))</formula>
    </cfRule>
  </conditionalFormatting>
  <conditionalFormatting sqref="AU532">
    <cfRule type="cellIs" dxfId="0" priority="2711" operator="lessThan">
      <formula>20</formula>
    </cfRule>
    <cfRule type="cellIs" dxfId="1" priority="1632" operator="greaterThan">
      <formula>120</formula>
    </cfRule>
    <cfRule type="containsText" dxfId="2" priority="553" operator="between" text="库存为">
      <formula>NOT(ISERROR(SEARCH("库存为",AU532)))</formula>
    </cfRule>
  </conditionalFormatting>
  <conditionalFormatting sqref="AU533">
    <cfRule type="cellIs" dxfId="0" priority="2710" operator="lessThan">
      <formula>20</formula>
    </cfRule>
    <cfRule type="cellIs" dxfId="1" priority="1631" operator="greaterThan">
      <formula>120</formula>
    </cfRule>
    <cfRule type="containsText" dxfId="2" priority="552" operator="between" text="库存为">
      <formula>NOT(ISERROR(SEARCH("库存为",AU533)))</formula>
    </cfRule>
  </conditionalFormatting>
  <conditionalFormatting sqref="AU534">
    <cfRule type="cellIs" dxfId="0" priority="2709" operator="lessThan">
      <formula>20</formula>
    </cfRule>
    <cfRule type="cellIs" dxfId="1" priority="1630" operator="greaterThan">
      <formula>120</formula>
    </cfRule>
    <cfRule type="containsText" dxfId="2" priority="551" operator="between" text="库存为">
      <formula>NOT(ISERROR(SEARCH("库存为",AU534)))</formula>
    </cfRule>
  </conditionalFormatting>
  <conditionalFormatting sqref="AU535">
    <cfRule type="cellIs" dxfId="0" priority="2708" operator="lessThan">
      <formula>20</formula>
    </cfRule>
    <cfRule type="cellIs" dxfId="1" priority="1629" operator="greaterThan">
      <formula>120</formula>
    </cfRule>
    <cfRule type="containsText" dxfId="2" priority="550" operator="between" text="库存为">
      <formula>NOT(ISERROR(SEARCH("库存为",AU535)))</formula>
    </cfRule>
  </conditionalFormatting>
  <conditionalFormatting sqref="AU536">
    <cfRule type="cellIs" dxfId="0" priority="2707" operator="lessThan">
      <formula>20</formula>
    </cfRule>
    <cfRule type="cellIs" dxfId="1" priority="1628" operator="greaterThan">
      <formula>120</formula>
    </cfRule>
    <cfRule type="containsText" dxfId="2" priority="549" operator="between" text="库存为">
      <formula>NOT(ISERROR(SEARCH("库存为",AU536)))</formula>
    </cfRule>
  </conditionalFormatting>
  <conditionalFormatting sqref="AU537">
    <cfRule type="cellIs" dxfId="0" priority="2706" operator="lessThan">
      <formula>20</formula>
    </cfRule>
    <cfRule type="cellIs" dxfId="1" priority="1627" operator="greaterThan">
      <formula>120</formula>
    </cfRule>
    <cfRule type="containsText" dxfId="2" priority="548" operator="between" text="库存为">
      <formula>NOT(ISERROR(SEARCH("库存为",AU537)))</formula>
    </cfRule>
  </conditionalFormatting>
  <conditionalFormatting sqref="AU538">
    <cfRule type="cellIs" dxfId="0" priority="2705" operator="lessThan">
      <formula>20</formula>
    </cfRule>
    <cfRule type="cellIs" dxfId="1" priority="1626" operator="greaterThan">
      <formula>120</formula>
    </cfRule>
    <cfRule type="containsText" dxfId="2" priority="547" operator="between" text="库存为">
      <formula>NOT(ISERROR(SEARCH("库存为",AU538)))</formula>
    </cfRule>
  </conditionalFormatting>
  <conditionalFormatting sqref="AU539">
    <cfRule type="cellIs" dxfId="0" priority="2704" operator="lessThan">
      <formula>20</formula>
    </cfRule>
    <cfRule type="cellIs" dxfId="1" priority="1625" operator="greaterThan">
      <formula>120</formula>
    </cfRule>
    <cfRule type="containsText" dxfId="2" priority="546" operator="between" text="库存为">
      <formula>NOT(ISERROR(SEARCH("库存为",AU539)))</formula>
    </cfRule>
  </conditionalFormatting>
  <conditionalFormatting sqref="AU540">
    <cfRule type="cellIs" dxfId="0" priority="2703" operator="lessThan">
      <formula>20</formula>
    </cfRule>
    <cfRule type="cellIs" dxfId="1" priority="1624" operator="greaterThan">
      <formula>120</formula>
    </cfRule>
    <cfRule type="containsText" dxfId="2" priority="545" operator="between" text="库存为">
      <formula>NOT(ISERROR(SEARCH("库存为",AU540)))</formula>
    </cfRule>
  </conditionalFormatting>
  <conditionalFormatting sqref="AU541">
    <cfRule type="cellIs" dxfId="0" priority="2702" operator="lessThan">
      <formula>20</formula>
    </cfRule>
    <cfRule type="cellIs" dxfId="1" priority="1623" operator="greaterThan">
      <formula>120</formula>
    </cfRule>
    <cfRule type="containsText" dxfId="2" priority="544" operator="between" text="库存为">
      <formula>NOT(ISERROR(SEARCH("库存为",AU541)))</formula>
    </cfRule>
  </conditionalFormatting>
  <conditionalFormatting sqref="AU542">
    <cfRule type="cellIs" dxfId="0" priority="2701" operator="lessThan">
      <formula>20</formula>
    </cfRule>
    <cfRule type="cellIs" dxfId="1" priority="1622" operator="greaterThan">
      <formula>120</formula>
    </cfRule>
    <cfRule type="containsText" dxfId="2" priority="543" operator="between" text="库存为">
      <formula>NOT(ISERROR(SEARCH("库存为",AU542)))</formula>
    </cfRule>
  </conditionalFormatting>
  <conditionalFormatting sqref="AU543">
    <cfRule type="cellIs" dxfId="0" priority="2700" operator="lessThan">
      <formula>20</formula>
    </cfRule>
    <cfRule type="cellIs" dxfId="1" priority="1621" operator="greaterThan">
      <formula>120</formula>
    </cfRule>
    <cfRule type="containsText" dxfId="2" priority="542" operator="between" text="库存为">
      <formula>NOT(ISERROR(SEARCH("库存为",AU543)))</formula>
    </cfRule>
  </conditionalFormatting>
  <conditionalFormatting sqref="AU544">
    <cfRule type="cellIs" dxfId="0" priority="2699" operator="lessThan">
      <formula>20</formula>
    </cfRule>
    <cfRule type="cellIs" dxfId="1" priority="1620" operator="greaterThan">
      <formula>120</formula>
    </cfRule>
    <cfRule type="containsText" dxfId="2" priority="541" operator="between" text="库存为">
      <formula>NOT(ISERROR(SEARCH("库存为",AU544)))</formula>
    </cfRule>
  </conditionalFormatting>
  <conditionalFormatting sqref="AU545">
    <cfRule type="cellIs" dxfId="0" priority="2698" operator="lessThan">
      <formula>20</formula>
    </cfRule>
    <cfRule type="cellIs" dxfId="1" priority="1619" operator="greaterThan">
      <formula>120</formula>
    </cfRule>
    <cfRule type="containsText" dxfId="2" priority="540" operator="between" text="库存为">
      <formula>NOT(ISERROR(SEARCH("库存为",AU545)))</formula>
    </cfRule>
  </conditionalFormatting>
  <conditionalFormatting sqref="AU546">
    <cfRule type="cellIs" dxfId="0" priority="2697" operator="lessThan">
      <formula>20</formula>
    </cfRule>
    <cfRule type="cellIs" dxfId="1" priority="1618" operator="greaterThan">
      <formula>120</formula>
    </cfRule>
    <cfRule type="containsText" dxfId="2" priority="539" operator="between" text="库存为">
      <formula>NOT(ISERROR(SEARCH("库存为",AU546)))</formula>
    </cfRule>
  </conditionalFormatting>
  <conditionalFormatting sqref="AU547">
    <cfRule type="cellIs" dxfId="0" priority="2696" operator="lessThan">
      <formula>20</formula>
    </cfRule>
    <cfRule type="cellIs" dxfId="1" priority="1617" operator="greaterThan">
      <formula>120</formula>
    </cfRule>
    <cfRule type="containsText" dxfId="2" priority="538" operator="between" text="库存为">
      <formula>NOT(ISERROR(SEARCH("库存为",AU547)))</formula>
    </cfRule>
  </conditionalFormatting>
  <conditionalFormatting sqref="AU548">
    <cfRule type="cellIs" dxfId="0" priority="2695" operator="lessThan">
      <formula>20</formula>
    </cfRule>
    <cfRule type="cellIs" dxfId="1" priority="1616" operator="greaterThan">
      <formula>120</formula>
    </cfRule>
    <cfRule type="containsText" dxfId="2" priority="537" operator="between" text="库存为">
      <formula>NOT(ISERROR(SEARCH("库存为",AU548)))</formula>
    </cfRule>
  </conditionalFormatting>
  <conditionalFormatting sqref="AU549">
    <cfRule type="cellIs" dxfId="0" priority="2694" operator="lessThan">
      <formula>20</formula>
    </cfRule>
    <cfRule type="cellIs" dxfId="1" priority="1615" operator="greaterThan">
      <formula>120</formula>
    </cfRule>
    <cfRule type="containsText" dxfId="2" priority="536" operator="between" text="库存为">
      <formula>NOT(ISERROR(SEARCH("库存为",AU549)))</formula>
    </cfRule>
  </conditionalFormatting>
  <conditionalFormatting sqref="AU550">
    <cfRule type="cellIs" dxfId="0" priority="2693" operator="lessThan">
      <formula>20</formula>
    </cfRule>
    <cfRule type="cellIs" dxfId="1" priority="1614" operator="greaterThan">
      <formula>120</formula>
    </cfRule>
    <cfRule type="containsText" dxfId="2" priority="535" operator="between" text="库存为">
      <formula>NOT(ISERROR(SEARCH("库存为",AU550)))</formula>
    </cfRule>
  </conditionalFormatting>
  <conditionalFormatting sqref="AU551">
    <cfRule type="cellIs" dxfId="0" priority="2692" operator="lessThan">
      <formula>20</formula>
    </cfRule>
    <cfRule type="cellIs" dxfId="1" priority="1613" operator="greaterThan">
      <formula>120</formula>
    </cfRule>
    <cfRule type="containsText" dxfId="2" priority="534" operator="between" text="库存为">
      <formula>NOT(ISERROR(SEARCH("库存为",AU551)))</formula>
    </cfRule>
  </conditionalFormatting>
  <conditionalFormatting sqref="AU552">
    <cfRule type="cellIs" dxfId="0" priority="2691" operator="lessThan">
      <formula>20</formula>
    </cfRule>
    <cfRule type="cellIs" dxfId="1" priority="1612" operator="greaterThan">
      <formula>120</formula>
    </cfRule>
    <cfRule type="containsText" dxfId="2" priority="533" operator="between" text="库存为">
      <formula>NOT(ISERROR(SEARCH("库存为",AU552)))</formula>
    </cfRule>
  </conditionalFormatting>
  <conditionalFormatting sqref="AU553">
    <cfRule type="cellIs" dxfId="0" priority="2690" operator="lessThan">
      <formula>20</formula>
    </cfRule>
    <cfRule type="cellIs" dxfId="1" priority="1611" operator="greaterThan">
      <formula>120</formula>
    </cfRule>
    <cfRule type="containsText" dxfId="2" priority="532" operator="between" text="库存为">
      <formula>NOT(ISERROR(SEARCH("库存为",AU553)))</formula>
    </cfRule>
  </conditionalFormatting>
  <conditionalFormatting sqref="AU554">
    <cfRule type="cellIs" dxfId="0" priority="2689" operator="lessThan">
      <formula>20</formula>
    </cfRule>
    <cfRule type="cellIs" dxfId="1" priority="1610" operator="greaterThan">
      <formula>120</formula>
    </cfRule>
    <cfRule type="containsText" dxfId="2" priority="531" operator="between" text="库存为">
      <formula>NOT(ISERROR(SEARCH("库存为",AU554)))</formula>
    </cfRule>
  </conditionalFormatting>
  <conditionalFormatting sqref="AU555">
    <cfRule type="cellIs" dxfId="0" priority="2688" operator="lessThan">
      <formula>20</formula>
    </cfRule>
    <cfRule type="cellIs" dxfId="1" priority="1609" operator="greaterThan">
      <formula>120</formula>
    </cfRule>
    <cfRule type="containsText" dxfId="2" priority="530" operator="between" text="库存为">
      <formula>NOT(ISERROR(SEARCH("库存为",AU555)))</formula>
    </cfRule>
  </conditionalFormatting>
  <conditionalFormatting sqref="AU556">
    <cfRule type="cellIs" dxfId="0" priority="2687" operator="lessThan">
      <formula>20</formula>
    </cfRule>
    <cfRule type="cellIs" dxfId="1" priority="1608" operator="greaterThan">
      <formula>120</formula>
    </cfRule>
    <cfRule type="containsText" dxfId="2" priority="529" operator="between" text="库存为">
      <formula>NOT(ISERROR(SEARCH("库存为",AU556)))</formula>
    </cfRule>
  </conditionalFormatting>
  <conditionalFormatting sqref="AU557">
    <cfRule type="cellIs" dxfId="0" priority="2686" operator="lessThan">
      <formula>20</formula>
    </cfRule>
    <cfRule type="cellIs" dxfId="1" priority="1607" operator="greaterThan">
      <formula>120</formula>
    </cfRule>
    <cfRule type="containsText" dxfId="2" priority="528" operator="between" text="库存为">
      <formula>NOT(ISERROR(SEARCH("库存为",AU557)))</formula>
    </cfRule>
  </conditionalFormatting>
  <conditionalFormatting sqref="AU558">
    <cfRule type="cellIs" dxfId="0" priority="2685" operator="lessThan">
      <formula>20</formula>
    </cfRule>
    <cfRule type="cellIs" dxfId="1" priority="1606" operator="greaterThan">
      <formula>120</formula>
    </cfRule>
    <cfRule type="containsText" dxfId="2" priority="527" operator="between" text="库存为">
      <formula>NOT(ISERROR(SEARCH("库存为",AU558)))</formula>
    </cfRule>
  </conditionalFormatting>
  <conditionalFormatting sqref="AU559">
    <cfRule type="cellIs" dxfId="0" priority="2684" operator="lessThan">
      <formula>20</formula>
    </cfRule>
    <cfRule type="cellIs" dxfId="1" priority="1605" operator="greaterThan">
      <formula>120</formula>
    </cfRule>
    <cfRule type="containsText" dxfId="2" priority="526" operator="between" text="库存为">
      <formula>NOT(ISERROR(SEARCH("库存为",AU559)))</formula>
    </cfRule>
  </conditionalFormatting>
  <conditionalFormatting sqref="AU560">
    <cfRule type="cellIs" dxfId="0" priority="2683" operator="lessThan">
      <formula>20</formula>
    </cfRule>
    <cfRule type="cellIs" dxfId="1" priority="1604" operator="greaterThan">
      <formula>120</formula>
    </cfRule>
    <cfRule type="containsText" dxfId="2" priority="525" operator="between" text="库存为">
      <formula>NOT(ISERROR(SEARCH("库存为",AU560)))</formula>
    </cfRule>
  </conditionalFormatting>
  <conditionalFormatting sqref="AU561">
    <cfRule type="cellIs" dxfId="0" priority="2682" operator="lessThan">
      <formula>20</formula>
    </cfRule>
    <cfRule type="cellIs" dxfId="1" priority="1603" operator="greaterThan">
      <formula>120</formula>
    </cfRule>
    <cfRule type="containsText" dxfId="2" priority="524" operator="between" text="库存为">
      <formula>NOT(ISERROR(SEARCH("库存为",AU561)))</formula>
    </cfRule>
  </conditionalFormatting>
  <conditionalFormatting sqref="AU562">
    <cfRule type="cellIs" dxfId="0" priority="2681" operator="lessThan">
      <formula>20</formula>
    </cfRule>
    <cfRule type="cellIs" dxfId="1" priority="1602" operator="greaterThan">
      <formula>120</formula>
    </cfRule>
    <cfRule type="containsText" dxfId="2" priority="523" operator="between" text="库存为">
      <formula>NOT(ISERROR(SEARCH("库存为",AU562)))</formula>
    </cfRule>
  </conditionalFormatting>
  <conditionalFormatting sqref="AU563">
    <cfRule type="cellIs" dxfId="0" priority="2680" operator="lessThan">
      <formula>20</formula>
    </cfRule>
    <cfRule type="cellIs" dxfId="1" priority="1601" operator="greaterThan">
      <formula>120</formula>
    </cfRule>
    <cfRule type="containsText" dxfId="2" priority="522" operator="between" text="库存为">
      <formula>NOT(ISERROR(SEARCH("库存为",AU563)))</formula>
    </cfRule>
  </conditionalFormatting>
  <conditionalFormatting sqref="AU564">
    <cfRule type="cellIs" dxfId="0" priority="2679" operator="lessThan">
      <formula>20</formula>
    </cfRule>
    <cfRule type="cellIs" dxfId="1" priority="1600" operator="greaterThan">
      <formula>120</formula>
    </cfRule>
    <cfRule type="containsText" dxfId="2" priority="521" operator="between" text="库存为">
      <formula>NOT(ISERROR(SEARCH("库存为",AU564)))</formula>
    </cfRule>
  </conditionalFormatting>
  <conditionalFormatting sqref="AU565">
    <cfRule type="cellIs" dxfId="0" priority="2678" operator="lessThan">
      <formula>20</formula>
    </cfRule>
    <cfRule type="cellIs" dxfId="1" priority="1599" operator="greaterThan">
      <formula>120</formula>
    </cfRule>
    <cfRule type="containsText" dxfId="2" priority="520" operator="between" text="库存为">
      <formula>NOT(ISERROR(SEARCH("库存为",AU565)))</formula>
    </cfRule>
  </conditionalFormatting>
  <conditionalFormatting sqref="AU566">
    <cfRule type="cellIs" dxfId="0" priority="2677" operator="lessThan">
      <formula>20</formula>
    </cfRule>
    <cfRule type="cellIs" dxfId="1" priority="1598" operator="greaterThan">
      <formula>120</formula>
    </cfRule>
    <cfRule type="containsText" dxfId="2" priority="519" operator="between" text="库存为">
      <formula>NOT(ISERROR(SEARCH("库存为",AU566)))</formula>
    </cfRule>
  </conditionalFormatting>
  <conditionalFormatting sqref="AU567">
    <cfRule type="cellIs" dxfId="0" priority="2676" operator="lessThan">
      <formula>20</formula>
    </cfRule>
    <cfRule type="cellIs" dxfId="1" priority="1597" operator="greaterThan">
      <formula>120</formula>
    </cfRule>
    <cfRule type="containsText" dxfId="2" priority="518" operator="between" text="库存为">
      <formula>NOT(ISERROR(SEARCH("库存为",AU567)))</formula>
    </cfRule>
  </conditionalFormatting>
  <conditionalFormatting sqref="AU568">
    <cfRule type="cellIs" dxfId="0" priority="2675" operator="lessThan">
      <formula>20</formula>
    </cfRule>
    <cfRule type="cellIs" dxfId="1" priority="1596" operator="greaterThan">
      <formula>120</formula>
    </cfRule>
    <cfRule type="containsText" dxfId="2" priority="517" operator="between" text="库存为">
      <formula>NOT(ISERROR(SEARCH("库存为",AU568)))</formula>
    </cfRule>
  </conditionalFormatting>
  <conditionalFormatting sqref="AU569">
    <cfRule type="cellIs" dxfId="0" priority="2674" operator="lessThan">
      <formula>20</formula>
    </cfRule>
    <cfRule type="cellIs" dxfId="1" priority="1595" operator="greaterThan">
      <formula>120</formula>
    </cfRule>
    <cfRule type="containsText" dxfId="2" priority="516" operator="between" text="库存为">
      <formula>NOT(ISERROR(SEARCH("库存为",AU569)))</formula>
    </cfRule>
  </conditionalFormatting>
  <conditionalFormatting sqref="AU570">
    <cfRule type="cellIs" dxfId="0" priority="2673" operator="lessThan">
      <formula>20</formula>
    </cfRule>
    <cfRule type="cellIs" dxfId="1" priority="1594" operator="greaterThan">
      <formula>120</formula>
    </cfRule>
    <cfRule type="containsText" dxfId="2" priority="515" operator="between" text="库存为">
      <formula>NOT(ISERROR(SEARCH("库存为",AU570)))</formula>
    </cfRule>
  </conditionalFormatting>
  <conditionalFormatting sqref="AU571">
    <cfRule type="cellIs" dxfId="0" priority="2672" operator="lessThan">
      <formula>20</formula>
    </cfRule>
    <cfRule type="cellIs" dxfId="1" priority="1593" operator="greaterThan">
      <formula>120</formula>
    </cfRule>
    <cfRule type="containsText" dxfId="2" priority="514" operator="between" text="库存为">
      <formula>NOT(ISERROR(SEARCH("库存为",AU571)))</formula>
    </cfRule>
  </conditionalFormatting>
  <conditionalFormatting sqref="AU572">
    <cfRule type="cellIs" dxfId="0" priority="2671" operator="lessThan">
      <formula>20</formula>
    </cfRule>
    <cfRule type="cellIs" dxfId="1" priority="1592" operator="greaterThan">
      <formula>120</formula>
    </cfRule>
    <cfRule type="containsText" dxfId="2" priority="513" operator="between" text="库存为">
      <formula>NOT(ISERROR(SEARCH("库存为",AU572)))</formula>
    </cfRule>
  </conditionalFormatting>
  <conditionalFormatting sqref="AU573">
    <cfRule type="cellIs" dxfId="0" priority="2670" operator="lessThan">
      <formula>20</formula>
    </cfRule>
    <cfRule type="cellIs" dxfId="1" priority="1591" operator="greaterThan">
      <formula>120</formula>
    </cfRule>
    <cfRule type="containsText" dxfId="2" priority="512" operator="between" text="库存为">
      <formula>NOT(ISERROR(SEARCH("库存为",AU573)))</formula>
    </cfRule>
  </conditionalFormatting>
  <conditionalFormatting sqref="AU574">
    <cfRule type="cellIs" dxfId="0" priority="2669" operator="lessThan">
      <formula>20</formula>
    </cfRule>
    <cfRule type="cellIs" dxfId="1" priority="1590" operator="greaterThan">
      <formula>120</formula>
    </cfRule>
    <cfRule type="containsText" dxfId="2" priority="511" operator="between" text="库存为">
      <formula>NOT(ISERROR(SEARCH("库存为",AU574)))</formula>
    </cfRule>
  </conditionalFormatting>
  <conditionalFormatting sqref="AU575">
    <cfRule type="cellIs" dxfId="0" priority="2668" operator="lessThan">
      <formula>20</formula>
    </cfRule>
    <cfRule type="cellIs" dxfId="1" priority="1589" operator="greaterThan">
      <formula>120</formula>
    </cfRule>
    <cfRule type="containsText" dxfId="2" priority="510" operator="between" text="库存为">
      <formula>NOT(ISERROR(SEARCH("库存为",AU575)))</formula>
    </cfRule>
  </conditionalFormatting>
  <conditionalFormatting sqref="AU576">
    <cfRule type="cellIs" dxfId="0" priority="2667" operator="lessThan">
      <formula>20</formula>
    </cfRule>
    <cfRule type="cellIs" dxfId="1" priority="1588" operator="greaterThan">
      <formula>120</formula>
    </cfRule>
    <cfRule type="containsText" dxfId="2" priority="509" operator="between" text="库存为">
      <formula>NOT(ISERROR(SEARCH("库存为",AU576)))</formula>
    </cfRule>
  </conditionalFormatting>
  <conditionalFormatting sqref="AU577">
    <cfRule type="cellIs" dxfId="0" priority="2666" operator="lessThan">
      <formula>20</formula>
    </cfRule>
    <cfRule type="cellIs" dxfId="1" priority="1587" operator="greaterThan">
      <formula>120</formula>
    </cfRule>
    <cfRule type="containsText" dxfId="2" priority="508" operator="between" text="库存为">
      <formula>NOT(ISERROR(SEARCH("库存为",AU577)))</formula>
    </cfRule>
  </conditionalFormatting>
  <conditionalFormatting sqref="AU578">
    <cfRule type="cellIs" dxfId="0" priority="2665" operator="lessThan">
      <formula>20</formula>
    </cfRule>
    <cfRule type="cellIs" dxfId="1" priority="1586" operator="greaterThan">
      <formula>120</formula>
    </cfRule>
    <cfRule type="containsText" dxfId="2" priority="507" operator="between" text="库存为">
      <formula>NOT(ISERROR(SEARCH("库存为",AU578)))</formula>
    </cfRule>
  </conditionalFormatting>
  <conditionalFormatting sqref="AU579">
    <cfRule type="cellIs" dxfId="0" priority="2664" operator="lessThan">
      <formula>20</formula>
    </cfRule>
    <cfRule type="cellIs" dxfId="1" priority="1585" operator="greaterThan">
      <formula>120</formula>
    </cfRule>
    <cfRule type="containsText" dxfId="2" priority="506" operator="between" text="库存为">
      <formula>NOT(ISERROR(SEARCH("库存为",AU579)))</formula>
    </cfRule>
  </conditionalFormatting>
  <conditionalFormatting sqref="AU580">
    <cfRule type="cellIs" dxfId="0" priority="2663" operator="lessThan">
      <formula>20</formula>
    </cfRule>
    <cfRule type="cellIs" dxfId="1" priority="1584" operator="greaterThan">
      <formula>120</formula>
    </cfRule>
    <cfRule type="containsText" dxfId="2" priority="505" operator="between" text="库存为">
      <formula>NOT(ISERROR(SEARCH("库存为",AU580)))</formula>
    </cfRule>
  </conditionalFormatting>
  <conditionalFormatting sqref="AU581">
    <cfRule type="cellIs" dxfId="0" priority="2662" operator="lessThan">
      <formula>20</formula>
    </cfRule>
    <cfRule type="cellIs" dxfId="1" priority="1583" operator="greaterThan">
      <formula>120</formula>
    </cfRule>
    <cfRule type="containsText" dxfId="2" priority="504" operator="between" text="库存为">
      <formula>NOT(ISERROR(SEARCH("库存为",AU581)))</formula>
    </cfRule>
  </conditionalFormatting>
  <conditionalFormatting sqref="AU582">
    <cfRule type="cellIs" dxfId="0" priority="2661" operator="lessThan">
      <formula>20</formula>
    </cfRule>
    <cfRule type="cellIs" dxfId="1" priority="1582" operator="greaterThan">
      <formula>120</formula>
    </cfRule>
    <cfRule type="containsText" dxfId="2" priority="503" operator="between" text="库存为">
      <formula>NOT(ISERROR(SEARCH("库存为",AU582)))</formula>
    </cfRule>
  </conditionalFormatting>
  <conditionalFormatting sqref="AU583">
    <cfRule type="cellIs" dxfId="0" priority="2660" operator="lessThan">
      <formula>20</formula>
    </cfRule>
    <cfRule type="cellIs" dxfId="1" priority="1581" operator="greaterThan">
      <formula>120</formula>
    </cfRule>
    <cfRule type="containsText" dxfId="2" priority="502" operator="between" text="库存为">
      <formula>NOT(ISERROR(SEARCH("库存为",AU583)))</formula>
    </cfRule>
  </conditionalFormatting>
  <conditionalFormatting sqref="AU584">
    <cfRule type="cellIs" dxfId="0" priority="2659" operator="lessThan">
      <formula>20</formula>
    </cfRule>
    <cfRule type="cellIs" dxfId="1" priority="1580" operator="greaterThan">
      <formula>120</formula>
    </cfRule>
    <cfRule type="containsText" dxfId="2" priority="501" operator="between" text="库存为">
      <formula>NOT(ISERROR(SEARCH("库存为",AU584)))</formula>
    </cfRule>
  </conditionalFormatting>
  <conditionalFormatting sqref="AU585">
    <cfRule type="cellIs" dxfId="0" priority="2658" operator="lessThan">
      <formula>20</formula>
    </cfRule>
    <cfRule type="cellIs" dxfId="1" priority="1579" operator="greaterThan">
      <formula>120</formula>
    </cfRule>
    <cfRule type="containsText" dxfId="2" priority="500" operator="between" text="库存为">
      <formula>NOT(ISERROR(SEARCH("库存为",AU585)))</formula>
    </cfRule>
  </conditionalFormatting>
  <conditionalFormatting sqref="AU586">
    <cfRule type="cellIs" dxfId="0" priority="2657" operator="lessThan">
      <formula>20</formula>
    </cfRule>
    <cfRule type="cellIs" dxfId="1" priority="1578" operator="greaterThan">
      <formula>120</formula>
    </cfRule>
    <cfRule type="containsText" dxfId="2" priority="499" operator="between" text="库存为">
      <formula>NOT(ISERROR(SEARCH("库存为",AU586)))</formula>
    </cfRule>
  </conditionalFormatting>
  <conditionalFormatting sqref="AU587">
    <cfRule type="cellIs" dxfId="0" priority="2656" operator="lessThan">
      <formula>20</formula>
    </cfRule>
    <cfRule type="cellIs" dxfId="1" priority="1577" operator="greaterThan">
      <formula>120</formula>
    </cfRule>
    <cfRule type="containsText" dxfId="2" priority="498" operator="between" text="库存为">
      <formula>NOT(ISERROR(SEARCH("库存为",AU587)))</formula>
    </cfRule>
  </conditionalFormatting>
  <conditionalFormatting sqref="AU588">
    <cfRule type="cellIs" dxfId="0" priority="2655" operator="lessThan">
      <formula>20</formula>
    </cfRule>
    <cfRule type="cellIs" dxfId="1" priority="1576" operator="greaterThan">
      <formula>120</formula>
    </cfRule>
    <cfRule type="containsText" dxfId="2" priority="497" operator="between" text="库存为">
      <formula>NOT(ISERROR(SEARCH("库存为",AU588)))</formula>
    </cfRule>
  </conditionalFormatting>
  <conditionalFormatting sqref="AU589">
    <cfRule type="cellIs" dxfId="0" priority="2654" operator="lessThan">
      <formula>20</formula>
    </cfRule>
    <cfRule type="cellIs" dxfId="1" priority="1575" operator="greaterThan">
      <formula>120</formula>
    </cfRule>
    <cfRule type="containsText" dxfId="2" priority="496" operator="between" text="库存为">
      <formula>NOT(ISERROR(SEARCH("库存为",AU589)))</formula>
    </cfRule>
  </conditionalFormatting>
  <conditionalFormatting sqref="AU590">
    <cfRule type="cellIs" dxfId="0" priority="2653" operator="lessThan">
      <formula>20</formula>
    </cfRule>
    <cfRule type="cellIs" dxfId="1" priority="1574" operator="greaterThan">
      <formula>120</formula>
    </cfRule>
    <cfRule type="containsText" dxfId="2" priority="495" operator="between" text="库存为">
      <formula>NOT(ISERROR(SEARCH("库存为",AU590)))</formula>
    </cfRule>
  </conditionalFormatting>
  <conditionalFormatting sqref="AU591">
    <cfRule type="cellIs" dxfId="0" priority="2652" operator="lessThan">
      <formula>20</formula>
    </cfRule>
    <cfRule type="cellIs" dxfId="1" priority="1573" operator="greaterThan">
      <formula>120</formula>
    </cfRule>
    <cfRule type="containsText" dxfId="2" priority="494" operator="between" text="库存为">
      <formula>NOT(ISERROR(SEARCH("库存为",AU591)))</formula>
    </cfRule>
  </conditionalFormatting>
  <conditionalFormatting sqref="AU592">
    <cfRule type="cellIs" dxfId="0" priority="2651" operator="lessThan">
      <formula>20</formula>
    </cfRule>
    <cfRule type="cellIs" dxfId="1" priority="1572" operator="greaterThan">
      <formula>120</formula>
    </cfRule>
    <cfRule type="containsText" dxfId="2" priority="493" operator="between" text="库存为">
      <formula>NOT(ISERROR(SEARCH("库存为",AU592)))</formula>
    </cfRule>
  </conditionalFormatting>
  <conditionalFormatting sqref="AU593">
    <cfRule type="cellIs" dxfId="0" priority="2650" operator="lessThan">
      <formula>20</formula>
    </cfRule>
    <cfRule type="cellIs" dxfId="1" priority="1571" operator="greaterThan">
      <formula>120</formula>
    </cfRule>
    <cfRule type="containsText" dxfId="2" priority="492" operator="between" text="库存为">
      <formula>NOT(ISERROR(SEARCH("库存为",AU593)))</formula>
    </cfRule>
  </conditionalFormatting>
  <conditionalFormatting sqref="AU594">
    <cfRule type="cellIs" dxfId="0" priority="2649" operator="lessThan">
      <formula>20</formula>
    </cfRule>
    <cfRule type="cellIs" dxfId="1" priority="1570" operator="greaterThan">
      <formula>120</formula>
    </cfRule>
    <cfRule type="containsText" dxfId="2" priority="491" operator="between" text="库存为">
      <formula>NOT(ISERROR(SEARCH("库存为",AU594)))</formula>
    </cfRule>
  </conditionalFormatting>
  <conditionalFormatting sqref="AU595">
    <cfRule type="cellIs" dxfId="0" priority="2648" operator="lessThan">
      <formula>20</formula>
    </cfRule>
    <cfRule type="cellIs" dxfId="1" priority="1569" operator="greaterThan">
      <formula>120</formula>
    </cfRule>
    <cfRule type="containsText" dxfId="2" priority="490" operator="between" text="库存为">
      <formula>NOT(ISERROR(SEARCH("库存为",AU595)))</formula>
    </cfRule>
  </conditionalFormatting>
  <conditionalFormatting sqref="AU596">
    <cfRule type="cellIs" dxfId="0" priority="2647" operator="lessThan">
      <formula>20</formula>
    </cfRule>
    <cfRule type="cellIs" dxfId="1" priority="1568" operator="greaterThan">
      <formula>120</formula>
    </cfRule>
    <cfRule type="containsText" dxfId="2" priority="489" operator="between" text="库存为">
      <formula>NOT(ISERROR(SEARCH("库存为",AU596)))</formula>
    </cfRule>
  </conditionalFormatting>
  <conditionalFormatting sqref="AU597">
    <cfRule type="cellIs" dxfId="0" priority="2646" operator="lessThan">
      <formula>20</formula>
    </cfRule>
    <cfRule type="cellIs" dxfId="1" priority="1567" operator="greaterThan">
      <formula>120</formula>
    </cfRule>
    <cfRule type="containsText" dxfId="2" priority="488" operator="between" text="库存为">
      <formula>NOT(ISERROR(SEARCH("库存为",AU597)))</formula>
    </cfRule>
  </conditionalFormatting>
  <conditionalFormatting sqref="AU598">
    <cfRule type="cellIs" dxfId="0" priority="2645" operator="lessThan">
      <formula>20</formula>
    </cfRule>
    <cfRule type="cellIs" dxfId="1" priority="1566" operator="greaterThan">
      <formula>120</formula>
    </cfRule>
    <cfRule type="containsText" dxfId="2" priority="487" operator="between" text="库存为">
      <formula>NOT(ISERROR(SEARCH("库存为",AU598)))</formula>
    </cfRule>
  </conditionalFormatting>
  <conditionalFormatting sqref="AU599">
    <cfRule type="cellIs" dxfId="0" priority="2644" operator="lessThan">
      <formula>20</formula>
    </cfRule>
    <cfRule type="cellIs" dxfId="1" priority="1565" operator="greaterThan">
      <formula>120</formula>
    </cfRule>
    <cfRule type="containsText" dxfId="2" priority="486" operator="between" text="库存为">
      <formula>NOT(ISERROR(SEARCH("库存为",AU599)))</formula>
    </cfRule>
  </conditionalFormatting>
  <conditionalFormatting sqref="AU600">
    <cfRule type="cellIs" dxfId="0" priority="2643" operator="lessThan">
      <formula>20</formula>
    </cfRule>
    <cfRule type="cellIs" dxfId="1" priority="1564" operator="greaterThan">
      <formula>120</formula>
    </cfRule>
    <cfRule type="containsText" dxfId="2" priority="485" operator="between" text="库存为">
      <formula>NOT(ISERROR(SEARCH("库存为",AU600)))</formula>
    </cfRule>
  </conditionalFormatting>
  <conditionalFormatting sqref="AU601">
    <cfRule type="cellIs" dxfId="0" priority="2642" operator="lessThan">
      <formula>20</formula>
    </cfRule>
    <cfRule type="cellIs" dxfId="1" priority="1563" operator="greaterThan">
      <formula>120</formula>
    </cfRule>
    <cfRule type="containsText" dxfId="2" priority="484" operator="between" text="库存为">
      <formula>NOT(ISERROR(SEARCH("库存为",AU601)))</formula>
    </cfRule>
  </conditionalFormatting>
  <conditionalFormatting sqref="AU602">
    <cfRule type="cellIs" dxfId="0" priority="2641" operator="lessThan">
      <formula>20</formula>
    </cfRule>
    <cfRule type="cellIs" dxfId="1" priority="1562" operator="greaterThan">
      <formula>120</formula>
    </cfRule>
    <cfRule type="containsText" dxfId="2" priority="483" operator="between" text="库存为">
      <formula>NOT(ISERROR(SEARCH("库存为",AU602)))</formula>
    </cfRule>
  </conditionalFormatting>
  <conditionalFormatting sqref="AU603">
    <cfRule type="cellIs" dxfId="0" priority="2640" operator="lessThan">
      <formula>20</formula>
    </cfRule>
    <cfRule type="cellIs" dxfId="1" priority="1561" operator="greaterThan">
      <formula>120</formula>
    </cfRule>
    <cfRule type="containsText" dxfId="2" priority="482" operator="between" text="库存为">
      <formula>NOT(ISERROR(SEARCH("库存为",AU603)))</formula>
    </cfRule>
  </conditionalFormatting>
  <conditionalFormatting sqref="AU604">
    <cfRule type="cellIs" dxfId="0" priority="2639" operator="lessThan">
      <formula>20</formula>
    </cfRule>
    <cfRule type="cellIs" dxfId="1" priority="1560" operator="greaterThan">
      <formula>120</formula>
    </cfRule>
    <cfRule type="containsText" dxfId="2" priority="481" operator="between" text="库存为">
      <formula>NOT(ISERROR(SEARCH("库存为",AU604)))</formula>
    </cfRule>
  </conditionalFormatting>
  <conditionalFormatting sqref="AU605">
    <cfRule type="cellIs" dxfId="0" priority="2638" operator="lessThan">
      <formula>20</formula>
    </cfRule>
    <cfRule type="cellIs" dxfId="1" priority="1559" operator="greaterThan">
      <formula>120</formula>
    </cfRule>
    <cfRule type="containsText" dxfId="2" priority="480" operator="between" text="库存为">
      <formula>NOT(ISERROR(SEARCH("库存为",AU605)))</formula>
    </cfRule>
  </conditionalFormatting>
  <conditionalFormatting sqref="AU606">
    <cfRule type="cellIs" dxfId="0" priority="2637" operator="lessThan">
      <formula>20</formula>
    </cfRule>
    <cfRule type="cellIs" dxfId="1" priority="1558" operator="greaterThan">
      <formula>120</formula>
    </cfRule>
    <cfRule type="containsText" dxfId="2" priority="479" operator="between" text="库存为">
      <formula>NOT(ISERROR(SEARCH("库存为",AU606)))</formula>
    </cfRule>
  </conditionalFormatting>
  <conditionalFormatting sqref="AU607">
    <cfRule type="cellIs" dxfId="0" priority="2636" operator="lessThan">
      <formula>20</formula>
    </cfRule>
    <cfRule type="cellIs" dxfId="1" priority="1557" operator="greaterThan">
      <formula>120</formula>
    </cfRule>
    <cfRule type="containsText" dxfId="2" priority="478" operator="between" text="库存为">
      <formula>NOT(ISERROR(SEARCH("库存为",AU607)))</formula>
    </cfRule>
  </conditionalFormatting>
  <conditionalFormatting sqref="AU608">
    <cfRule type="cellIs" dxfId="0" priority="2635" operator="lessThan">
      <formula>20</formula>
    </cfRule>
    <cfRule type="cellIs" dxfId="1" priority="1556" operator="greaterThan">
      <formula>120</formula>
    </cfRule>
    <cfRule type="containsText" dxfId="2" priority="477" operator="between" text="库存为">
      <formula>NOT(ISERROR(SEARCH("库存为",AU608)))</formula>
    </cfRule>
  </conditionalFormatting>
  <conditionalFormatting sqref="AU609">
    <cfRule type="cellIs" dxfId="0" priority="2634" operator="lessThan">
      <formula>20</formula>
    </cfRule>
    <cfRule type="cellIs" dxfId="1" priority="1555" operator="greaterThan">
      <formula>120</formula>
    </cfRule>
    <cfRule type="containsText" dxfId="2" priority="476" operator="between" text="库存为">
      <formula>NOT(ISERROR(SEARCH("库存为",AU609)))</formula>
    </cfRule>
  </conditionalFormatting>
  <conditionalFormatting sqref="AU610">
    <cfRule type="cellIs" dxfId="0" priority="2633" operator="lessThan">
      <formula>20</formula>
    </cfRule>
    <cfRule type="cellIs" dxfId="1" priority="1554" operator="greaterThan">
      <formula>120</formula>
    </cfRule>
    <cfRule type="containsText" dxfId="2" priority="475" operator="between" text="库存为">
      <formula>NOT(ISERROR(SEARCH("库存为",AU610)))</formula>
    </cfRule>
  </conditionalFormatting>
  <conditionalFormatting sqref="AU611">
    <cfRule type="cellIs" dxfId="0" priority="2632" operator="lessThan">
      <formula>20</formula>
    </cfRule>
    <cfRule type="cellIs" dxfId="1" priority="1553" operator="greaterThan">
      <formula>120</formula>
    </cfRule>
    <cfRule type="containsText" dxfId="2" priority="474" operator="between" text="库存为">
      <formula>NOT(ISERROR(SEARCH("库存为",AU611)))</formula>
    </cfRule>
  </conditionalFormatting>
  <conditionalFormatting sqref="AU612">
    <cfRule type="cellIs" dxfId="0" priority="2631" operator="lessThan">
      <formula>20</formula>
    </cfRule>
    <cfRule type="cellIs" dxfId="1" priority="1552" operator="greaterThan">
      <formula>120</formula>
    </cfRule>
    <cfRule type="containsText" dxfId="2" priority="473" operator="between" text="库存为">
      <formula>NOT(ISERROR(SEARCH("库存为",AU612)))</formula>
    </cfRule>
  </conditionalFormatting>
  <conditionalFormatting sqref="AU613">
    <cfRule type="cellIs" dxfId="0" priority="2630" operator="lessThan">
      <formula>20</formula>
    </cfRule>
    <cfRule type="cellIs" dxfId="1" priority="1551" operator="greaterThan">
      <formula>120</formula>
    </cfRule>
    <cfRule type="containsText" dxfId="2" priority="472" operator="between" text="库存为">
      <formula>NOT(ISERROR(SEARCH("库存为",AU613)))</formula>
    </cfRule>
  </conditionalFormatting>
  <conditionalFormatting sqref="AU614">
    <cfRule type="cellIs" dxfId="0" priority="2629" operator="lessThan">
      <formula>20</formula>
    </cfRule>
    <cfRule type="cellIs" dxfId="1" priority="1550" operator="greaterThan">
      <formula>120</formula>
    </cfRule>
    <cfRule type="containsText" dxfId="2" priority="471" operator="between" text="库存为">
      <formula>NOT(ISERROR(SEARCH("库存为",AU614)))</formula>
    </cfRule>
  </conditionalFormatting>
  <conditionalFormatting sqref="AU615">
    <cfRule type="cellIs" dxfId="0" priority="2628" operator="lessThan">
      <formula>20</formula>
    </cfRule>
    <cfRule type="cellIs" dxfId="1" priority="1549" operator="greaterThan">
      <formula>120</formula>
    </cfRule>
    <cfRule type="containsText" dxfId="2" priority="470" operator="between" text="库存为">
      <formula>NOT(ISERROR(SEARCH("库存为",AU615)))</formula>
    </cfRule>
  </conditionalFormatting>
  <conditionalFormatting sqref="AU616">
    <cfRule type="cellIs" dxfId="0" priority="2627" operator="lessThan">
      <formula>20</formula>
    </cfRule>
    <cfRule type="cellIs" dxfId="1" priority="1548" operator="greaterThan">
      <formula>120</formula>
    </cfRule>
    <cfRule type="containsText" dxfId="2" priority="469" operator="between" text="库存为">
      <formula>NOT(ISERROR(SEARCH("库存为",AU616)))</formula>
    </cfRule>
  </conditionalFormatting>
  <conditionalFormatting sqref="AU617">
    <cfRule type="cellIs" dxfId="0" priority="2626" operator="lessThan">
      <formula>20</formula>
    </cfRule>
    <cfRule type="cellIs" dxfId="1" priority="1547" operator="greaterThan">
      <formula>120</formula>
    </cfRule>
    <cfRule type="containsText" dxfId="2" priority="468" operator="between" text="库存为">
      <formula>NOT(ISERROR(SEARCH("库存为",AU617)))</formula>
    </cfRule>
  </conditionalFormatting>
  <conditionalFormatting sqref="AU618">
    <cfRule type="cellIs" dxfId="0" priority="2625" operator="lessThan">
      <formula>20</formula>
    </cfRule>
    <cfRule type="cellIs" dxfId="1" priority="1546" operator="greaterThan">
      <formula>120</formula>
    </cfRule>
    <cfRule type="containsText" dxfId="2" priority="467" operator="between" text="库存为">
      <formula>NOT(ISERROR(SEARCH("库存为",AU618)))</formula>
    </cfRule>
  </conditionalFormatting>
  <conditionalFormatting sqref="AU619">
    <cfRule type="cellIs" dxfId="0" priority="2624" operator="lessThan">
      <formula>20</formula>
    </cfRule>
    <cfRule type="cellIs" dxfId="1" priority="1545" operator="greaterThan">
      <formula>120</formula>
    </cfRule>
    <cfRule type="containsText" dxfId="2" priority="466" operator="between" text="库存为">
      <formula>NOT(ISERROR(SEARCH("库存为",AU619)))</formula>
    </cfRule>
  </conditionalFormatting>
  <conditionalFormatting sqref="AU620">
    <cfRule type="cellIs" dxfId="0" priority="2623" operator="lessThan">
      <formula>20</formula>
    </cfRule>
    <cfRule type="cellIs" dxfId="1" priority="1544" operator="greaterThan">
      <formula>120</formula>
    </cfRule>
    <cfRule type="containsText" dxfId="2" priority="465" operator="between" text="库存为">
      <formula>NOT(ISERROR(SEARCH("库存为",AU620)))</formula>
    </cfRule>
  </conditionalFormatting>
  <conditionalFormatting sqref="AU621">
    <cfRule type="cellIs" dxfId="0" priority="2622" operator="lessThan">
      <formula>20</formula>
    </cfRule>
    <cfRule type="cellIs" dxfId="1" priority="1543" operator="greaterThan">
      <formula>120</formula>
    </cfRule>
    <cfRule type="containsText" dxfId="2" priority="464" operator="between" text="库存为">
      <formula>NOT(ISERROR(SEARCH("库存为",AU621)))</formula>
    </cfRule>
  </conditionalFormatting>
  <conditionalFormatting sqref="AU622">
    <cfRule type="cellIs" dxfId="0" priority="2621" operator="lessThan">
      <formula>20</formula>
    </cfRule>
    <cfRule type="cellIs" dxfId="1" priority="1542" operator="greaterThan">
      <formula>120</formula>
    </cfRule>
    <cfRule type="containsText" dxfId="2" priority="463" operator="between" text="库存为">
      <formula>NOT(ISERROR(SEARCH("库存为",AU622)))</formula>
    </cfRule>
  </conditionalFormatting>
  <conditionalFormatting sqref="AU623">
    <cfRule type="cellIs" dxfId="0" priority="2620" operator="lessThan">
      <formula>20</formula>
    </cfRule>
    <cfRule type="cellIs" dxfId="1" priority="1541" operator="greaterThan">
      <formula>120</formula>
    </cfRule>
    <cfRule type="containsText" dxfId="2" priority="462" operator="between" text="库存为">
      <formula>NOT(ISERROR(SEARCH("库存为",AU623)))</formula>
    </cfRule>
  </conditionalFormatting>
  <conditionalFormatting sqref="AU624">
    <cfRule type="cellIs" dxfId="0" priority="2619" operator="lessThan">
      <formula>20</formula>
    </cfRule>
    <cfRule type="cellIs" dxfId="1" priority="1540" operator="greaterThan">
      <formula>120</formula>
    </cfRule>
    <cfRule type="containsText" dxfId="2" priority="461" operator="between" text="库存为">
      <formula>NOT(ISERROR(SEARCH("库存为",AU624)))</formula>
    </cfRule>
  </conditionalFormatting>
  <conditionalFormatting sqref="AU625">
    <cfRule type="cellIs" dxfId="0" priority="2618" operator="lessThan">
      <formula>20</formula>
    </cfRule>
    <cfRule type="cellIs" dxfId="1" priority="1539" operator="greaterThan">
      <formula>120</formula>
    </cfRule>
    <cfRule type="containsText" dxfId="2" priority="460" operator="between" text="库存为">
      <formula>NOT(ISERROR(SEARCH("库存为",AU625)))</formula>
    </cfRule>
  </conditionalFormatting>
  <conditionalFormatting sqref="AU626">
    <cfRule type="cellIs" dxfId="0" priority="2617" operator="lessThan">
      <formula>20</formula>
    </cfRule>
    <cfRule type="cellIs" dxfId="1" priority="1538" operator="greaterThan">
      <formula>120</formula>
    </cfRule>
    <cfRule type="containsText" dxfId="2" priority="459" operator="between" text="库存为">
      <formula>NOT(ISERROR(SEARCH("库存为",AU626)))</formula>
    </cfRule>
  </conditionalFormatting>
  <conditionalFormatting sqref="AU627">
    <cfRule type="cellIs" dxfId="0" priority="2616" operator="lessThan">
      <formula>20</formula>
    </cfRule>
    <cfRule type="cellIs" dxfId="1" priority="1537" operator="greaterThan">
      <formula>120</formula>
    </cfRule>
    <cfRule type="containsText" dxfId="2" priority="458" operator="between" text="库存为">
      <formula>NOT(ISERROR(SEARCH("库存为",AU627)))</formula>
    </cfRule>
  </conditionalFormatting>
  <conditionalFormatting sqref="AU628">
    <cfRule type="cellIs" dxfId="0" priority="2615" operator="lessThan">
      <formula>20</formula>
    </cfRule>
    <cfRule type="cellIs" dxfId="1" priority="1536" operator="greaterThan">
      <formula>120</formula>
    </cfRule>
    <cfRule type="containsText" dxfId="2" priority="457" operator="between" text="库存为">
      <formula>NOT(ISERROR(SEARCH("库存为",AU628)))</formula>
    </cfRule>
  </conditionalFormatting>
  <conditionalFormatting sqref="AU629">
    <cfRule type="cellIs" dxfId="0" priority="2614" operator="lessThan">
      <formula>20</formula>
    </cfRule>
    <cfRule type="cellIs" dxfId="1" priority="1535" operator="greaterThan">
      <formula>120</formula>
    </cfRule>
    <cfRule type="containsText" dxfId="2" priority="456" operator="between" text="库存为">
      <formula>NOT(ISERROR(SEARCH("库存为",AU629)))</formula>
    </cfRule>
  </conditionalFormatting>
  <conditionalFormatting sqref="AU630">
    <cfRule type="cellIs" dxfId="0" priority="2613" operator="lessThan">
      <formula>20</formula>
    </cfRule>
    <cfRule type="cellIs" dxfId="1" priority="1534" operator="greaterThan">
      <formula>120</formula>
    </cfRule>
    <cfRule type="containsText" dxfId="2" priority="455" operator="between" text="库存为">
      <formula>NOT(ISERROR(SEARCH("库存为",AU630)))</formula>
    </cfRule>
  </conditionalFormatting>
  <conditionalFormatting sqref="AU631">
    <cfRule type="cellIs" dxfId="0" priority="2612" operator="lessThan">
      <formula>20</formula>
    </cfRule>
    <cfRule type="cellIs" dxfId="1" priority="1533" operator="greaterThan">
      <formula>120</formula>
    </cfRule>
    <cfRule type="containsText" dxfId="2" priority="454" operator="between" text="库存为">
      <formula>NOT(ISERROR(SEARCH("库存为",AU631)))</formula>
    </cfRule>
  </conditionalFormatting>
  <conditionalFormatting sqref="AU632">
    <cfRule type="cellIs" dxfId="0" priority="2611" operator="lessThan">
      <formula>20</formula>
    </cfRule>
    <cfRule type="cellIs" dxfId="1" priority="1532" operator="greaterThan">
      <formula>120</formula>
    </cfRule>
    <cfRule type="containsText" dxfId="2" priority="453" operator="between" text="库存为">
      <formula>NOT(ISERROR(SEARCH("库存为",AU632)))</formula>
    </cfRule>
  </conditionalFormatting>
  <conditionalFormatting sqref="AU633">
    <cfRule type="cellIs" dxfId="0" priority="2610" operator="lessThan">
      <formula>20</formula>
    </cfRule>
    <cfRule type="cellIs" dxfId="1" priority="1531" operator="greaterThan">
      <formula>120</formula>
    </cfRule>
    <cfRule type="containsText" dxfId="2" priority="452" operator="between" text="库存为">
      <formula>NOT(ISERROR(SEARCH("库存为",AU633)))</formula>
    </cfRule>
  </conditionalFormatting>
  <conditionalFormatting sqref="AU634">
    <cfRule type="cellIs" dxfId="0" priority="2609" operator="lessThan">
      <formula>20</formula>
    </cfRule>
    <cfRule type="cellIs" dxfId="1" priority="1530" operator="greaterThan">
      <formula>120</formula>
    </cfRule>
    <cfRule type="containsText" dxfId="2" priority="451" operator="between" text="库存为">
      <formula>NOT(ISERROR(SEARCH("库存为",AU634)))</formula>
    </cfRule>
  </conditionalFormatting>
  <conditionalFormatting sqref="AU635">
    <cfRule type="cellIs" dxfId="0" priority="2608" operator="lessThan">
      <formula>20</formula>
    </cfRule>
    <cfRule type="cellIs" dxfId="1" priority="1529" operator="greaterThan">
      <formula>120</formula>
    </cfRule>
    <cfRule type="containsText" dxfId="2" priority="450" operator="between" text="库存为">
      <formula>NOT(ISERROR(SEARCH("库存为",AU635)))</formula>
    </cfRule>
  </conditionalFormatting>
  <conditionalFormatting sqref="AU636">
    <cfRule type="cellIs" dxfId="0" priority="2607" operator="lessThan">
      <formula>20</formula>
    </cfRule>
    <cfRule type="cellIs" dxfId="1" priority="1528" operator="greaterThan">
      <formula>120</formula>
    </cfRule>
    <cfRule type="containsText" dxfId="2" priority="449" operator="between" text="库存为">
      <formula>NOT(ISERROR(SEARCH("库存为",AU636)))</formula>
    </cfRule>
  </conditionalFormatting>
  <conditionalFormatting sqref="AU637">
    <cfRule type="cellIs" dxfId="0" priority="2606" operator="lessThan">
      <formula>20</formula>
    </cfRule>
    <cfRule type="cellIs" dxfId="1" priority="1527" operator="greaterThan">
      <formula>120</formula>
    </cfRule>
    <cfRule type="containsText" dxfId="2" priority="448" operator="between" text="库存为">
      <formula>NOT(ISERROR(SEARCH("库存为",AU637)))</formula>
    </cfRule>
  </conditionalFormatting>
  <conditionalFormatting sqref="AU638">
    <cfRule type="cellIs" dxfId="0" priority="2605" operator="lessThan">
      <formula>20</formula>
    </cfRule>
    <cfRule type="cellIs" dxfId="1" priority="1526" operator="greaterThan">
      <formula>120</formula>
    </cfRule>
    <cfRule type="containsText" dxfId="2" priority="447" operator="between" text="库存为">
      <formula>NOT(ISERROR(SEARCH("库存为",AU638)))</formula>
    </cfRule>
  </conditionalFormatting>
  <conditionalFormatting sqref="AU639">
    <cfRule type="cellIs" dxfId="0" priority="2604" operator="lessThan">
      <formula>20</formula>
    </cfRule>
    <cfRule type="cellIs" dxfId="1" priority="1525" operator="greaterThan">
      <formula>120</formula>
    </cfRule>
    <cfRule type="containsText" dxfId="2" priority="446" operator="between" text="库存为">
      <formula>NOT(ISERROR(SEARCH("库存为",AU639)))</formula>
    </cfRule>
  </conditionalFormatting>
  <conditionalFormatting sqref="AU640">
    <cfRule type="cellIs" dxfId="0" priority="2603" operator="lessThan">
      <formula>20</formula>
    </cfRule>
    <cfRule type="cellIs" dxfId="1" priority="1524" operator="greaterThan">
      <formula>120</formula>
    </cfRule>
    <cfRule type="containsText" dxfId="2" priority="445" operator="between" text="库存为">
      <formula>NOT(ISERROR(SEARCH("库存为",AU640)))</formula>
    </cfRule>
  </conditionalFormatting>
  <conditionalFormatting sqref="AU641">
    <cfRule type="cellIs" dxfId="0" priority="2602" operator="lessThan">
      <formula>20</formula>
    </cfRule>
    <cfRule type="cellIs" dxfId="1" priority="1523" operator="greaterThan">
      <formula>120</formula>
    </cfRule>
    <cfRule type="containsText" dxfId="2" priority="444" operator="between" text="库存为">
      <formula>NOT(ISERROR(SEARCH("库存为",AU641)))</formula>
    </cfRule>
  </conditionalFormatting>
  <conditionalFormatting sqref="AU642">
    <cfRule type="cellIs" dxfId="0" priority="2601" operator="lessThan">
      <formula>20</formula>
    </cfRule>
    <cfRule type="cellIs" dxfId="1" priority="1522" operator="greaterThan">
      <formula>120</formula>
    </cfRule>
    <cfRule type="containsText" dxfId="2" priority="443" operator="between" text="库存为">
      <formula>NOT(ISERROR(SEARCH("库存为",AU642)))</formula>
    </cfRule>
  </conditionalFormatting>
  <conditionalFormatting sqref="AU643">
    <cfRule type="cellIs" dxfId="0" priority="2600" operator="lessThan">
      <formula>20</formula>
    </cfRule>
    <cfRule type="cellIs" dxfId="1" priority="1521" operator="greaterThan">
      <formula>120</formula>
    </cfRule>
    <cfRule type="containsText" dxfId="2" priority="442" operator="between" text="库存为">
      <formula>NOT(ISERROR(SEARCH("库存为",AU643)))</formula>
    </cfRule>
  </conditionalFormatting>
  <conditionalFormatting sqref="AU644">
    <cfRule type="cellIs" dxfId="0" priority="2599" operator="lessThan">
      <formula>20</formula>
    </cfRule>
    <cfRule type="cellIs" dxfId="1" priority="1520" operator="greaterThan">
      <formula>120</formula>
    </cfRule>
    <cfRule type="containsText" dxfId="2" priority="441" operator="between" text="库存为">
      <formula>NOT(ISERROR(SEARCH("库存为",AU644)))</formula>
    </cfRule>
  </conditionalFormatting>
  <conditionalFormatting sqref="AU645">
    <cfRule type="cellIs" dxfId="0" priority="2598" operator="lessThan">
      <formula>20</formula>
    </cfRule>
    <cfRule type="cellIs" dxfId="1" priority="1519" operator="greaterThan">
      <formula>120</formula>
    </cfRule>
    <cfRule type="containsText" dxfId="2" priority="440" operator="between" text="库存为">
      <formula>NOT(ISERROR(SEARCH("库存为",AU645)))</formula>
    </cfRule>
  </conditionalFormatting>
  <conditionalFormatting sqref="AU646">
    <cfRule type="cellIs" dxfId="0" priority="2597" operator="lessThan">
      <formula>20</formula>
    </cfRule>
    <cfRule type="cellIs" dxfId="1" priority="1518" operator="greaterThan">
      <formula>120</formula>
    </cfRule>
    <cfRule type="containsText" dxfId="2" priority="439" operator="between" text="库存为">
      <formula>NOT(ISERROR(SEARCH("库存为",AU646)))</formula>
    </cfRule>
  </conditionalFormatting>
  <conditionalFormatting sqref="AU647">
    <cfRule type="cellIs" dxfId="0" priority="2596" operator="lessThan">
      <formula>20</formula>
    </cfRule>
    <cfRule type="cellIs" dxfId="1" priority="1517" operator="greaterThan">
      <formula>120</formula>
    </cfRule>
    <cfRule type="containsText" dxfId="2" priority="438" operator="between" text="库存为">
      <formula>NOT(ISERROR(SEARCH("库存为",AU647)))</formula>
    </cfRule>
  </conditionalFormatting>
  <conditionalFormatting sqref="AU648">
    <cfRule type="cellIs" dxfId="0" priority="2595" operator="lessThan">
      <formula>20</formula>
    </cfRule>
    <cfRule type="cellIs" dxfId="1" priority="1516" operator="greaterThan">
      <formula>120</formula>
    </cfRule>
    <cfRule type="containsText" dxfId="2" priority="437" operator="between" text="库存为">
      <formula>NOT(ISERROR(SEARCH("库存为",AU648)))</formula>
    </cfRule>
  </conditionalFormatting>
  <conditionalFormatting sqref="AU649">
    <cfRule type="cellIs" dxfId="0" priority="2594" operator="lessThan">
      <formula>20</formula>
    </cfRule>
    <cfRule type="cellIs" dxfId="1" priority="1515" operator="greaterThan">
      <formula>120</formula>
    </cfRule>
    <cfRule type="containsText" dxfId="2" priority="436" operator="between" text="库存为">
      <formula>NOT(ISERROR(SEARCH("库存为",AU649)))</formula>
    </cfRule>
  </conditionalFormatting>
  <conditionalFormatting sqref="AU650">
    <cfRule type="cellIs" dxfId="0" priority="2593" operator="lessThan">
      <formula>20</formula>
    </cfRule>
    <cfRule type="cellIs" dxfId="1" priority="1514" operator="greaterThan">
      <formula>120</formula>
    </cfRule>
    <cfRule type="containsText" dxfId="2" priority="435" operator="between" text="库存为">
      <formula>NOT(ISERROR(SEARCH("库存为",AU650)))</formula>
    </cfRule>
  </conditionalFormatting>
  <conditionalFormatting sqref="AU651">
    <cfRule type="cellIs" dxfId="0" priority="2592" operator="lessThan">
      <formula>20</formula>
    </cfRule>
    <cfRule type="cellIs" dxfId="1" priority="1513" operator="greaterThan">
      <formula>120</formula>
    </cfRule>
    <cfRule type="containsText" dxfId="2" priority="434" operator="between" text="库存为">
      <formula>NOT(ISERROR(SEARCH("库存为",AU651)))</formula>
    </cfRule>
  </conditionalFormatting>
  <conditionalFormatting sqref="AU652">
    <cfRule type="cellIs" dxfId="0" priority="2591" operator="lessThan">
      <formula>20</formula>
    </cfRule>
    <cfRule type="cellIs" dxfId="1" priority="1512" operator="greaterThan">
      <formula>120</formula>
    </cfRule>
    <cfRule type="containsText" dxfId="2" priority="433" operator="between" text="库存为">
      <formula>NOT(ISERROR(SEARCH("库存为",AU652)))</formula>
    </cfRule>
  </conditionalFormatting>
  <conditionalFormatting sqref="AU653">
    <cfRule type="cellIs" dxfId="0" priority="2590" operator="lessThan">
      <formula>20</formula>
    </cfRule>
    <cfRule type="cellIs" dxfId="1" priority="1511" operator="greaterThan">
      <formula>120</formula>
    </cfRule>
    <cfRule type="containsText" dxfId="2" priority="432" operator="between" text="库存为">
      <formula>NOT(ISERROR(SEARCH("库存为",AU653)))</formula>
    </cfRule>
  </conditionalFormatting>
  <conditionalFormatting sqref="AU654">
    <cfRule type="cellIs" dxfId="0" priority="2589" operator="lessThan">
      <formula>20</formula>
    </cfRule>
    <cfRule type="cellIs" dxfId="1" priority="1510" operator="greaterThan">
      <formula>120</formula>
    </cfRule>
    <cfRule type="containsText" dxfId="2" priority="431" operator="between" text="库存为">
      <formula>NOT(ISERROR(SEARCH("库存为",AU654)))</formula>
    </cfRule>
  </conditionalFormatting>
  <conditionalFormatting sqref="AU655">
    <cfRule type="cellIs" dxfId="0" priority="2588" operator="lessThan">
      <formula>20</formula>
    </cfRule>
    <cfRule type="cellIs" dxfId="1" priority="1509" operator="greaterThan">
      <formula>120</formula>
    </cfRule>
    <cfRule type="containsText" dxfId="2" priority="430" operator="between" text="库存为">
      <formula>NOT(ISERROR(SEARCH("库存为",AU655)))</formula>
    </cfRule>
  </conditionalFormatting>
  <conditionalFormatting sqref="AU656">
    <cfRule type="cellIs" dxfId="0" priority="2587" operator="lessThan">
      <formula>20</formula>
    </cfRule>
    <cfRule type="cellIs" dxfId="1" priority="1508" operator="greaterThan">
      <formula>120</formula>
    </cfRule>
    <cfRule type="containsText" dxfId="2" priority="429" operator="between" text="库存为">
      <formula>NOT(ISERROR(SEARCH("库存为",AU656)))</formula>
    </cfRule>
  </conditionalFormatting>
  <conditionalFormatting sqref="AU657">
    <cfRule type="cellIs" dxfId="0" priority="2586" operator="lessThan">
      <formula>20</formula>
    </cfRule>
    <cfRule type="cellIs" dxfId="1" priority="1507" operator="greaterThan">
      <formula>120</formula>
    </cfRule>
    <cfRule type="containsText" dxfId="2" priority="428" operator="between" text="库存为">
      <formula>NOT(ISERROR(SEARCH("库存为",AU657)))</formula>
    </cfRule>
  </conditionalFormatting>
  <conditionalFormatting sqref="AU658">
    <cfRule type="cellIs" dxfId="0" priority="2585" operator="lessThan">
      <formula>20</formula>
    </cfRule>
    <cfRule type="cellIs" dxfId="1" priority="1506" operator="greaterThan">
      <formula>120</formula>
    </cfRule>
    <cfRule type="containsText" dxfId="2" priority="427" operator="between" text="库存为">
      <formula>NOT(ISERROR(SEARCH("库存为",AU658)))</formula>
    </cfRule>
  </conditionalFormatting>
  <conditionalFormatting sqref="AU659">
    <cfRule type="cellIs" dxfId="0" priority="2584" operator="lessThan">
      <formula>20</formula>
    </cfRule>
    <cfRule type="cellIs" dxfId="1" priority="1505" operator="greaterThan">
      <formula>120</formula>
    </cfRule>
    <cfRule type="containsText" dxfId="2" priority="426" operator="between" text="库存为">
      <formula>NOT(ISERROR(SEARCH("库存为",AU659)))</formula>
    </cfRule>
  </conditionalFormatting>
  <conditionalFormatting sqref="AU660">
    <cfRule type="cellIs" dxfId="0" priority="2583" operator="lessThan">
      <formula>20</formula>
    </cfRule>
    <cfRule type="cellIs" dxfId="1" priority="1504" operator="greaterThan">
      <formula>120</formula>
    </cfRule>
    <cfRule type="containsText" dxfId="2" priority="425" operator="between" text="库存为">
      <formula>NOT(ISERROR(SEARCH("库存为",AU660)))</formula>
    </cfRule>
  </conditionalFormatting>
  <conditionalFormatting sqref="AU661">
    <cfRule type="cellIs" dxfId="0" priority="2582" operator="lessThan">
      <formula>20</formula>
    </cfRule>
    <cfRule type="cellIs" dxfId="1" priority="1503" operator="greaterThan">
      <formula>120</formula>
    </cfRule>
    <cfRule type="containsText" dxfId="2" priority="424" operator="between" text="库存为">
      <formula>NOT(ISERROR(SEARCH("库存为",AU661)))</formula>
    </cfRule>
  </conditionalFormatting>
  <conditionalFormatting sqref="AU662">
    <cfRule type="cellIs" dxfId="0" priority="2581" operator="lessThan">
      <formula>20</formula>
    </cfRule>
    <cfRule type="cellIs" dxfId="1" priority="1502" operator="greaterThan">
      <formula>120</formula>
    </cfRule>
    <cfRule type="containsText" dxfId="2" priority="423" operator="between" text="库存为">
      <formula>NOT(ISERROR(SEARCH("库存为",AU662)))</formula>
    </cfRule>
  </conditionalFormatting>
  <conditionalFormatting sqref="AU663">
    <cfRule type="cellIs" dxfId="0" priority="2580" operator="lessThan">
      <formula>20</formula>
    </cfRule>
    <cfRule type="cellIs" dxfId="1" priority="1501" operator="greaterThan">
      <formula>120</formula>
    </cfRule>
    <cfRule type="containsText" dxfId="2" priority="422" operator="between" text="库存为">
      <formula>NOT(ISERROR(SEARCH("库存为",AU663)))</formula>
    </cfRule>
  </conditionalFormatting>
  <conditionalFormatting sqref="AU664">
    <cfRule type="cellIs" dxfId="0" priority="2579" operator="lessThan">
      <formula>20</formula>
    </cfRule>
    <cfRule type="cellIs" dxfId="1" priority="1500" operator="greaterThan">
      <formula>120</formula>
    </cfRule>
    <cfRule type="containsText" dxfId="2" priority="421" operator="between" text="库存为">
      <formula>NOT(ISERROR(SEARCH("库存为",AU664)))</formula>
    </cfRule>
  </conditionalFormatting>
  <conditionalFormatting sqref="AU665">
    <cfRule type="cellIs" dxfId="0" priority="2578" operator="lessThan">
      <formula>20</formula>
    </cfRule>
    <cfRule type="cellIs" dxfId="1" priority="1499" operator="greaterThan">
      <formula>120</formula>
    </cfRule>
    <cfRule type="containsText" dxfId="2" priority="420" operator="between" text="库存为">
      <formula>NOT(ISERROR(SEARCH("库存为",AU665)))</formula>
    </cfRule>
  </conditionalFormatting>
  <conditionalFormatting sqref="AU666">
    <cfRule type="cellIs" dxfId="0" priority="2577" operator="lessThan">
      <formula>20</formula>
    </cfRule>
    <cfRule type="cellIs" dxfId="1" priority="1498" operator="greaterThan">
      <formula>120</formula>
    </cfRule>
    <cfRule type="containsText" dxfId="2" priority="419" operator="between" text="库存为">
      <formula>NOT(ISERROR(SEARCH("库存为",AU666)))</formula>
    </cfRule>
  </conditionalFormatting>
  <conditionalFormatting sqref="AU667">
    <cfRule type="cellIs" dxfId="0" priority="2576" operator="lessThan">
      <formula>20</formula>
    </cfRule>
    <cfRule type="cellIs" dxfId="1" priority="1497" operator="greaterThan">
      <formula>120</formula>
    </cfRule>
    <cfRule type="containsText" dxfId="2" priority="418" operator="between" text="库存为">
      <formula>NOT(ISERROR(SEARCH("库存为",AU667)))</formula>
    </cfRule>
  </conditionalFormatting>
  <conditionalFormatting sqref="AU668">
    <cfRule type="cellIs" dxfId="0" priority="2575" operator="lessThan">
      <formula>20</formula>
    </cfRule>
    <cfRule type="cellIs" dxfId="1" priority="1496" operator="greaterThan">
      <formula>120</formula>
    </cfRule>
    <cfRule type="containsText" dxfId="2" priority="417" operator="between" text="库存为">
      <formula>NOT(ISERROR(SEARCH("库存为",AU668)))</formula>
    </cfRule>
  </conditionalFormatting>
  <conditionalFormatting sqref="AU669">
    <cfRule type="cellIs" dxfId="0" priority="2574" operator="lessThan">
      <formula>20</formula>
    </cfRule>
    <cfRule type="cellIs" dxfId="1" priority="1495" operator="greaterThan">
      <formula>120</formula>
    </cfRule>
    <cfRule type="containsText" dxfId="2" priority="416" operator="between" text="库存为">
      <formula>NOT(ISERROR(SEARCH("库存为",AU669)))</formula>
    </cfRule>
  </conditionalFormatting>
  <conditionalFormatting sqref="AU670">
    <cfRule type="cellIs" dxfId="0" priority="2573" operator="lessThan">
      <formula>20</formula>
    </cfRule>
    <cfRule type="cellIs" dxfId="1" priority="1494" operator="greaterThan">
      <formula>120</formula>
    </cfRule>
    <cfRule type="containsText" dxfId="2" priority="415" operator="between" text="库存为">
      <formula>NOT(ISERROR(SEARCH("库存为",AU670)))</formula>
    </cfRule>
  </conditionalFormatting>
  <conditionalFormatting sqref="AU671">
    <cfRule type="cellIs" dxfId="0" priority="2572" operator="lessThan">
      <formula>20</formula>
    </cfRule>
    <cfRule type="cellIs" dxfId="1" priority="1493" operator="greaterThan">
      <formula>120</formula>
    </cfRule>
    <cfRule type="containsText" dxfId="2" priority="414" operator="between" text="库存为">
      <formula>NOT(ISERROR(SEARCH("库存为",AU671)))</formula>
    </cfRule>
  </conditionalFormatting>
  <conditionalFormatting sqref="AU672">
    <cfRule type="cellIs" dxfId="0" priority="2571" operator="lessThan">
      <formula>20</formula>
    </cfRule>
    <cfRule type="cellIs" dxfId="1" priority="1492" operator="greaterThan">
      <formula>120</formula>
    </cfRule>
    <cfRule type="containsText" dxfId="2" priority="413" operator="between" text="库存为">
      <formula>NOT(ISERROR(SEARCH("库存为",AU672)))</formula>
    </cfRule>
  </conditionalFormatting>
  <conditionalFormatting sqref="AU673">
    <cfRule type="cellIs" dxfId="0" priority="2570" operator="lessThan">
      <formula>20</formula>
    </cfRule>
    <cfRule type="cellIs" dxfId="1" priority="1491" operator="greaterThan">
      <formula>120</formula>
    </cfRule>
    <cfRule type="containsText" dxfId="2" priority="412" operator="between" text="库存为">
      <formula>NOT(ISERROR(SEARCH("库存为",AU673)))</formula>
    </cfRule>
  </conditionalFormatting>
  <conditionalFormatting sqref="AU674">
    <cfRule type="cellIs" dxfId="0" priority="2569" operator="lessThan">
      <formula>20</formula>
    </cfRule>
    <cfRule type="cellIs" dxfId="1" priority="1490" operator="greaterThan">
      <formula>120</formula>
    </cfRule>
    <cfRule type="containsText" dxfId="2" priority="411" operator="between" text="库存为">
      <formula>NOT(ISERROR(SEARCH("库存为",AU674)))</formula>
    </cfRule>
  </conditionalFormatting>
  <conditionalFormatting sqref="AU675">
    <cfRule type="cellIs" dxfId="0" priority="2568" operator="lessThan">
      <formula>20</formula>
    </cfRule>
    <cfRule type="cellIs" dxfId="1" priority="1489" operator="greaterThan">
      <formula>120</formula>
    </cfRule>
    <cfRule type="containsText" dxfId="2" priority="410" operator="between" text="库存为">
      <formula>NOT(ISERROR(SEARCH("库存为",AU675)))</formula>
    </cfRule>
  </conditionalFormatting>
  <conditionalFormatting sqref="AU676">
    <cfRule type="cellIs" dxfId="0" priority="2567" operator="lessThan">
      <formula>20</formula>
    </cfRule>
    <cfRule type="cellIs" dxfId="1" priority="1488" operator="greaterThan">
      <formula>120</formula>
    </cfRule>
    <cfRule type="containsText" dxfId="2" priority="409" operator="between" text="库存为">
      <formula>NOT(ISERROR(SEARCH("库存为",AU676)))</formula>
    </cfRule>
  </conditionalFormatting>
  <conditionalFormatting sqref="AU677">
    <cfRule type="cellIs" dxfId="0" priority="2566" operator="lessThan">
      <formula>20</formula>
    </cfRule>
    <cfRule type="cellIs" dxfId="1" priority="1487" operator="greaterThan">
      <formula>120</formula>
    </cfRule>
    <cfRule type="containsText" dxfId="2" priority="408" operator="between" text="库存为">
      <formula>NOT(ISERROR(SEARCH("库存为",AU677)))</formula>
    </cfRule>
  </conditionalFormatting>
  <conditionalFormatting sqref="AU678">
    <cfRule type="cellIs" dxfId="0" priority="2565" operator="lessThan">
      <formula>20</formula>
    </cfRule>
    <cfRule type="cellIs" dxfId="1" priority="1486" operator="greaterThan">
      <formula>120</formula>
    </cfRule>
    <cfRule type="containsText" dxfId="2" priority="407" operator="between" text="库存为">
      <formula>NOT(ISERROR(SEARCH("库存为",AU678)))</formula>
    </cfRule>
  </conditionalFormatting>
  <conditionalFormatting sqref="AU679">
    <cfRule type="cellIs" dxfId="0" priority="2564" operator="lessThan">
      <formula>20</formula>
    </cfRule>
    <cfRule type="cellIs" dxfId="1" priority="1485" operator="greaterThan">
      <formula>120</formula>
    </cfRule>
    <cfRule type="containsText" dxfId="2" priority="406" operator="between" text="库存为">
      <formula>NOT(ISERROR(SEARCH("库存为",AU679)))</formula>
    </cfRule>
  </conditionalFormatting>
  <conditionalFormatting sqref="AU680">
    <cfRule type="cellIs" dxfId="0" priority="2563" operator="lessThan">
      <formula>20</formula>
    </cfRule>
    <cfRule type="cellIs" dxfId="1" priority="1484" operator="greaterThan">
      <formula>120</formula>
    </cfRule>
    <cfRule type="containsText" dxfId="2" priority="405" operator="between" text="库存为">
      <formula>NOT(ISERROR(SEARCH("库存为",AU680)))</formula>
    </cfRule>
  </conditionalFormatting>
  <conditionalFormatting sqref="AU681">
    <cfRule type="cellIs" dxfId="0" priority="2562" operator="lessThan">
      <formula>20</formula>
    </cfRule>
    <cfRule type="cellIs" dxfId="1" priority="1483" operator="greaterThan">
      <formula>120</formula>
    </cfRule>
    <cfRule type="containsText" dxfId="2" priority="404" operator="between" text="库存为">
      <formula>NOT(ISERROR(SEARCH("库存为",AU681)))</formula>
    </cfRule>
  </conditionalFormatting>
  <conditionalFormatting sqref="AU682">
    <cfRule type="cellIs" dxfId="0" priority="2561" operator="lessThan">
      <formula>20</formula>
    </cfRule>
    <cfRule type="cellIs" dxfId="1" priority="1482" operator="greaterThan">
      <formula>120</formula>
    </cfRule>
    <cfRule type="containsText" dxfId="2" priority="403" operator="between" text="库存为">
      <formula>NOT(ISERROR(SEARCH("库存为",AU682)))</formula>
    </cfRule>
  </conditionalFormatting>
  <conditionalFormatting sqref="AU683">
    <cfRule type="cellIs" dxfId="0" priority="2560" operator="lessThan">
      <formula>20</formula>
    </cfRule>
    <cfRule type="cellIs" dxfId="1" priority="1481" operator="greaterThan">
      <formula>120</formula>
    </cfRule>
    <cfRule type="containsText" dxfId="2" priority="402" operator="between" text="库存为">
      <formula>NOT(ISERROR(SEARCH("库存为",AU683)))</formula>
    </cfRule>
  </conditionalFormatting>
  <conditionalFormatting sqref="AU684">
    <cfRule type="cellIs" dxfId="0" priority="2559" operator="lessThan">
      <formula>20</formula>
    </cfRule>
    <cfRule type="cellIs" dxfId="1" priority="1480" operator="greaterThan">
      <formula>120</formula>
    </cfRule>
    <cfRule type="containsText" dxfId="2" priority="401" operator="between" text="库存为">
      <formula>NOT(ISERROR(SEARCH("库存为",AU684)))</formula>
    </cfRule>
  </conditionalFormatting>
  <conditionalFormatting sqref="AU685">
    <cfRule type="cellIs" dxfId="0" priority="2558" operator="lessThan">
      <formula>20</formula>
    </cfRule>
    <cfRule type="cellIs" dxfId="1" priority="1479" operator="greaterThan">
      <formula>120</formula>
    </cfRule>
    <cfRule type="containsText" dxfId="2" priority="400" operator="between" text="库存为">
      <formula>NOT(ISERROR(SEARCH("库存为",AU685)))</formula>
    </cfRule>
  </conditionalFormatting>
  <conditionalFormatting sqref="AU686">
    <cfRule type="cellIs" dxfId="0" priority="2557" operator="lessThan">
      <formula>20</formula>
    </cfRule>
    <cfRule type="cellIs" dxfId="1" priority="1478" operator="greaterThan">
      <formula>120</formula>
    </cfRule>
    <cfRule type="containsText" dxfId="2" priority="399" operator="between" text="库存为">
      <formula>NOT(ISERROR(SEARCH("库存为",AU686)))</formula>
    </cfRule>
  </conditionalFormatting>
  <conditionalFormatting sqref="AU687">
    <cfRule type="cellIs" dxfId="0" priority="2556" operator="lessThan">
      <formula>20</formula>
    </cfRule>
    <cfRule type="cellIs" dxfId="1" priority="1477" operator="greaterThan">
      <formula>120</formula>
    </cfRule>
    <cfRule type="containsText" dxfId="2" priority="398" operator="between" text="库存为">
      <formula>NOT(ISERROR(SEARCH("库存为",AU687)))</formula>
    </cfRule>
  </conditionalFormatting>
  <conditionalFormatting sqref="AU688">
    <cfRule type="cellIs" dxfId="0" priority="2555" operator="lessThan">
      <formula>20</formula>
    </cfRule>
    <cfRule type="cellIs" dxfId="1" priority="1476" operator="greaterThan">
      <formula>120</formula>
    </cfRule>
    <cfRule type="containsText" dxfId="2" priority="397" operator="between" text="库存为">
      <formula>NOT(ISERROR(SEARCH("库存为",AU688)))</formula>
    </cfRule>
  </conditionalFormatting>
  <conditionalFormatting sqref="AU689">
    <cfRule type="cellIs" dxfId="0" priority="2554" operator="lessThan">
      <formula>20</formula>
    </cfRule>
    <cfRule type="cellIs" dxfId="1" priority="1475" operator="greaterThan">
      <formula>120</formula>
    </cfRule>
    <cfRule type="containsText" dxfId="2" priority="396" operator="between" text="库存为">
      <formula>NOT(ISERROR(SEARCH("库存为",AU689)))</formula>
    </cfRule>
  </conditionalFormatting>
  <conditionalFormatting sqref="AU690">
    <cfRule type="cellIs" dxfId="0" priority="2553" operator="lessThan">
      <formula>20</formula>
    </cfRule>
    <cfRule type="cellIs" dxfId="1" priority="1474" operator="greaterThan">
      <formula>120</formula>
    </cfRule>
    <cfRule type="containsText" dxfId="2" priority="395" operator="between" text="库存为">
      <formula>NOT(ISERROR(SEARCH("库存为",AU690)))</formula>
    </cfRule>
  </conditionalFormatting>
  <conditionalFormatting sqref="AU691">
    <cfRule type="cellIs" dxfId="0" priority="2552" operator="lessThan">
      <formula>20</formula>
    </cfRule>
    <cfRule type="cellIs" dxfId="1" priority="1473" operator="greaterThan">
      <formula>120</formula>
    </cfRule>
    <cfRule type="containsText" dxfId="2" priority="394" operator="between" text="库存为">
      <formula>NOT(ISERROR(SEARCH("库存为",AU691)))</formula>
    </cfRule>
  </conditionalFormatting>
  <conditionalFormatting sqref="AU692">
    <cfRule type="cellIs" dxfId="0" priority="2551" operator="lessThan">
      <formula>20</formula>
    </cfRule>
    <cfRule type="cellIs" dxfId="1" priority="1472" operator="greaterThan">
      <formula>120</formula>
    </cfRule>
    <cfRule type="containsText" dxfId="2" priority="393" operator="between" text="库存为">
      <formula>NOT(ISERROR(SEARCH("库存为",AU692)))</formula>
    </cfRule>
  </conditionalFormatting>
  <conditionalFormatting sqref="AU693">
    <cfRule type="cellIs" dxfId="0" priority="2550" operator="lessThan">
      <formula>20</formula>
    </cfRule>
    <cfRule type="cellIs" dxfId="1" priority="1471" operator="greaterThan">
      <formula>120</formula>
    </cfRule>
    <cfRule type="containsText" dxfId="2" priority="392" operator="between" text="库存为">
      <formula>NOT(ISERROR(SEARCH("库存为",AU693)))</formula>
    </cfRule>
  </conditionalFormatting>
  <conditionalFormatting sqref="AU694">
    <cfRule type="cellIs" dxfId="0" priority="2549" operator="lessThan">
      <formula>20</formula>
    </cfRule>
    <cfRule type="cellIs" dxfId="1" priority="1470" operator="greaterThan">
      <formula>120</formula>
    </cfRule>
    <cfRule type="containsText" dxfId="2" priority="391" operator="between" text="库存为">
      <formula>NOT(ISERROR(SEARCH("库存为",AU694)))</formula>
    </cfRule>
  </conditionalFormatting>
  <conditionalFormatting sqref="AU695">
    <cfRule type="cellIs" dxfId="0" priority="2548" operator="lessThan">
      <formula>20</formula>
    </cfRule>
    <cfRule type="cellIs" dxfId="1" priority="1469" operator="greaterThan">
      <formula>120</formula>
    </cfRule>
    <cfRule type="containsText" dxfId="2" priority="390" operator="between" text="库存为">
      <formula>NOT(ISERROR(SEARCH("库存为",AU695)))</formula>
    </cfRule>
  </conditionalFormatting>
  <conditionalFormatting sqref="AU696">
    <cfRule type="cellIs" dxfId="0" priority="2547" operator="lessThan">
      <formula>20</formula>
    </cfRule>
    <cfRule type="cellIs" dxfId="1" priority="1468" operator="greaterThan">
      <formula>120</formula>
    </cfRule>
    <cfRule type="containsText" dxfId="2" priority="389" operator="between" text="库存为">
      <formula>NOT(ISERROR(SEARCH("库存为",AU696)))</formula>
    </cfRule>
  </conditionalFormatting>
  <conditionalFormatting sqref="AU697">
    <cfRule type="cellIs" dxfId="0" priority="2546" operator="lessThan">
      <formula>20</formula>
    </cfRule>
    <cfRule type="cellIs" dxfId="1" priority="1467" operator="greaterThan">
      <formula>120</formula>
    </cfRule>
    <cfRule type="containsText" dxfId="2" priority="388" operator="between" text="库存为">
      <formula>NOT(ISERROR(SEARCH("库存为",AU697)))</formula>
    </cfRule>
  </conditionalFormatting>
  <conditionalFormatting sqref="AU698">
    <cfRule type="cellIs" dxfId="0" priority="2545" operator="lessThan">
      <formula>20</formula>
    </cfRule>
    <cfRule type="cellIs" dxfId="1" priority="1466" operator="greaterThan">
      <formula>120</formula>
    </cfRule>
    <cfRule type="containsText" dxfId="2" priority="387" operator="between" text="库存为">
      <formula>NOT(ISERROR(SEARCH("库存为",AU698)))</formula>
    </cfRule>
  </conditionalFormatting>
  <conditionalFormatting sqref="AU699">
    <cfRule type="cellIs" dxfId="0" priority="2544" operator="lessThan">
      <formula>20</formula>
    </cfRule>
    <cfRule type="cellIs" dxfId="1" priority="1465" operator="greaterThan">
      <formula>120</formula>
    </cfRule>
    <cfRule type="containsText" dxfId="2" priority="386" operator="between" text="库存为">
      <formula>NOT(ISERROR(SEARCH("库存为",AU699)))</formula>
    </cfRule>
  </conditionalFormatting>
  <conditionalFormatting sqref="AU700">
    <cfRule type="cellIs" dxfId="0" priority="2543" operator="lessThan">
      <formula>20</formula>
    </cfRule>
    <cfRule type="cellIs" dxfId="1" priority="1464" operator="greaterThan">
      <formula>120</formula>
    </cfRule>
    <cfRule type="containsText" dxfId="2" priority="385" operator="between" text="库存为">
      <formula>NOT(ISERROR(SEARCH("库存为",AU700)))</formula>
    </cfRule>
  </conditionalFormatting>
  <conditionalFormatting sqref="AU701">
    <cfRule type="cellIs" dxfId="0" priority="2542" operator="lessThan">
      <formula>20</formula>
    </cfRule>
    <cfRule type="cellIs" dxfId="1" priority="1463" operator="greaterThan">
      <formula>120</formula>
    </cfRule>
    <cfRule type="containsText" dxfId="2" priority="384" operator="between" text="库存为">
      <formula>NOT(ISERROR(SEARCH("库存为",AU701)))</formula>
    </cfRule>
  </conditionalFormatting>
  <conditionalFormatting sqref="AU702">
    <cfRule type="cellIs" dxfId="0" priority="2541" operator="lessThan">
      <formula>20</formula>
    </cfRule>
    <cfRule type="cellIs" dxfId="1" priority="1462" operator="greaterThan">
      <formula>120</formula>
    </cfRule>
    <cfRule type="containsText" dxfId="2" priority="383" operator="between" text="库存为">
      <formula>NOT(ISERROR(SEARCH("库存为",AU702)))</formula>
    </cfRule>
  </conditionalFormatting>
  <conditionalFormatting sqref="AU703">
    <cfRule type="cellIs" dxfId="0" priority="2540" operator="lessThan">
      <formula>20</formula>
    </cfRule>
    <cfRule type="cellIs" dxfId="1" priority="1461" operator="greaterThan">
      <formula>120</formula>
    </cfRule>
    <cfRule type="containsText" dxfId="2" priority="382" operator="between" text="库存为">
      <formula>NOT(ISERROR(SEARCH("库存为",AU703)))</formula>
    </cfRule>
  </conditionalFormatting>
  <conditionalFormatting sqref="AU704">
    <cfRule type="cellIs" dxfId="0" priority="2539" operator="lessThan">
      <formula>20</formula>
    </cfRule>
    <cfRule type="cellIs" dxfId="1" priority="1460" operator="greaterThan">
      <formula>120</formula>
    </cfRule>
    <cfRule type="containsText" dxfId="2" priority="381" operator="between" text="库存为">
      <formula>NOT(ISERROR(SEARCH("库存为",AU704)))</formula>
    </cfRule>
  </conditionalFormatting>
  <conditionalFormatting sqref="AU705">
    <cfRule type="cellIs" dxfId="0" priority="2538" operator="lessThan">
      <formula>20</formula>
    </cfRule>
    <cfRule type="cellIs" dxfId="1" priority="1459" operator="greaterThan">
      <formula>120</formula>
    </cfRule>
    <cfRule type="containsText" dxfId="2" priority="380" operator="between" text="库存为">
      <formula>NOT(ISERROR(SEARCH("库存为",AU705)))</formula>
    </cfRule>
  </conditionalFormatting>
  <conditionalFormatting sqref="AU706">
    <cfRule type="cellIs" dxfId="0" priority="2537" operator="lessThan">
      <formula>20</formula>
    </cfRule>
    <cfRule type="cellIs" dxfId="1" priority="1458" operator="greaterThan">
      <formula>120</formula>
    </cfRule>
    <cfRule type="containsText" dxfId="2" priority="379" operator="between" text="库存为">
      <formula>NOT(ISERROR(SEARCH("库存为",AU706)))</formula>
    </cfRule>
  </conditionalFormatting>
  <conditionalFormatting sqref="AU707">
    <cfRule type="cellIs" dxfId="0" priority="2536" operator="lessThan">
      <formula>20</formula>
    </cfRule>
    <cfRule type="cellIs" dxfId="1" priority="1457" operator="greaterThan">
      <formula>120</formula>
    </cfRule>
    <cfRule type="containsText" dxfId="2" priority="378" operator="between" text="库存为">
      <formula>NOT(ISERROR(SEARCH("库存为",AU707)))</formula>
    </cfRule>
  </conditionalFormatting>
  <conditionalFormatting sqref="AU708">
    <cfRule type="cellIs" dxfId="0" priority="2535" operator="lessThan">
      <formula>20</formula>
    </cfRule>
    <cfRule type="cellIs" dxfId="1" priority="1456" operator="greaterThan">
      <formula>120</formula>
    </cfRule>
    <cfRule type="containsText" dxfId="2" priority="377" operator="between" text="库存为">
      <formula>NOT(ISERROR(SEARCH("库存为",AU708)))</formula>
    </cfRule>
  </conditionalFormatting>
  <conditionalFormatting sqref="AU709">
    <cfRule type="cellIs" dxfId="0" priority="2534" operator="lessThan">
      <formula>20</formula>
    </cfRule>
    <cfRule type="cellIs" dxfId="1" priority="1455" operator="greaterThan">
      <formula>120</formula>
    </cfRule>
    <cfRule type="containsText" dxfId="2" priority="376" operator="between" text="库存为">
      <formula>NOT(ISERROR(SEARCH("库存为",AU709)))</formula>
    </cfRule>
  </conditionalFormatting>
  <conditionalFormatting sqref="AU710">
    <cfRule type="cellIs" dxfId="0" priority="2533" operator="lessThan">
      <formula>20</formula>
    </cfRule>
    <cfRule type="cellIs" dxfId="1" priority="1454" operator="greaterThan">
      <formula>120</formula>
    </cfRule>
    <cfRule type="containsText" dxfId="2" priority="375" operator="between" text="库存为">
      <formula>NOT(ISERROR(SEARCH("库存为",AU710)))</formula>
    </cfRule>
  </conditionalFormatting>
  <conditionalFormatting sqref="AU711">
    <cfRule type="cellIs" dxfId="0" priority="2532" operator="lessThan">
      <formula>20</formula>
    </cfRule>
    <cfRule type="cellIs" dxfId="1" priority="1453" operator="greaterThan">
      <formula>120</formula>
    </cfRule>
    <cfRule type="containsText" dxfId="2" priority="374" operator="between" text="库存为">
      <formula>NOT(ISERROR(SEARCH("库存为",AU711)))</formula>
    </cfRule>
  </conditionalFormatting>
  <conditionalFormatting sqref="AU712">
    <cfRule type="cellIs" dxfId="0" priority="2531" operator="lessThan">
      <formula>20</formula>
    </cfRule>
    <cfRule type="cellIs" dxfId="1" priority="1452" operator="greaterThan">
      <formula>120</formula>
    </cfRule>
    <cfRule type="containsText" dxfId="2" priority="373" operator="between" text="库存为">
      <formula>NOT(ISERROR(SEARCH("库存为",AU712)))</formula>
    </cfRule>
  </conditionalFormatting>
  <conditionalFormatting sqref="AU713">
    <cfRule type="cellIs" dxfId="0" priority="2530" operator="lessThan">
      <formula>20</formula>
    </cfRule>
    <cfRule type="cellIs" dxfId="1" priority="1451" operator="greaterThan">
      <formula>120</formula>
    </cfRule>
    <cfRule type="containsText" dxfId="2" priority="372" operator="between" text="库存为">
      <formula>NOT(ISERROR(SEARCH("库存为",AU713)))</formula>
    </cfRule>
  </conditionalFormatting>
  <conditionalFormatting sqref="AU714">
    <cfRule type="cellIs" dxfId="0" priority="2529" operator="lessThan">
      <formula>20</formula>
    </cfRule>
    <cfRule type="cellIs" dxfId="1" priority="1450" operator="greaterThan">
      <formula>120</formula>
    </cfRule>
    <cfRule type="containsText" dxfId="2" priority="371" operator="between" text="库存为">
      <formula>NOT(ISERROR(SEARCH("库存为",AU714)))</formula>
    </cfRule>
  </conditionalFormatting>
  <conditionalFormatting sqref="AU715">
    <cfRule type="cellIs" dxfId="0" priority="2528" operator="lessThan">
      <formula>20</formula>
    </cfRule>
    <cfRule type="cellIs" dxfId="1" priority="1449" operator="greaterThan">
      <formula>120</formula>
    </cfRule>
    <cfRule type="containsText" dxfId="2" priority="370" operator="between" text="库存为">
      <formula>NOT(ISERROR(SEARCH("库存为",AU715)))</formula>
    </cfRule>
  </conditionalFormatting>
  <conditionalFormatting sqref="AU716">
    <cfRule type="cellIs" dxfId="0" priority="2527" operator="lessThan">
      <formula>20</formula>
    </cfRule>
    <cfRule type="cellIs" dxfId="1" priority="1448" operator="greaterThan">
      <formula>120</formula>
    </cfRule>
    <cfRule type="containsText" dxfId="2" priority="369" operator="between" text="库存为">
      <formula>NOT(ISERROR(SEARCH("库存为",AU716)))</formula>
    </cfRule>
  </conditionalFormatting>
  <conditionalFormatting sqref="AU717">
    <cfRule type="cellIs" dxfId="0" priority="2526" operator="lessThan">
      <formula>20</formula>
    </cfRule>
    <cfRule type="cellIs" dxfId="1" priority="1447" operator="greaterThan">
      <formula>120</formula>
    </cfRule>
    <cfRule type="containsText" dxfId="2" priority="368" operator="between" text="库存为">
      <formula>NOT(ISERROR(SEARCH("库存为",AU717)))</formula>
    </cfRule>
  </conditionalFormatting>
  <conditionalFormatting sqref="AU718">
    <cfRule type="cellIs" dxfId="0" priority="2525" operator="lessThan">
      <formula>20</formula>
    </cfRule>
    <cfRule type="cellIs" dxfId="1" priority="1446" operator="greaterThan">
      <formula>120</formula>
    </cfRule>
    <cfRule type="containsText" dxfId="2" priority="367" operator="between" text="库存为">
      <formula>NOT(ISERROR(SEARCH("库存为",AU718)))</formula>
    </cfRule>
  </conditionalFormatting>
  <conditionalFormatting sqref="AU719">
    <cfRule type="cellIs" dxfId="0" priority="2524" operator="lessThan">
      <formula>20</formula>
    </cfRule>
    <cfRule type="cellIs" dxfId="1" priority="1445" operator="greaterThan">
      <formula>120</formula>
    </cfRule>
    <cfRule type="containsText" dxfId="2" priority="366" operator="between" text="库存为">
      <formula>NOT(ISERROR(SEARCH("库存为",AU719)))</formula>
    </cfRule>
  </conditionalFormatting>
  <conditionalFormatting sqref="AU720">
    <cfRule type="cellIs" dxfId="0" priority="2523" operator="lessThan">
      <formula>20</formula>
    </cfRule>
    <cfRule type="cellIs" dxfId="1" priority="1444" operator="greaterThan">
      <formula>120</formula>
    </cfRule>
    <cfRule type="containsText" dxfId="2" priority="365" operator="between" text="库存为">
      <formula>NOT(ISERROR(SEARCH("库存为",AU720)))</formula>
    </cfRule>
  </conditionalFormatting>
  <conditionalFormatting sqref="AU721">
    <cfRule type="cellIs" dxfId="0" priority="2522" operator="lessThan">
      <formula>20</formula>
    </cfRule>
    <cfRule type="cellIs" dxfId="1" priority="1443" operator="greaterThan">
      <formula>120</formula>
    </cfRule>
    <cfRule type="containsText" dxfId="2" priority="364" operator="between" text="库存为">
      <formula>NOT(ISERROR(SEARCH("库存为",AU721)))</formula>
    </cfRule>
  </conditionalFormatting>
  <conditionalFormatting sqref="AU722">
    <cfRule type="cellIs" dxfId="0" priority="2521" operator="lessThan">
      <formula>20</formula>
    </cfRule>
    <cfRule type="cellIs" dxfId="1" priority="1442" operator="greaterThan">
      <formula>120</formula>
    </cfRule>
    <cfRule type="containsText" dxfId="2" priority="363" operator="between" text="库存为">
      <formula>NOT(ISERROR(SEARCH("库存为",AU722)))</formula>
    </cfRule>
  </conditionalFormatting>
  <conditionalFormatting sqref="AU723">
    <cfRule type="cellIs" dxfId="0" priority="2520" operator="lessThan">
      <formula>20</formula>
    </cfRule>
    <cfRule type="cellIs" dxfId="1" priority="1441" operator="greaterThan">
      <formula>120</formula>
    </cfRule>
    <cfRule type="containsText" dxfId="2" priority="362" operator="between" text="库存为">
      <formula>NOT(ISERROR(SEARCH("库存为",AU723)))</formula>
    </cfRule>
  </conditionalFormatting>
  <conditionalFormatting sqref="AU724">
    <cfRule type="cellIs" dxfId="0" priority="2519" operator="lessThan">
      <formula>20</formula>
    </cfRule>
    <cfRule type="cellIs" dxfId="1" priority="1440" operator="greaterThan">
      <formula>120</formula>
    </cfRule>
    <cfRule type="containsText" dxfId="2" priority="361" operator="between" text="库存为">
      <formula>NOT(ISERROR(SEARCH("库存为",AU724)))</formula>
    </cfRule>
  </conditionalFormatting>
  <conditionalFormatting sqref="AU725">
    <cfRule type="cellIs" dxfId="0" priority="2518" operator="lessThan">
      <formula>20</formula>
    </cfRule>
    <cfRule type="cellIs" dxfId="1" priority="1439" operator="greaterThan">
      <formula>120</formula>
    </cfRule>
    <cfRule type="containsText" dxfId="2" priority="360" operator="between" text="库存为">
      <formula>NOT(ISERROR(SEARCH("库存为",AU725)))</formula>
    </cfRule>
  </conditionalFormatting>
  <conditionalFormatting sqref="AU726">
    <cfRule type="cellIs" dxfId="0" priority="2517" operator="lessThan">
      <formula>20</formula>
    </cfRule>
    <cfRule type="cellIs" dxfId="1" priority="1438" operator="greaterThan">
      <formula>120</formula>
    </cfRule>
    <cfRule type="containsText" dxfId="2" priority="359" operator="between" text="库存为">
      <formula>NOT(ISERROR(SEARCH("库存为",AU726)))</formula>
    </cfRule>
  </conditionalFormatting>
  <conditionalFormatting sqref="AU727">
    <cfRule type="cellIs" dxfId="0" priority="2516" operator="lessThan">
      <formula>20</formula>
    </cfRule>
    <cfRule type="cellIs" dxfId="1" priority="1437" operator="greaterThan">
      <formula>120</formula>
    </cfRule>
    <cfRule type="containsText" dxfId="2" priority="358" operator="between" text="库存为">
      <formula>NOT(ISERROR(SEARCH("库存为",AU727)))</formula>
    </cfRule>
  </conditionalFormatting>
  <conditionalFormatting sqref="AU728">
    <cfRule type="cellIs" dxfId="0" priority="2515" operator="lessThan">
      <formula>20</formula>
    </cfRule>
    <cfRule type="cellIs" dxfId="1" priority="1436" operator="greaterThan">
      <formula>120</formula>
    </cfRule>
    <cfRule type="containsText" dxfId="2" priority="357" operator="between" text="库存为">
      <formula>NOT(ISERROR(SEARCH("库存为",AU728)))</formula>
    </cfRule>
  </conditionalFormatting>
  <conditionalFormatting sqref="AU729">
    <cfRule type="cellIs" dxfId="0" priority="2514" operator="lessThan">
      <formula>20</formula>
    </cfRule>
    <cfRule type="cellIs" dxfId="1" priority="1435" operator="greaterThan">
      <formula>120</formula>
    </cfRule>
    <cfRule type="containsText" dxfId="2" priority="356" operator="between" text="库存为">
      <formula>NOT(ISERROR(SEARCH("库存为",AU729)))</formula>
    </cfRule>
  </conditionalFormatting>
  <conditionalFormatting sqref="AU730">
    <cfRule type="cellIs" dxfId="0" priority="2513" operator="lessThan">
      <formula>20</formula>
    </cfRule>
    <cfRule type="cellIs" dxfId="1" priority="1434" operator="greaterThan">
      <formula>120</formula>
    </cfRule>
    <cfRule type="containsText" dxfId="2" priority="355" operator="between" text="库存为">
      <formula>NOT(ISERROR(SEARCH("库存为",AU730)))</formula>
    </cfRule>
  </conditionalFormatting>
  <conditionalFormatting sqref="AU731">
    <cfRule type="cellIs" dxfId="0" priority="2512" operator="lessThan">
      <formula>20</formula>
    </cfRule>
    <cfRule type="cellIs" dxfId="1" priority="1433" operator="greaterThan">
      <formula>120</formula>
    </cfRule>
    <cfRule type="containsText" dxfId="2" priority="354" operator="between" text="库存为">
      <formula>NOT(ISERROR(SEARCH("库存为",AU731)))</formula>
    </cfRule>
  </conditionalFormatting>
  <conditionalFormatting sqref="AU732">
    <cfRule type="cellIs" dxfId="0" priority="2511" operator="lessThan">
      <formula>20</formula>
    </cfRule>
    <cfRule type="cellIs" dxfId="1" priority="1432" operator="greaterThan">
      <formula>120</formula>
    </cfRule>
    <cfRule type="containsText" dxfId="2" priority="353" operator="between" text="库存为">
      <formula>NOT(ISERROR(SEARCH("库存为",AU732)))</formula>
    </cfRule>
  </conditionalFormatting>
  <conditionalFormatting sqref="AU733">
    <cfRule type="cellIs" dxfId="0" priority="2510" operator="lessThan">
      <formula>20</formula>
    </cfRule>
    <cfRule type="cellIs" dxfId="1" priority="1431" operator="greaterThan">
      <formula>120</formula>
    </cfRule>
    <cfRule type="containsText" dxfId="2" priority="352" operator="between" text="库存为">
      <formula>NOT(ISERROR(SEARCH("库存为",AU733)))</formula>
    </cfRule>
  </conditionalFormatting>
  <conditionalFormatting sqref="AU734">
    <cfRule type="cellIs" dxfId="0" priority="2509" operator="lessThan">
      <formula>20</formula>
    </cfRule>
    <cfRule type="cellIs" dxfId="1" priority="1430" operator="greaterThan">
      <formula>120</formula>
    </cfRule>
    <cfRule type="containsText" dxfId="2" priority="351" operator="between" text="库存为">
      <formula>NOT(ISERROR(SEARCH("库存为",AU734)))</formula>
    </cfRule>
  </conditionalFormatting>
  <conditionalFormatting sqref="AU735">
    <cfRule type="cellIs" dxfId="0" priority="2508" operator="lessThan">
      <formula>20</formula>
    </cfRule>
    <cfRule type="cellIs" dxfId="1" priority="1429" operator="greaterThan">
      <formula>120</formula>
    </cfRule>
    <cfRule type="containsText" dxfId="2" priority="350" operator="between" text="库存为">
      <formula>NOT(ISERROR(SEARCH("库存为",AU735)))</formula>
    </cfRule>
  </conditionalFormatting>
  <conditionalFormatting sqref="AU736">
    <cfRule type="cellIs" dxfId="0" priority="2507" operator="lessThan">
      <formula>20</formula>
    </cfRule>
    <cfRule type="cellIs" dxfId="1" priority="1428" operator="greaterThan">
      <formula>120</formula>
    </cfRule>
    <cfRule type="containsText" dxfId="2" priority="349" operator="between" text="库存为">
      <formula>NOT(ISERROR(SEARCH("库存为",AU736)))</formula>
    </cfRule>
  </conditionalFormatting>
  <conditionalFormatting sqref="AU737">
    <cfRule type="cellIs" dxfId="0" priority="2506" operator="lessThan">
      <formula>20</formula>
    </cfRule>
    <cfRule type="cellIs" dxfId="1" priority="1427" operator="greaterThan">
      <formula>120</formula>
    </cfRule>
    <cfRule type="containsText" dxfId="2" priority="348" operator="between" text="库存为">
      <formula>NOT(ISERROR(SEARCH("库存为",AU737)))</formula>
    </cfRule>
  </conditionalFormatting>
  <conditionalFormatting sqref="AU738">
    <cfRule type="cellIs" dxfId="0" priority="2505" operator="lessThan">
      <formula>20</formula>
    </cfRule>
    <cfRule type="cellIs" dxfId="1" priority="1426" operator="greaterThan">
      <formula>120</formula>
    </cfRule>
    <cfRule type="containsText" dxfId="2" priority="347" operator="between" text="库存为">
      <formula>NOT(ISERROR(SEARCH("库存为",AU738)))</formula>
    </cfRule>
  </conditionalFormatting>
  <conditionalFormatting sqref="AU739">
    <cfRule type="cellIs" dxfId="0" priority="2504" operator="lessThan">
      <formula>20</formula>
    </cfRule>
    <cfRule type="cellIs" dxfId="1" priority="1425" operator="greaterThan">
      <formula>120</formula>
    </cfRule>
    <cfRule type="containsText" dxfId="2" priority="346" operator="between" text="库存为">
      <formula>NOT(ISERROR(SEARCH("库存为",AU739)))</formula>
    </cfRule>
  </conditionalFormatting>
  <conditionalFormatting sqref="AU740">
    <cfRule type="cellIs" dxfId="0" priority="2503" operator="lessThan">
      <formula>20</formula>
    </cfRule>
    <cfRule type="cellIs" dxfId="1" priority="1424" operator="greaterThan">
      <formula>120</formula>
    </cfRule>
    <cfRule type="containsText" dxfId="2" priority="345" operator="between" text="库存为">
      <formula>NOT(ISERROR(SEARCH("库存为",AU740)))</formula>
    </cfRule>
  </conditionalFormatting>
  <conditionalFormatting sqref="AU741">
    <cfRule type="cellIs" dxfId="0" priority="2502" operator="lessThan">
      <formula>20</formula>
    </cfRule>
    <cfRule type="cellIs" dxfId="1" priority="1423" operator="greaterThan">
      <formula>120</formula>
    </cfRule>
    <cfRule type="containsText" dxfId="2" priority="344" operator="between" text="库存为">
      <formula>NOT(ISERROR(SEARCH("库存为",AU741)))</formula>
    </cfRule>
  </conditionalFormatting>
  <conditionalFormatting sqref="AU742">
    <cfRule type="cellIs" dxfId="0" priority="2501" operator="lessThan">
      <formula>20</formula>
    </cfRule>
    <cfRule type="cellIs" dxfId="1" priority="1422" operator="greaterThan">
      <formula>120</formula>
    </cfRule>
    <cfRule type="containsText" dxfId="2" priority="343" operator="between" text="库存为">
      <formula>NOT(ISERROR(SEARCH("库存为",AU742)))</formula>
    </cfRule>
  </conditionalFormatting>
  <conditionalFormatting sqref="AU743">
    <cfRule type="cellIs" dxfId="0" priority="2500" operator="lessThan">
      <formula>20</formula>
    </cfRule>
    <cfRule type="cellIs" dxfId="1" priority="1421" operator="greaterThan">
      <formula>120</formula>
    </cfRule>
    <cfRule type="containsText" dxfId="2" priority="342" operator="between" text="库存为">
      <formula>NOT(ISERROR(SEARCH("库存为",AU743)))</formula>
    </cfRule>
  </conditionalFormatting>
  <conditionalFormatting sqref="AU744">
    <cfRule type="cellIs" dxfId="0" priority="2499" operator="lessThan">
      <formula>20</formula>
    </cfRule>
    <cfRule type="cellIs" dxfId="1" priority="1420" operator="greaterThan">
      <formula>120</formula>
    </cfRule>
    <cfRule type="containsText" dxfId="2" priority="341" operator="between" text="库存为">
      <formula>NOT(ISERROR(SEARCH("库存为",AU744)))</formula>
    </cfRule>
  </conditionalFormatting>
  <conditionalFormatting sqref="AU745">
    <cfRule type="cellIs" dxfId="0" priority="2498" operator="lessThan">
      <formula>20</formula>
    </cfRule>
    <cfRule type="cellIs" dxfId="1" priority="1419" operator="greaterThan">
      <formula>120</formula>
    </cfRule>
    <cfRule type="containsText" dxfId="2" priority="340" operator="between" text="库存为">
      <formula>NOT(ISERROR(SEARCH("库存为",AU745)))</formula>
    </cfRule>
  </conditionalFormatting>
  <conditionalFormatting sqref="AU746">
    <cfRule type="cellIs" dxfId="0" priority="2497" operator="lessThan">
      <formula>20</formula>
    </cfRule>
    <cfRule type="cellIs" dxfId="1" priority="1418" operator="greaterThan">
      <formula>120</formula>
    </cfRule>
    <cfRule type="containsText" dxfId="2" priority="339" operator="between" text="库存为">
      <formula>NOT(ISERROR(SEARCH("库存为",AU746)))</formula>
    </cfRule>
  </conditionalFormatting>
  <conditionalFormatting sqref="AU747">
    <cfRule type="cellIs" dxfId="0" priority="2496" operator="lessThan">
      <formula>20</formula>
    </cfRule>
    <cfRule type="cellIs" dxfId="1" priority="1417" operator="greaterThan">
      <formula>120</formula>
    </cfRule>
    <cfRule type="containsText" dxfId="2" priority="338" operator="between" text="库存为">
      <formula>NOT(ISERROR(SEARCH("库存为",AU747)))</formula>
    </cfRule>
  </conditionalFormatting>
  <conditionalFormatting sqref="AU748">
    <cfRule type="cellIs" dxfId="0" priority="2495" operator="lessThan">
      <formula>20</formula>
    </cfRule>
    <cfRule type="cellIs" dxfId="1" priority="1416" operator="greaterThan">
      <formula>120</formula>
    </cfRule>
    <cfRule type="containsText" dxfId="2" priority="337" operator="between" text="库存为">
      <formula>NOT(ISERROR(SEARCH("库存为",AU748)))</formula>
    </cfRule>
  </conditionalFormatting>
  <conditionalFormatting sqref="AU749">
    <cfRule type="cellIs" dxfId="0" priority="2494" operator="lessThan">
      <formula>20</formula>
    </cfRule>
    <cfRule type="cellIs" dxfId="1" priority="1415" operator="greaterThan">
      <formula>120</formula>
    </cfRule>
    <cfRule type="containsText" dxfId="2" priority="336" operator="between" text="库存为">
      <formula>NOT(ISERROR(SEARCH("库存为",AU749)))</formula>
    </cfRule>
  </conditionalFormatting>
  <conditionalFormatting sqref="AU750">
    <cfRule type="cellIs" dxfId="0" priority="2493" operator="lessThan">
      <formula>20</formula>
    </cfRule>
    <cfRule type="cellIs" dxfId="1" priority="1414" operator="greaterThan">
      <formula>120</formula>
    </cfRule>
    <cfRule type="containsText" dxfId="2" priority="335" operator="between" text="库存为">
      <formula>NOT(ISERROR(SEARCH("库存为",AU750)))</formula>
    </cfRule>
  </conditionalFormatting>
  <conditionalFormatting sqref="AU751">
    <cfRule type="cellIs" dxfId="0" priority="2492" operator="lessThan">
      <formula>20</formula>
    </cfRule>
    <cfRule type="cellIs" dxfId="1" priority="1413" operator="greaterThan">
      <formula>120</formula>
    </cfRule>
    <cfRule type="containsText" dxfId="2" priority="334" operator="between" text="库存为">
      <formula>NOT(ISERROR(SEARCH("库存为",AU751)))</formula>
    </cfRule>
  </conditionalFormatting>
  <conditionalFormatting sqref="AU752">
    <cfRule type="cellIs" dxfId="0" priority="2491" operator="lessThan">
      <formula>20</formula>
    </cfRule>
    <cfRule type="cellIs" dxfId="1" priority="1412" operator="greaterThan">
      <formula>120</formula>
    </cfRule>
    <cfRule type="containsText" dxfId="2" priority="333" operator="between" text="库存为">
      <formula>NOT(ISERROR(SEARCH("库存为",AU752)))</formula>
    </cfRule>
  </conditionalFormatting>
  <conditionalFormatting sqref="AU753">
    <cfRule type="cellIs" dxfId="0" priority="2490" operator="lessThan">
      <formula>20</formula>
    </cfRule>
    <cfRule type="cellIs" dxfId="1" priority="1411" operator="greaterThan">
      <formula>120</formula>
    </cfRule>
    <cfRule type="containsText" dxfId="2" priority="332" operator="between" text="库存为">
      <formula>NOT(ISERROR(SEARCH("库存为",AU753)))</formula>
    </cfRule>
  </conditionalFormatting>
  <conditionalFormatting sqref="AU754">
    <cfRule type="cellIs" dxfId="0" priority="2489" operator="lessThan">
      <formula>20</formula>
    </cfRule>
    <cfRule type="cellIs" dxfId="1" priority="1410" operator="greaterThan">
      <formula>120</formula>
    </cfRule>
    <cfRule type="containsText" dxfId="2" priority="331" operator="between" text="库存为">
      <formula>NOT(ISERROR(SEARCH("库存为",AU754)))</formula>
    </cfRule>
  </conditionalFormatting>
  <conditionalFormatting sqref="AU755">
    <cfRule type="cellIs" dxfId="0" priority="2488" operator="lessThan">
      <formula>20</formula>
    </cfRule>
    <cfRule type="cellIs" dxfId="1" priority="1409" operator="greaterThan">
      <formula>120</formula>
    </cfRule>
    <cfRule type="containsText" dxfId="2" priority="330" operator="between" text="库存为">
      <formula>NOT(ISERROR(SEARCH("库存为",AU755)))</formula>
    </cfRule>
  </conditionalFormatting>
  <conditionalFormatting sqref="AU756">
    <cfRule type="cellIs" dxfId="0" priority="2487" operator="lessThan">
      <formula>20</formula>
    </cfRule>
    <cfRule type="cellIs" dxfId="1" priority="1408" operator="greaterThan">
      <formula>120</formula>
    </cfRule>
    <cfRule type="containsText" dxfId="2" priority="329" operator="between" text="库存为">
      <formula>NOT(ISERROR(SEARCH("库存为",AU756)))</formula>
    </cfRule>
  </conditionalFormatting>
  <conditionalFormatting sqref="AU757">
    <cfRule type="cellIs" dxfId="0" priority="2486" operator="lessThan">
      <formula>20</formula>
    </cfRule>
    <cfRule type="cellIs" dxfId="1" priority="1407" operator="greaterThan">
      <formula>120</formula>
    </cfRule>
    <cfRule type="containsText" dxfId="2" priority="328" operator="between" text="库存为">
      <formula>NOT(ISERROR(SEARCH("库存为",AU757)))</formula>
    </cfRule>
  </conditionalFormatting>
  <conditionalFormatting sqref="AU758">
    <cfRule type="cellIs" dxfId="0" priority="2485" operator="lessThan">
      <formula>20</formula>
    </cfRule>
    <cfRule type="cellIs" dxfId="1" priority="1406" operator="greaterThan">
      <formula>120</formula>
    </cfRule>
    <cfRule type="containsText" dxfId="2" priority="327" operator="between" text="库存为">
      <formula>NOT(ISERROR(SEARCH("库存为",AU758)))</formula>
    </cfRule>
  </conditionalFormatting>
  <conditionalFormatting sqref="AU759">
    <cfRule type="cellIs" dxfId="0" priority="2484" operator="lessThan">
      <formula>20</formula>
    </cfRule>
    <cfRule type="cellIs" dxfId="1" priority="1405" operator="greaterThan">
      <formula>120</formula>
    </cfRule>
    <cfRule type="containsText" dxfId="2" priority="326" operator="between" text="库存为">
      <formula>NOT(ISERROR(SEARCH("库存为",AU759)))</formula>
    </cfRule>
  </conditionalFormatting>
  <conditionalFormatting sqref="AU760">
    <cfRule type="cellIs" dxfId="0" priority="2483" operator="lessThan">
      <formula>20</formula>
    </cfRule>
    <cfRule type="cellIs" dxfId="1" priority="1404" operator="greaterThan">
      <formula>120</formula>
    </cfRule>
    <cfRule type="containsText" dxfId="2" priority="325" operator="between" text="库存为">
      <formula>NOT(ISERROR(SEARCH("库存为",AU760)))</formula>
    </cfRule>
  </conditionalFormatting>
  <conditionalFormatting sqref="AU761">
    <cfRule type="cellIs" dxfId="0" priority="2482" operator="lessThan">
      <formula>20</formula>
    </cfRule>
    <cfRule type="cellIs" dxfId="1" priority="1403" operator="greaterThan">
      <formula>120</formula>
    </cfRule>
    <cfRule type="containsText" dxfId="2" priority="324" operator="between" text="库存为">
      <formula>NOT(ISERROR(SEARCH("库存为",AU761)))</formula>
    </cfRule>
  </conditionalFormatting>
  <conditionalFormatting sqref="AU762">
    <cfRule type="cellIs" dxfId="0" priority="2481" operator="lessThan">
      <formula>20</formula>
    </cfRule>
    <cfRule type="cellIs" dxfId="1" priority="1402" operator="greaterThan">
      <formula>120</formula>
    </cfRule>
    <cfRule type="containsText" dxfId="2" priority="323" operator="between" text="库存为">
      <formula>NOT(ISERROR(SEARCH("库存为",AU762)))</formula>
    </cfRule>
  </conditionalFormatting>
  <conditionalFormatting sqref="AU763">
    <cfRule type="cellIs" dxfId="0" priority="2480" operator="lessThan">
      <formula>20</formula>
    </cfRule>
    <cfRule type="cellIs" dxfId="1" priority="1401" operator="greaterThan">
      <formula>120</formula>
    </cfRule>
    <cfRule type="containsText" dxfId="2" priority="322" operator="between" text="库存为">
      <formula>NOT(ISERROR(SEARCH("库存为",AU763)))</formula>
    </cfRule>
  </conditionalFormatting>
  <conditionalFormatting sqref="AU764">
    <cfRule type="cellIs" dxfId="0" priority="2479" operator="lessThan">
      <formula>20</formula>
    </cfRule>
    <cfRule type="cellIs" dxfId="1" priority="1400" operator="greaterThan">
      <formula>120</formula>
    </cfRule>
    <cfRule type="containsText" dxfId="2" priority="321" operator="between" text="库存为">
      <formula>NOT(ISERROR(SEARCH("库存为",AU764)))</formula>
    </cfRule>
  </conditionalFormatting>
  <conditionalFormatting sqref="AU765">
    <cfRule type="cellIs" dxfId="0" priority="2478" operator="lessThan">
      <formula>20</formula>
    </cfRule>
    <cfRule type="cellIs" dxfId="1" priority="1399" operator="greaterThan">
      <formula>120</formula>
    </cfRule>
    <cfRule type="containsText" dxfId="2" priority="320" operator="between" text="库存为">
      <formula>NOT(ISERROR(SEARCH("库存为",AU765)))</formula>
    </cfRule>
  </conditionalFormatting>
  <conditionalFormatting sqref="AU766">
    <cfRule type="cellIs" dxfId="0" priority="2477" operator="lessThan">
      <formula>20</formula>
    </cfRule>
    <cfRule type="cellIs" dxfId="1" priority="1398" operator="greaterThan">
      <formula>120</formula>
    </cfRule>
    <cfRule type="containsText" dxfId="2" priority="319" operator="between" text="库存为">
      <formula>NOT(ISERROR(SEARCH("库存为",AU766)))</formula>
    </cfRule>
  </conditionalFormatting>
  <conditionalFormatting sqref="AU767">
    <cfRule type="cellIs" dxfId="0" priority="2476" operator="lessThan">
      <formula>20</formula>
    </cfRule>
    <cfRule type="cellIs" dxfId="1" priority="1397" operator="greaterThan">
      <formula>120</formula>
    </cfRule>
    <cfRule type="containsText" dxfId="2" priority="318" operator="between" text="库存为">
      <formula>NOT(ISERROR(SEARCH("库存为",AU767)))</formula>
    </cfRule>
  </conditionalFormatting>
  <conditionalFormatting sqref="AU768">
    <cfRule type="cellIs" dxfId="0" priority="2475" operator="lessThan">
      <formula>20</formula>
    </cfRule>
    <cfRule type="cellIs" dxfId="1" priority="1396" operator="greaterThan">
      <formula>120</formula>
    </cfRule>
    <cfRule type="containsText" dxfId="2" priority="317" operator="between" text="库存为">
      <formula>NOT(ISERROR(SEARCH("库存为",AU768)))</formula>
    </cfRule>
  </conditionalFormatting>
  <conditionalFormatting sqref="AU769">
    <cfRule type="cellIs" dxfId="0" priority="2474" operator="lessThan">
      <formula>20</formula>
    </cfRule>
    <cfRule type="cellIs" dxfId="1" priority="1395" operator="greaterThan">
      <formula>120</formula>
    </cfRule>
    <cfRule type="containsText" dxfId="2" priority="316" operator="between" text="库存为">
      <formula>NOT(ISERROR(SEARCH("库存为",AU769)))</formula>
    </cfRule>
  </conditionalFormatting>
  <conditionalFormatting sqref="AU770">
    <cfRule type="cellIs" dxfId="0" priority="2473" operator="lessThan">
      <formula>20</formula>
    </cfRule>
    <cfRule type="cellIs" dxfId="1" priority="1394" operator="greaterThan">
      <formula>120</formula>
    </cfRule>
    <cfRule type="containsText" dxfId="2" priority="315" operator="between" text="库存为">
      <formula>NOT(ISERROR(SEARCH("库存为",AU770)))</formula>
    </cfRule>
  </conditionalFormatting>
  <conditionalFormatting sqref="AU771">
    <cfRule type="cellIs" dxfId="0" priority="2472" operator="lessThan">
      <formula>20</formula>
    </cfRule>
    <cfRule type="cellIs" dxfId="1" priority="1393" operator="greaterThan">
      <formula>120</formula>
    </cfRule>
    <cfRule type="containsText" dxfId="2" priority="314" operator="between" text="库存为">
      <formula>NOT(ISERROR(SEARCH("库存为",AU771)))</formula>
    </cfRule>
  </conditionalFormatting>
  <conditionalFormatting sqref="AU772">
    <cfRule type="cellIs" dxfId="0" priority="2471" operator="lessThan">
      <formula>20</formula>
    </cfRule>
    <cfRule type="cellIs" dxfId="1" priority="1392" operator="greaterThan">
      <formula>120</formula>
    </cfRule>
    <cfRule type="containsText" dxfId="2" priority="313" operator="between" text="库存为">
      <formula>NOT(ISERROR(SEARCH("库存为",AU772)))</formula>
    </cfRule>
  </conditionalFormatting>
  <conditionalFormatting sqref="AU773">
    <cfRule type="cellIs" dxfId="0" priority="2470" operator="lessThan">
      <formula>20</formula>
    </cfRule>
    <cfRule type="cellIs" dxfId="1" priority="1391" operator="greaterThan">
      <formula>120</formula>
    </cfRule>
    <cfRule type="containsText" dxfId="2" priority="312" operator="between" text="库存为">
      <formula>NOT(ISERROR(SEARCH("库存为",AU773)))</formula>
    </cfRule>
  </conditionalFormatting>
  <conditionalFormatting sqref="AU774">
    <cfRule type="cellIs" dxfId="0" priority="2469" operator="lessThan">
      <formula>20</formula>
    </cfRule>
    <cfRule type="cellIs" dxfId="1" priority="1390" operator="greaterThan">
      <formula>120</formula>
    </cfRule>
    <cfRule type="containsText" dxfId="2" priority="311" operator="between" text="库存为">
      <formula>NOT(ISERROR(SEARCH("库存为",AU774)))</formula>
    </cfRule>
  </conditionalFormatting>
  <conditionalFormatting sqref="AU775">
    <cfRule type="cellIs" dxfId="0" priority="2468" operator="lessThan">
      <formula>20</formula>
    </cfRule>
    <cfRule type="cellIs" dxfId="1" priority="1389" operator="greaterThan">
      <formula>120</formula>
    </cfRule>
    <cfRule type="containsText" dxfId="2" priority="310" operator="between" text="库存为">
      <formula>NOT(ISERROR(SEARCH("库存为",AU775)))</formula>
    </cfRule>
  </conditionalFormatting>
  <conditionalFormatting sqref="AU776">
    <cfRule type="cellIs" dxfId="0" priority="2467" operator="lessThan">
      <formula>20</formula>
    </cfRule>
    <cfRule type="cellIs" dxfId="1" priority="1388" operator="greaterThan">
      <formula>120</formula>
    </cfRule>
    <cfRule type="containsText" dxfId="2" priority="309" operator="between" text="库存为">
      <formula>NOT(ISERROR(SEARCH("库存为",AU776)))</formula>
    </cfRule>
  </conditionalFormatting>
  <conditionalFormatting sqref="AU777">
    <cfRule type="cellIs" dxfId="0" priority="2466" operator="lessThan">
      <formula>20</formula>
    </cfRule>
    <cfRule type="cellIs" dxfId="1" priority="1387" operator="greaterThan">
      <formula>120</formula>
    </cfRule>
    <cfRule type="containsText" dxfId="2" priority="308" operator="between" text="库存为">
      <formula>NOT(ISERROR(SEARCH("库存为",AU777)))</formula>
    </cfRule>
  </conditionalFormatting>
  <conditionalFormatting sqref="AU778">
    <cfRule type="cellIs" dxfId="0" priority="2465" operator="lessThan">
      <formula>20</formula>
    </cfRule>
    <cfRule type="cellIs" dxfId="1" priority="1386" operator="greaterThan">
      <formula>120</formula>
    </cfRule>
    <cfRule type="containsText" dxfId="2" priority="307" operator="between" text="库存为">
      <formula>NOT(ISERROR(SEARCH("库存为",AU778)))</formula>
    </cfRule>
  </conditionalFormatting>
  <conditionalFormatting sqref="AU779">
    <cfRule type="cellIs" dxfId="0" priority="2464" operator="lessThan">
      <formula>20</formula>
    </cfRule>
    <cfRule type="cellIs" dxfId="1" priority="1385" operator="greaterThan">
      <formula>120</formula>
    </cfRule>
    <cfRule type="containsText" dxfId="2" priority="306" operator="between" text="库存为">
      <formula>NOT(ISERROR(SEARCH("库存为",AU779)))</formula>
    </cfRule>
  </conditionalFormatting>
  <conditionalFormatting sqref="AU780">
    <cfRule type="cellIs" dxfId="0" priority="2463" operator="lessThan">
      <formula>20</formula>
    </cfRule>
    <cfRule type="cellIs" dxfId="1" priority="1384" operator="greaterThan">
      <formula>120</formula>
    </cfRule>
    <cfRule type="containsText" dxfId="2" priority="305" operator="between" text="库存为">
      <formula>NOT(ISERROR(SEARCH("库存为",AU780)))</formula>
    </cfRule>
  </conditionalFormatting>
  <conditionalFormatting sqref="AU781">
    <cfRule type="cellIs" dxfId="0" priority="2462" operator="lessThan">
      <formula>20</formula>
    </cfRule>
    <cfRule type="cellIs" dxfId="1" priority="1383" operator="greaterThan">
      <formula>120</formula>
    </cfRule>
    <cfRule type="containsText" dxfId="2" priority="304" operator="between" text="库存为">
      <formula>NOT(ISERROR(SEARCH("库存为",AU781)))</formula>
    </cfRule>
  </conditionalFormatting>
  <conditionalFormatting sqref="AU782">
    <cfRule type="cellIs" dxfId="0" priority="2461" operator="lessThan">
      <formula>20</formula>
    </cfRule>
    <cfRule type="cellIs" dxfId="1" priority="1382" operator="greaterThan">
      <formula>120</formula>
    </cfRule>
    <cfRule type="containsText" dxfId="2" priority="303" operator="between" text="库存为">
      <formula>NOT(ISERROR(SEARCH("库存为",AU782)))</formula>
    </cfRule>
  </conditionalFormatting>
  <conditionalFormatting sqref="AU783">
    <cfRule type="cellIs" dxfId="0" priority="2460" operator="lessThan">
      <formula>20</formula>
    </cfRule>
    <cfRule type="cellIs" dxfId="1" priority="1381" operator="greaterThan">
      <formula>120</formula>
    </cfRule>
    <cfRule type="containsText" dxfId="2" priority="302" operator="between" text="库存为">
      <formula>NOT(ISERROR(SEARCH("库存为",AU783)))</formula>
    </cfRule>
  </conditionalFormatting>
  <conditionalFormatting sqref="AU784">
    <cfRule type="cellIs" dxfId="0" priority="2459" operator="lessThan">
      <formula>20</formula>
    </cfRule>
    <cfRule type="cellIs" dxfId="1" priority="1380" operator="greaterThan">
      <formula>120</formula>
    </cfRule>
    <cfRule type="containsText" dxfId="2" priority="301" operator="between" text="库存为">
      <formula>NOT(ISERROR(SEARCH("库存为",AU784)))</formula>
    </cfRule>
  </conditionalFormatting>
  <conditionalFormatting sqref="AU785">
    <cfRule type="cellIs" dxfId="0" priority="2458" operator="lessThan">
      <formula>20</formula>
    </cfRule>
    <cfRule type="cellIs" dxfId="1" priority="1379" operator="greaterThan">
      <formula>120</formula>
    </cfRule>
    <cfRule type="containsText" dxfId="2" priority="300" operator="between" text="库存为">
      <formula>NOT(ISERROR(SEARCH("库存为",AU785)))</formula>
    </cfRule>
  </conditionalFormatting>
  <conditionalFormatting sqref="AU786">
    <cfRule type="cellIs" dxfId="0" priority="2457" operator="lessThan">
      <formula>20</formula>
    </cfRule>
    <cfRule type="cellIs" dxfId="1" priority="1378" operator="greaterThan">
      <formula>120</formula>
    </cfRule>
    <cfRule type="containsText" dxfId="2" priority="299" operator="between" text="库存为">
      <formula>NOT(ISERROR(SEARCH("库存为",AU786)))</formula>
    </cfRule>
  </conditionalFormatting>
  <conditionalFormatting sqref="AU787">
    <cfRule type="cellIs" dxfId="0" priority="2456" operator="lessThan">
      <formula>20</formula>
    </cfRule>
    <cfRule type="cellIs" dxfId="1" priority="1377" operator="greaterThan">
      <formula>120</formula>
    </cfRule>
    <cfRule type="containsText" dxfId="2" priority="298" operator="between" text="库存为">
      <formula>NOT(ISERROR(SEARCH("库存为",AU787)))</formula>
    </cfRule>
  </conditionalFormatting>
  <conditionalFormatting sqref="AU788">
    <cfRule type="cellIs" dxfId="0" priority="2455" operator="lessThan">
      <formula>20</formula>
    </cfRule>
    <cfRule type="cellIs" dxfId="1" priority="1376" operator="greaterThan">
      <formula>120</formula>
    </cfRule>
    <cfRule type="containsText" dxfId="2" priority="297" operator="between" text="库存为">
      <formula>NOT(ISERROR(SEARCH("库存为",AU788)))</formula>
    </cfRule>
  </conditionalFormatting>
  <conditionalFormatting sqref="AU789">
    <cfRule type="cellIs" dxfId="0" priority="2454" operator="lessThan">
      <formula>20</formula>
    </cfRule>
    <cfRule type="cellIs" dxfId="1" priority="1375" operator="greaterThan">
      <formula>120</formula>
    </cfRule>
    <cfRule type="containsText" dxfId="2" priority="296" operator="between" text="库存为">
      <formula>NOT(ISERROR(SEARCH("库存为",AU789)))</formula>
    </cfRule>
  </conditionalFormatting>
  <conditionalFormatting sqref="AU790">
    <cfRule type="cellIs" dxfId="0" priority="2453" operator="lessThan">
      <formula>20</formula>
    </cfRule>
    <cfRule type="cellIs" dxfId="1" priority="1374" operator="greaterThan">
      <formula>120</formula>
    </cfRule>
    <cfRule type="containsText" dxfId="2" priority="295" operator="between" text="库存为">
      <formula>NOT(ISERROR(SEARCH("库存为",AU790)))</formula>
    </cfRule>
  </conditionalFormatting>
  <conditionalFormatting sqref="AU791">
    <cfRule type="cellIs" dxfId="0" priority="2452" operator="lessThan">
      <formula>20</formula>
    </cfRule>
    <cfRule type="cellIs" dxfId="1" priority="1373" operator="greaterThan">
      <formula>120</formula>
    </cfRule>
    <cfRule type="containsText" dxfId="2" priority="294" operator="between" text="库存为">
      <formula>NOT(ISERROR(SEARCH("库存为",AU791)))</formula>
    </cfRule>
  </conditionalFormatting>
  <conditionalFormatting sqref="AU792">
    <cfRule type="cellIs" dxfId="0" priority="2451" operator="lessThan">
      <formula>20</formula>
    </cfRule>
    <cfRule type="cellIs" dxfId="1" priority="1372" operator="greaterThan">
      <formula>120</formula>
    </cfRule>
    <cfRule type="containsText" dxfId="2" priority="293" operator="between" text="库存为">
      <formula>NOT(ISERROR(SEARCH("库存为",AU792)))</formula>
    </cfRule>
  </conditionalFormatting>
  <conditionalFormatting sqref="AU793">
    <cfRule type="cellIs" dxfId="0" priority="2450" operator="lessThan">
      <formula>20</formula>
    </cfRule>
    <cfRule type="cellIs" dxfId="1" priority="1371" operator="greaterThan">
      <formula>120</formula>
    </cfRule>
    <cfRule type="containsText" dxfId="2" priority="292" operator="between" text="库存为">
      <formula>NOT(ISERROR(SEARCH("库存为",AU793)))</formula>
    </cfRule>
  </conditionalFormatting>
  <conditionalFormatting sqref="AU794">
    <cfRule type="cellIs" dxfId="0" priority="2449" operator="lessThan">
      <formula>20</formula>
    </cfRule>
    <cfRule type="cellIs" dxfId="1" priority="1370" operator="greaterThan">
      <formula>120</formula>
    </cfRule>
    <cfRule type="containsText" dxfId="2" priority="291" operator="between" text="库存为">
      <formula>NOT(ISERROR(SEARCH("库存为",AU794)))</formula>
    </cfRule>
  </conditionalFormatting>
  <conditionalFormatting sqref="AU795">
    <cfRule type="cellIs" dxfId="0" priority="2448" operator="lessThan">
      <formula>20</formula>
    </cfRule>
    <cfRule type="cellIs" dxfId="1" priority="1369" operator="greaterThan">
      <formula>120</formula>
    </cfRule>
    <cfRule type="containsText" dxfId="2" priority="290" operator="between" text="库存为">
      <formula>NOT(ISERROR(SEARCH("库存为",AU795)))</formula>
    </cfRule>
  </conditionalFormatting>
  <conditionalFormatting sqref="AU796">
    <cfRule type="cellIs" dxfId="0" priority="2447" operator="lessThan">
      <formula>20</formula>
    </cfRule>
    <cfRule type="cellIs" dxfId="1" priority="1368" operator="greaterThan">
      <formula>120</formula>
    </cfRule>
    <cfRule type="containsText" dxfId="2" priority="289" operator="between" text="库存为">
      <formula>NOT(ISERROR(SEARCH("库存为",AU796)))</formula>
    </cfRule>
  </conditionalFormatting>
  <conditionalFormatting sqref="AU797">
    <cfRule type="cellIs" dxfId="0" priority="2446" operator="lessThan">
      <formula>20</formula>
    </cfRule>
    <cfRule type="cellIs" dxfId="1" priority="1367" operator="greaterThan">
      <formula>120</formula>
    </cfRule>
    <cfRule type="containsText" dxfId="2" priority="288" operator="between" text="库存为">
      <formula>NOT(ISERROR(SEARCH("库存为",AU797)))</formula>
    </cfRule>
  </conditionalFormatting>
  <conditionalFormatting sqref="AU798">
    <cfRule type="cellIs" dxfId="0" priority="2445" operator="lessThan">
      <formula>20</formula>
    </cfRule>
    <cfRule type="cellIs" dxfId="1" priority="1366" operator="greaterThan">
      <formula>120</formula>
    </cfRule>
    <cfRule type="containsText" dxfId="2" priority="287" operator="between" text="库存为">
      <formula>NOT(ISERROR(SEARCH("库存为",AU798)))</formula>
    </cfRule>
  </conditionalFormatting>
  <conditionalFormatting sqref="AU799">
    <cfRule type="cellIs" dxfId="0" priority="2444" operator="lessThan">
      <formula>20</formula>
    </cfRule>
    <cfRule type="cellIs" dxfId="1" priority="1365" operator="greaterThan">
      <formula>120</formula>
    </cfRule>
    <cfRule type="containsText" dxfId="2" priority="286" operator="between" text="库存为">
      <formula>NOT(ISERROR(SEARCH("库存为",AU799)))</formula>
    </cfRule>
  </conditionalFormatting>
  <conditionalFormatting sqref="AU800">
    <cfRule type="cellIs" dxfId="0" priority="2443" operator="lessThan">
      <formula>20</formula>
    </cfRule>
    <cfRule type="cellIs" dxfId="1" priority="1364" operator="greaterThan">
      <formula>120</formula>
    </cfRule>
    <cfRule type="containsText" dxfId="2" priority="285" operator="between" text="库存为">
      <formula>NOT(ISERROR(SEARCH("库存为",AU800)))</formula>
    </cfRule>
  </conditionalFormatting>
  <conditionalFormatting sqref="AU801">
    <cfRule type="cellIs" dxfId="0" priority="2442" operator="lessThan">
      <formula>20</formula>
    </cfRule>
    <cfRule type="cellIs" dxfId="1" priority="1363" operator="greaterThan">
      <formula>120</formula>
    </cfRule>
    <cfRule type="containsText" dxfId="2" priority="284" operator="between" text="库存为">
      <formula>NOT(ISERROR(SEARCH("库存为",AU801)))</formula>
    </cfRule>
  </conditionalFormatting>
  <conditionalFormatting sqref="AU802">
    <cfRule type="cellIs" dxfId="0" priority="2441" operator="lessThan">
      <formula>20</formula>
    </cfRule>
    <cfRule type="cellIs" dxfId="1" priority="1362" operator="greaterThan">
      <formula>120</formula>
    </cfRule>
    <cfRule type="containsText" dxfId="2" priority="283" operator="between" text="库存为">
      <formula>NOT(ISERROR(SEARCH("库存为",AU802)))</formula>
    </cfRule>
  </conditionalFormatting>
  <conditionalFormatting sqref="AU803">
    <cfRule type="cellIs" dxfId="0" priority="2440" operator="lessThan">
      <formula>20</formula>
    </cfRule>
    <cfRule type="cellIs" dxfId="1" priority="1361" operator="greaterThan">
      <formula>120</formula>
    </cfRule>
    <cfRule type="containsText" dxfId="2" priority="282" operator="between" text="库存为">
      <formula>NOT(ISERROR(SEARCH("库存为",AU803)))</formula>
    </cfRule>
  </conditionalFormatting>
  <conditionalFormatting sqref="AU804">
    <cfRule type="cellIs" dxfId="0" priority="2439" operator="lessThan">
      <formula>20</formula>
    </cfRule>
    <cfRule type="cellIs" dxfId="1" priority="1360" operator="greaterThan">
      <formula>120</formula>
    </cfRule>
    <cfRule type="containsText" dxfId="2" priority="281" operator="between" text="库存为">
      <formula>NOT(ISERROR(SEARCH("库存为",AU804)))</formula>
    </cfRule>
  </conditionalFormatting>
  <conditionalFormatting sqref="AU805">
    <cfRule type="cellIs" dxfId="0" priority="2438" operator="lessThan">
      <formula>20</formula>
    </cfRule>
    <cfRule type="cellIs" dxfId="1" priority="1359" operator="greaterThan">
      <formula>120</formula>
    </cfRule>
    <cfRule type="containsText" dxfId="2" priority="280" operator="between" text="库存为">
      <formula>NOT(ISERROR(SEARCH("库存为",AU805)))</formula>
    </cfRule>
  </conditionalFormatting>
  <conditionalFormatting sqref="AU806">
    <cfRule type="cellIs" dxfId="0" priority="2437" operator="lessThan">
      <formula>20</formula>
    </cfRule>
    <cfRule type="cellIs" dxfId="1" priority="1358" operator="greaterThan">
      <formula>120</formula>
    </cfRule>
    <cfRule type="containsText" dxfId="2" priority="279" operator="between" text="库存为">
      <formula>NOT(ISERROR(SEARCH("库存为",AU806)))</formula>
    </cfRule>
  </conditionalFormatting>
  <conditionalFormatting sqref="AU807">
    <cfRule type="cellIs" dxfId="0" priority="2436" operator="lessThan">
      <formula>20</formula>
    </cfRule>
    <cfRule type="cellIs" dxfId="1" priority="1357" operator="greaterThan">
      <formula>120</formula>
    </cfRule>
    <cfRule type="containsText" dxfId="2" priority="278" operator="between" text="库存为">
      <formula>NOT(ISERROR(SEARCH("库存为",AU807)))</formula>
    </cfRule>
  </conditionalFormatting>
  <conditionalFormatting sqref="AU808">
    <cfRule type="cellIs" dxfId="0" priority="2435" operator="lessThan">
      <formula>20</formula>
    </cfRule>
    <cfRule type="cellIs" dxfId="1" priority="1356" operator="greaterThan">
      <formula>120</formula>
    </cfRule>
    <cfRule type="containsText" dxfId="2" priority="277" operator="between" text="库存为">
      <formula>NOT(ISERROR(SEARCH("库存为",AU808)))</formula>
    </cfRule>
  </conditionalFormatting>
  <conditionalFormatting sqref="AU809">
    <cfRule type="cellIs" dxfId="0" priority="2434" operator="lessThan">
      <formula>20</formula>
    </cfRule>
    <cfRule type="cellIs" dxfId="1" priority="1355" operator="greaterThan">
      <formula>120</formula>
    </cfRule>
    <cfRule type="containsText" dxfId="2" priority="276" operator="between" text="库存为">
      <formula>NOT(ISERROR(SEARCH("库存为",AU809)))</formula>
    </cfRule>
  </conditionalFormatting>
  <conditionalFormatting sqref="AU810">
    <cfRule type="cellIs" dxfId="0" priority="2433" operator="lessThan">
      <formula>20</formula>
    </cfRule>
    <cfRule type="cellIs" dxfId="1" priority="1354" operator="greaterThan">
      <formula>120</formula>
    </cfRule>
    <cfRule type="containsText" dxfId="2" priority="275" operator="between" text="库存为">
      <formula>NOT(ISERROR(SEARCH("库存为",AU810)))</formula>
    </cfRule>
  </conditionalFormatting>
  <conditionalFormatting sqref="AU811">
    <cfRule type="cellIs" dxfId="0" priority="2432" operator="lessThan">
      <formula>20</formula>
    </cfRule>
    <cfRule type="cellIs" dxfId="1" priority="1353" operator="greaterThan">
      <formula>120</formula>
    </cfRule>
    <cfRule type="containsText" dxfId="2" priority="274" operator="between" text="库存为">
      <formula>NOT(ISERROR(SEARCH("库存为",AU811)))</formula>
    </cfRule>
  </conditionalFormatting>
  <conditionalFormatting sqref="AU812">
    <cfRule type="cellIs" dxfId="0" priority="2431" operator="lessThan">
      <formula>20</formula>
    </cfRule>
    <cfRule type="cellIs" dxfId="1" priority="1352" operator="greaterThan">
      <formula>120</formula>
    </cfRule>
    <cfRule type="containsText" dxfId="2" priority="273" operator="between" text="库存为">
      <formula>NOT(ISERROR(SEARCH("库存为",AU812)))</formula>
    </cfRule>
  </conditionalFormatting>
  <conditionalFormatting sqref="AU813">
    <cfRule type="cellIs" dxfId="0" priority="2430" operator="lessThan">
      <formula>20</formula>
    </cfRule>
    <cfRule type="cellIs" dxfId="1" priority="1351" operator="greaterThan">
      <formula>120</formula>
    </cfRule>
    <cfRule type="containsText" dxfId="2" priority="272" operator="between" text="库存为">
      <formula>NOT(ISERROR(SEARCH("库存为",AU813)))</formula>
    </cfRule>
  </conditionalFormatting>
  <conditionalFormatting sqref="AU814">
    <cfRule type="cellIs" dxfId="0" priority="2429" operator="lessThan">
      <formula>20</formula>
    </cfRule>
    <cfRule type="cellIs" dxfId="1" priority="1350" operator="greaterThan">
      <formula>120</formula>
    </cfRule>
    <cfRule type="containsText" dxfId="2" priority="271" operator="between" text="库存为">
      <formula>NOT(ISERROR(SEARCH("库存为",AU814)))</formula>
    </cfRule>
  </conditionalFormatting>
  <conditionalFormatting sqref="AU815">
    <cfRule type="cellIs" dxfId="0" priority="2428" operator="lessThan">
      <formula>20</formula>
    </cfRule>
    <cfRule type="cellIs" dxfId="1" priority="1349" operator="greaterThan">
      <formula>120</formula>
    </cfRule>
    <cfRule type="containsText" dxfId="2" priority="270" operator="between" text="库存为">
      <formula>NOT(ISERROR(SEARCH("库存为",AU815)))</formula>
    </cfRule>
  </conditionalFormatting>
  <conditionalFormatting sqref="AU816">
    <cfRule type="cellIs" dxfId="0" priority="2427" operator="lessThan">
      <formula>20</formula>
    </cfRule>
    <cfRule type="cellIs" dxfId="1" priority="1348" operator="greaterThan">
      <formula>120</formula>
    </cfRule>
    <cfRule type="containsText" dxfId="2" priority="269" operator="between" text="库存为">
      <formula>NOT(ISERROR(SEARCH("库存为",AU816)))</formula>
    </cfRule>
  </conditionalFormatting>
  <conditionalFormatting sqref="AU817">
    <cfRule type="cellIs" dxfId="0" priority="2426" operator="lessThan">
      <formula>20</formula>
    </cfRule>
    <cfRule type="cellIs" dxfId="1" priority="1347" operator="greaterThan">
      <formula>120</formula>
    </cfRule>
    <cfRule type="containsText" dxfId="2" priority="268" operator="between" text="库存为">
      <formula>NOT(ISERROR(SEARCH("库存为",AU817)))</formula>
    </cfRule>
  </conditionalFormatting>
  <conditionalFormatting sqref="AU818">
    <cfRule type="cellIs" dxfId="0" priority="2425" operator="lessThan">
      <formula>20</formula>
    </cfRule>
    <cfRule type="cellIs" dxfId="1" priority="1346" operator="greaterThan">
      <formula>120</formula>
    </cfRule>
    <cfRule type="containsText" dxfId="2" priority="267" operator="between" text="库存为">
      <formula>NOT(ISERROR(SEARCH("库存为",AU818)))</formula>
    </cfRule>
  </conditionalFormatting>
  <conditionalFormatting sqref="AU819">
    <cfRule type="cellIs" dxfId="0" priority="2424" operator="lessThan">
      <formula>20</formula>
    </cfRule>
    <cfRule type="cellIs" dxfId="1" priority="1345" operator="greaterThan">
      <formula>120</formula>
    </cfRule>
    <cfRule type="containsText" dxfId="2" priority="266" operator="between" text="库存为">
      <formula>NOT(ISERROR(SEARCH("库存为",AU819)))</formula>
    </cfRule>
  </conditionalFormatting>
  <conditionalFormatting sqref="AU820">
    <cfRule type="cellIs" dxfId="0" priority="2423" operator="lessThan">
      <formula>20</formula>
    </cfRule>
    <cfRule type="cellIs" dxfId="1" priority="1344" operator="greaterThan">
      <formula>120</formula>
    </cfRule>
    <cfRule type="containsText" dxfId="2" priority="265" operator="between" text="库存为">
      <formula>NOT(ISERROR(SEARCH("库存为",AU820)))</formula>
    </cfRule>
  </conditionalFormatting>
  <conditionalFormatting sqref="AU821">
    <cfRule type="cellIs" dxfId="0" priority="2422" operator="lessThan">
      <formula>20</formula>
    </cfRule>
    <cfRule type="cellIs" dxfId="1" priority="1343" operator="greaterThan">
      <formula>120</formula>
    </cfRule>
    <cfRule type="containsText" dxfId="2" priority="264" operator="between" text="库存为">
      <formula>NOT(ISERROR(SEARCH("库存为",AU821)))</formula>
    </cfRule>
  </conditionalFormatting>
  <conditionalFormatting sqref="AU822">
    <cfRule type="cellIs" dxfId="0" priority="2421" operator="lessThan">
      <formula>20</formula>
    </cfRule>
    <cfRule type="cellIs" dxfId="1" priority="1342" operator="greaterThan">
      <formula>120</formula>
    </cfRule>
    <cfRule type="containsText" dxfId="2" priority="263" operator="between" text="库存为">
      <formula>NOT(ISERROR(SEARCH("库存为",AU822)))</formula>
    </cfRule>
  </conditionalFormatting>
  <conditionalFormatting sqref="AU823">
    <cfRule type="cellIs" dxfId="0" priority="2420" operator="lessThan">
      <formula>20</formula>
    </cfRule>
    <cfRule type="cellIs" dxfId="1" priority="1341" operator="greaterThan">
      <formula>120</formula>
    </cfRule>
    <cfRule type="containsText" dxfId="2" priority="262" operator="between" text="库存为">
      <formula>NOT(ISERROR(SEARCH("库存为",AU823)))</formula>
    </cfRule>
  </conditionalFormatting>
  <conditionalFormatting sqref="AU824">
    <cfRule type="cellIs" dxfId="0" priority="2419" operator="lessThan">
      <formula>20</formula>
    </cfRule>
    <cfRule type="cellIs" dxfId="1" priority="1340" operator="greaterThan">
      <formula>120</formula>
    </cfRule>
    <cfRule type="containsText" dxfId="2" priority="261" operator="between" text="库存为">
      <formula>NOT(ISERROR(SEARCH("库存为",AU824)))</formula>
    </cfRule>
  </conditionalFormatting>
  <conditionalFormatting sqref="AU825">
    <cfRule type="cellIs" dxfId="0" priority="2418" operator="lessThan">
      <formula>20</formula>
    </cfRule>
    <cfRule type="cellIs" dxfId="1" priority="1339" operator="greaterThan">
      <formula>120</formula>
    </cfRule>
    <cfRule type="containsText" dxfId="2" priority="260" operator="between" text="库存为">
      <formula>NOT(ISERROR(SEARCH("库存为",AU825)))</formula>
    </cfRule>
  </conditionalFormatting>
  <conditionalFormatting sqref="AU826">
    <cfRule type="cellIs" dxfId="0" priority="2417" operator="lessThan">
      <formula>20</formula>
    </cfRule>
    <cfRule type="cellIs" dxfId="1" priority="1338" operator="greaterThan">
      <formula>120</formula>
    </cfRule>
    <cfRule type="containsText" dxfId="2" priority="259" operator="between" text="库存为">
      <formula>NOT(ISERROR(SEARCH("库存为",AU826)))</formula>
    </cfRule>
  </conditionalFormatting>
  <conditionalFormatting sqref="AU827">
    <cfRule type="cellIs" dxfId="0" priority="2416" operator="lessThan">
      <formula>20</formula>
    </cfRule>
    <cfRule type="cellIs" dxfId="1" priority="1337" operator="greaterThan">
      <formula>120</formula>
    </cfRule>
    <cfRule type="containsText" dxfId="2" priority="258" operator="between" text="库存为">
      <formula>NOT(ISERROR(SEARCH("库存为",AU827)))</formula>
    </cfRule>
  </conditionalFormatting>
  <conditionalFormatting sqref="AU828">
    <cfRule type="cellIs" dxfId="0" priority="2415" operator="lessThan">
      <formula>20</formula>
    </cfRule>
    <cfRule type="cellIs" dxfId="1" priority="1336" operator="greaterThan">
      <formula>120</formula>
    </cfRule>
    <cfRule type="containsText" dxfId="2" priority="257" operator="between" text="库存为">
      <formula>NOT(ISERROR(SEARCH("库存为",AU828)))</formula>
    </cfRule>
  </conditionalFormatting>
  <conditionalFormatting sqref="AU829">
    <cfRule type="cellIs" dxfId="0" priority="2414" operator="lessThan">
      <formula>20</formula>
    </cfRule>
    <cfRule type="cellIs" dxfId="1" priority="1335" operator="greaterThan">
      <formula>120</formula>
    </cfRule>
    <cfRule type="containsText" dxfId="2" priority="256" operator="between" text="库存为">
      <formula>NOT(ISERROR(SEARCH("库存为",AU829)))</formula>
    </cfRule>
  </conditionalFormatting>
  <conditionalFormatting sqref="AU830">
    <cfRule type="cellIs" dxfId="0" priority="2413" operator="lessThan">
      <formula>20</formula>
    </cfRule>
    <cfRule type="cellIs" dxfId="1" priority="1334" operator="greaterThan">
      <formula>120</formula>
    </cfRule>
    <cfRule type="containsText" dxfId="2" priority="255" operator="between" text="库存为">
      <formula>NOT(ISERROR(SEARCH("库存为",AU830)))</formula>
    </cfRule>
  </conditionalFormatting>
  <conditionalFormatting sqref="AU831">
    <cfRule type="cellIs" dxfId="0" priority="2412" operator="lessThan">
      <formula>20</formula>
    </cfRule>
    <cfRule type="cellIs" dxfId="1" priority="1333" operator="greaterThan">
      <formula>120</formula>
    </cfRule>
    <cfRule type="containsText" dxfId="2" priority="254" operator="between" text="库存为">
      <formula>NOT(ISERROR(SEARCH("库存为",AU831)))</formula>
    </cfRule>
  </conditionalFormatting>
  <conditionalFormatting sqref="AU832">
    <cfRule type="cellIs" dxfId="0" priority="2411" operator="lessThan">
      <formula>20</formula>
    </cfRule>
    <cfRule type="cellIs" dxfId="1" priority="1332" operator="greaterThan">
      <formula>120</formula>
    </cfRule>
    <cfRule type="containsText" dxfId="2" priority="253" operator="between" text="库存为">
      <formula>NOT(ISERROR(SEARCH("库存为",AU832)))</formula>
    </cfRule>
  </conditionalFormatting>
  <conditionalFormatting sqref="AU833">
    <cfRule type="cellIs" dxfId="0" priority="2410" operator="lessThan">
      <formula>20</formula>
    </cfRule>
    <cfRule type="cellIs" dxfId="1" priority="1331" operator="greaterThan">
      <formula>120</formula>
    </cfRule>
    <cfRule type="containsText" dxfId="2" priority="252" operator="between" text="库存为">
      <formula>NOT(ISERROR(SEARCH("库存为",AU833)))</formula>
    </cfRule>
  </conditionalFormatting>
  <conditionalFormatting sqref="AU834">
    <cfRule type="cellIs" dxfId="0" priority="2409" operator="lessThan">
      <formula>20</formula>
    </cfRule>
    <cfRule type="cellIs" dxfId="1" priority="1330" operator="greaterThan">
      <formula>120</formula>
    </cfRule>
    <cfRule type="containsText" dxfId="2" priority="251" operator="between" text="库存为">
      <formula>NOT(ISERROR(SEARCH("库存为",AU834)))</formula>
    </cfRule>
  </conditionalFormatting>
  <conditionalFormatting sqref="AU835">
    <cfRule type="cellIs" dxfId="0" priority="2408" operator="lessThan">
      <formula>20</formula>
    </cfRule>
    <cfRule type="cellIs" dxfId="1" priority="1329" operator="greaterThan">
      <formula>120</formula>
    </cfRule>
    <cfRule type="containsText" dxfId="2" priority="250" operator="between" text="库存为">
      <formula>NOT(ISERROR(SEARCH("库存为",AU835)))</formula>
    </cfRule>
  </conditionalFormatting>
  <conditionalFormatting sqref="AU836">
    <cfRule type="cellIs" dxfId="0" priority="2407" operator="lessThan">
      <formula>20</formula>
    </cfRule>
    <cfRule type="cellIs" dxfId="1" priority="1328" operator="greaterThan">
      <formula>120</formula>
    </cfRule>
    <cfRule type="containsText" dxfId="2" priority="249" operator="between" text="库存为">
      <formula>NOT(ISERROR(SEARCH("库存为",AU836)))</formula>
    </cfRule>
  </conditionalFormatting>
  <conditionalFormatting sqref="AU837">
    <cfRule type="cellIs" dxfId="0" priority="2406" operator="lessThan">
      <formula>20</formula>
    </cfRule>
    <cfRule type="cellIs" dxfId="1" priority="1327" operator="greaterThan">
      <formula>120</formula>
    </cfRule>
    <cfRule type="containsText" dxfId="2" priority="248" operator="between" text="库存为">
      <formula>NOT(ISERROR(SEARCH("库存为",AU837)))</formula>
    </cfRule>
  </conditionalFormatting>
  <conditionalFormatting sqref="AU838">
    <cfRule type="cellIs" dxfId="0" priority="2405" operator="lessThan">
      <formula>20</formula>
    </cfRule>
    <cfRule type="cellIs" dxfId="1" priority="1326" operator="greaterThan">
      <formula>120</formula>
    </cfRule>
    <cfRule type="containsText" dxfId="2" priority="247" operator="between" text="库存为">
      <formula>NOT(ISERROR(SEARCH("库存为",AU838)))</formula>
    </cfRule>
  </conditionalFormatting>
  <conditionalFormatting sqref="AU839">
    <cfRule type="cellIs" dxfId="0" priority="2404" operator="lessThan">
      <formula>20</formula>
    </cfRule>
    <cfRule type="cellIs" dxfId="1" priority="1325" operator="greaterThan">
      <formula>120</formula>
    </cfRule>
    <cfRule type="containsText" dxfId="2" priority="246" operator="between" text="库存为">
      <formula>NOT(ISERROR(SEARCH("库存为",AU839)))</formula>
    </cfRule>
  </conditionalFormatting>
  <conditionalFormatting sqref="AU840">
    <cfRule type="cellIs" dxfId="0" priority="2403" operator="lessThan">
      <formula>20</formula>
    </cfRule>
    <cfRule type="cellIs" dxfId="1" priority="1324" operator="greaterThan">
      <formula>120</formula>
    </cfRule>
    <cfRule type="containsText" dxfId="2" priority="245" operator="between" text="库存为">
      <formula>NOT(ISERROR(SEARCH("库存为",AU840)))</formula>
    </cfRule>
  </conditionalFormatting>
  <conditionalFormatting sqref="AU841">
    <cfRule type="cellIs" dxfId="0" priority="2402" operator="lessThan">
      <formula>20</formula>
    </cfRule>
    <cfRule type="cellIs" dxfId="1" priority="1323" operator="greaterThan">
      <formula>120</formula>
    </cfRule>
    <cfRule type="containsText" dxfId="2" priority="244" operator="between" text="库存为">
      <formula>NOT(ISERROR(SEARCH("库存为",AU841)))</formula>
    </cfRule>
  </conditionalFormatting>
  <conditionalFormatting sqref="AU842">
    <cfRule type="cellIs" dxfId="0" priority="2401" operator="lessThan">
      <formula>20</formula>
    </cfRule>
    <cfRule type="cellIs" dxfId="1" priority="1322" operator="greaterThan">
      <formula>120</formula>
    </cfRule>
    <cfRule type="containsText" dxfId="2" priority="243" operator="between" text="库存为">
      <formula>NOT(ISERROR(SEARCH("库存为",AU842)))</formula>
    </cfRule>
  </conditionalFormatting>
  <conditionalFormatting sqref="AU843">
    <cfRule type="cellIs" dxfId="0" priority="2400" operator="lessThan">
      <formula>20</formula>
    </cfRule>
    <cfRule type="cellIs" dxfId="1" priority="1321" operator="greaterThan">
      <formula>120</formula>
    </cfRule>
    <cfRule type="containsText" dxfId="2" priority="242" operator="between" text="库存为">
      <formula>NOT(ISERROR(SEARCH("库存为",AU843)))</formula>
    </cfRule>
  </conditionalFormatting>
  <conditionalFormatting sqref="AU844">
    <cfRule type="cellIs" dxfId="0" priority="2399" operator="lessThan">
      <formula>20</formula>
    </cfRule>
    <cfRule type="cellIs" dxfId="1" priority="1320" operator="greaterThan">
      <formula>120</formula>
    </cfRule>
    <cfRule type="containsText" dxfId="2" priority="241" operator="between" text="库存为">
      <formula>NOT(ISERROR(SEARCH("库存为",AU844)))</formula>
    </cfRule>
  </conditionalFormatting>
  <conditionalFormatting sqref="AU845">
    <cfRule type="cellIs" dxfId="0" priority="2398" operator="lessThan">
      <formula>20</formula>
    </cfRule>
    <cfRule type="cellIs" dxfId="1" priority="1319" operator="greaterThan">
      <formula>120</formula>
    </cfRule>
    <cfRule type="containsText" dxfId="2" priority="240" operator="between" text="库存为">
      <formula>NOT(ISERROR(SEARCH("库存为",AU845)))</formula>
    </cfRule>
  </conditionalFormatting>
  <conditionalFormatting sqref="AU846">
    <cfRule type="cellIs" dxfId="0" priority="2397" operator="lessThan">
      <formula>20</formula>
    </cfRule>
    <cfRule type="cellIs" dxfId="1" priority="1318" operator="greaterThan">
      <formula>120</formula>
    </cfRule>
    <cfRule type="containsText" dxfId="2" priority="239" operator="between" text="库存为">
      <formula>NOT(ISERROR(SEARCH("库存为",AU846)))</formula>
    </cfRule>
  </conditionalFormatting>
  <conditionalFormatting sqref="AU847">
    <cfRule type="cellIs" dxfId="0" priority="2396" operator="lessThan">
      <formula>20</formula>
    </cfRule>
    <cfRule type="cellIs" dxfId="1" priority="1317" operator="greaterThan">
      <formula>120</formula>
    </cfRule>
    <cfRule type="containsText" dxfId="2" priority="238" operator="between" text="库存为">
      <formula>NOT(ISERROR(SEARCH("库存为",AU847)))</formula>
    </cfRule>
  </conditionalFormatting>
  <conditionalFormatting sqref="AU848">
    <cfRule type="cellIs" dxfId="0" priority="2395" operator="lessThan">
      <formula>20</formula>
    </cfRule>
    <cfRule type="cellIs" dxfId="1" priority="1316" operator="greaterThan">
      <formula>120</formula>
    </cfRule>
    <cfRule type="containsText" dxfId="2" priority="237" operator="between" text="库存为">
      <formula>NOT(ISERROR(SEARCH("库存为",AU848)))</formula>
    </cfRule>
  </conditionalFormatting>
  <conditionalFormatting sqref="AU849">
    <cfRule type="cellIs" dxfId="0" priority="2394" operator="lessThan">
      <formula>20</formula>
    </cfRule>
    <cfRule type="cellIs" dxfId="1" priority="1315" operator="greaterThan">
      <formula>120</formula>
    </cfRule>
    <cfRule type="containsText" dxfId="2" priority="236" operator="between" text="库存为">
      <formula>NOT(ISERROR(SEARCH("库存为",AU849)))</formula>
    </cfRule>
  </conditionalFormatting>
  <conditionalFormatting sqref="AU850">
    <cfRule type="cellIs" dxfId="0" priority="2393" operator="lessThan">
      <formula>20</formula>
    </cfRule>
    <cfRule type="cellIs" dxfId="1" priority="1314" operator="greaterThan">
      <formula>120</formula>
    </cfRule>
    <cfRule type="containsText" dxfId="2" priority="235" operator="between" text="库存为">
      <formula>NOT(ISERROR(SEARCH("库存为",AU850)))</formula>
    </cfRule>
  </conditionalFormatting>
  <conditionalFormatting sqref="AU851">
    <cfRule type="cellIs" dxfId="0" priority="2392" operator="lessThan">
      <formula>20</formula>
    </cfRule>
    <cfRule type="cellIs" dxfId="1" priority="1313" operator="greaterThan">
      <formula>120</formula>
    </cfRule>
    <cfRule type="containsText" dxfId="2" priority="234" operator="between" text="库存为">
      <formula>NOT(ISERROR(SEARCH("库存为",AU851)))</formula>
    </cfRule>
  </conditionalFormatting>
  <conditionalFormatting sqref="AU852">
    <cfRule type="cellIs" dxfId="0" priority="2391" operator="lessThan">
      <formula>20</formula>
    </cfRule>
    <cfRule type="cellIs" dxfId="1" priority="1312" operator="greaterThan">
      <formula>120</formula>
    </cfRule>
    <cfRule type="containsText" dxfId="2" priority="233" operator="between" text="库存为">
      <formula>NOT(ISERROR(SEARCH("库存为",AU852)))</formula>
    </cfRule>
  </conditionalFormatting>
  <conditionalFormatting sqref="AU853">
    <cfRule type="cellIs" dxfId="0" priority="2390" operator="lessThan">
      <formula>20</formula>
    </cfRule>
    <cfRule type="cellIs" dxfId="1" priority="1311" operator="greaterThan">
      <formula>120</formula>
    </cfRule>
    <cfRule type="containsText" dxfId="2" priority="232" operator="between" text="库存为">
      <formula>NOT(ISERROR(SEARCH("库存为",AU853)))</formula>
    </cfRule>
  </conditionalFormatting>
  <conditionalFormatting sqref="AU854">
    <cfRule type="cellIs" dxfId="0" priority="2389" operator="lessThan">
      <formula>20</formula>
    </cfRule>
    <cfRule type="cellIs" dxfId="1" priority="1310" operator="greaterThan">
      <formula>120</formula>
    </cfRule>
    <cfRule type="containsText" dxfId="2" priority="231" operator="between" text="库存为">
      <formula>NOT(ISERROR(SEARCH("库存为",AU854)))</formula>
    </cfRule>
  </conditionalFormatting>
  <conditionalFormatting sqref="AU855">
    <cfRule type="cellIs" dxfId="0" priority="2388" operator="lessThan">
      <formula>20</formula>
    </cfRule>
    <cfRule type="cellIs" dxfId="1" priority="1309" operator="greaterThan">
      <formula>120</formula>
    </cfRule>
    <cfRule type="containsText" dxfId="2" priority="230" operator="between" text="库存为">
      <formula>NOT(ISERROR(SEARCH("库存为",AU855)))</formula>
    </cfRule>
  </conditionalFormatting>
  <conditionalFormatting sqref="AU856">
    <cfRule type="cellIs" dxfId="0" priority="2387" operator="lessThan">
      <formula>20</formula>
    </cfRule>
    <cfRule type="cellIs" dxfId="1" priority="1308" operator="greaterThan">
      <formula>120</formula>
    </cfRule>
    <cfRule type="containsText" dxfId="2" priority="229" operator="between" text="库存为">
      <formula>NOT(ISERROR(SEARCH("库存为",AU856)))</formula>
    </cfRule>
  </conditionalFormatting>
  <conditionalFormatting sqref="AU857">
    <cfRule type="cellIs" dxfId="0" priority="2386" operator="lessThan">
      <formula>20</formula>
    </cfRule>
    <cfRule type="cellIs" dxfId="1" priority="1307" operator="greaterThan">
      <formula>120</formula>
    </cfRule>
    <cfRule type="containsText" dxfId="2" priority="228" operator="between" text="库存为">
      <formula>NOT(ISERROR(SEARCH("库存为",AU857)))</formula>
    </cfRule>
  </conditionalFormatting>
  <conditionalFormatting sqref="AU858">
    <cfRule type="cellIs" dxfId="0" priority="2385" operator="lessThan">
      <formula>20</formula>
    </cfRule>
    <cfRule type="cellIs" dxfId="1" priority="1306" operator="greaterThan">
      <formula>120</formula>
    </cfRule>
    <cfRule type="containsText" dxfId="2" priority="227" operator="between" text="库存为">
      <formula>NOT(ISERROR(SEARCH("库存为",AU858)))</formula>
    </cfRule>
  </conditionalFormatting>
  <conditionalFormatting sqref="AU859">
    <cfRule type="cellIs" dxfId="0" priority="2384" operator="lessThan">
      <formula>20</formula>
    </cfRule>
    <cfRule type="cellIs" dxfId="1" priority="1305" operator="greaterThan">
      <formula>120</formula>
    </cfRule>
    <cfRule type="containsText" dxfId="2" priority="226" operator="between" text="库存为">
      <formula>NOT(ISERROR(SEARCH("库存为",AU859)))</formula>
    </cfRule>
  </conditionalFormatting>
  <conditionalFormatting sqref="AU860">
    <cfRule type="cellIs" dxfId="0" priority="2383" operator="lessThan">
      <formula>20</formula>
    </cfRule>
    <cfRule type="cellIs" dxfId="1" priority="1304" operator="greaterThan">
      <formula>120</formula>
    </cfRule>
    <cfRule type="containsText" dxfId="2" priority="225" operator="between" text="库存为">
      <formula>NOT(ISERROR(SEARCH("库存为",AU860)))</formula>
    </cfRule>
  </conditionalFormatting>
  <conditionalFormatting sqref="AU861">
    <cfRule type="cellIs" dxfId="0" priority="2382" operator="lessThan">
      <formula>20</formula>
    </cfRule>
    <cfRule type="cellIs" dxfId="1" priority="1303" operator="greaterThan">
      <formula>120</formula>
    </cfRule>
    <cfRule type="containsText" dxfId="2" priority="224" operator="between" text="库存为">
      <formula>NOT(ISERROR(SEARCH("库存为",AU861)))</formula>
    </cfRule>
  </conditionalFormatting>
  <conditionalFormatting sqref="AU862">
    <cfRule type="cellIs" dxfId="0" priority="2381" operator="lessThan">
      <formula>20</formula>
    </cfRule>
    <cfRule type="cellIs" dxfId="1" priority="1302" operator="greaterThan">
      <formula>120</formula>
    </cfRule>
    <cfRule type="containsText" dxfId="2" priority="223" operator="between" text="库存为">
      <formula>NOT(ISERROR(SEARCH("库存为",AU862)))</formula>
    </cfRule>
  </conditionalFormatting>
  <conditionalFormatting sqref="AU863">
    <cfRule type="cellIs" dxfId="0" priority="2380" operator="lessThan">
      <formula>20</formula>
    </cfRule>
    <cfRule type="cellIs" dxfId="1" priority="1301" operator="greaterThan">
      <formula>120</formula>
    </cfRule>
    <cfRule type="containsText" dxfId="2" priority="222" operator="between" text="库存为">
      <formula>NOT(ISERROR(SEARCH("库存为",AU863)))</formula>
    </cfRule>
  </conditionalFormatting>
  <conditionalFormatting sqref="AU864">
    <cfRule type="cellIs" dxfId="0" priority="2379" operator="lessThan">
      <formula>20</formula>
    </cfRule>
    <cfRule type="cellIs" dxfId="1" priority="1300" operator="greaterThan">
      <formula>120</formula>
    </cfRule>
    <cfRule type="containsText" dxfId="2" priority="221" operator="between" text="库存为">
      <formula>NOT(ISERROR(SEARCH("库存为",AU864)))</formula>
    </cfRule>
  </conditionalFormatting>
  <conditionalFormatting sqref="AU865">
    <cfRule type="cellIs" dxfId="0" priority="2378" operator="lessThan">
      <formula>20</formula>
    </cfRule>
    <cfRule type="cellIs" dxfId="1" priority="1299" operator="greaterThan">
      <formula>120</formula>
    </cfRule>
    <cfRule type="containsText" dxfId="2" priority="220" operator="between" text="库存为">
      <formula>NOT(ISERROR(SEARCH("库存为",AU865)))</formula>
    </cfRule>
  </conditionalFormatting>
  <conditionalFormatting sqref="AU866">
    <cfRule type="cellIs" dxfId="0" priority="2377" operator="lessThan">
      <formula>20</formula>
    </cfRule>
    <cfRule type="cellIs" dxfId="1" priority="1298" operator="greaterThan">
      <formula>120</formula>
    </cfRule>
    <cfRule type="containsText" dxfId="2" priority="219" operator="between" text="库存为">
      <formula>NOT(ISERROR(SEARCH("库存为",AU866)))</formula>
    </cfRule>
  </conditionalFormatting>
  <conditionalFormatting sqref="AU867">
    <cfRule type="cellIs" dxfId="0" priority="2376" operator="lessThan">
      <formula>20</formula>
    </cfRule>
    <cfRule type="cellIs" dxfId="1" priority="1297" operator="greaterThan">
      <formula>120</formula>
    </cfRule>
    <cfRule type="containsText" dxfId="2" priority="218" operator="between" text="库存为">
      <formula>NOT(ISERROR(SEARCH("库存为",AU867)))</formula>
    </cfRule>
  </conditionalFormatting>
  <conditionalFormatting sqref="AU868">
    <cfRule type="cellIs" dxfId="0" priority="2375" operator="lessThan">
      <formula>20</formula>
    </cfRule>
    <cfRule type="cellIs" dxfId="1" priority="1296" operator="greaterThan">
      <formula>120</formula>
    </cfRule>
    <cfRule type="containsText" dxfId="2" priority="217" operator="between" text="库存为">
      <formula>NOT(ISERROR(SEARCH("库存为",AU868)))</formula>
    </cfRule>
  </conditionalFormatting>
  <conditionalFormatting sqref="AU869">
    <cfRule type="cellIs" dxfId="0" priority="2374" operator="lessThan">
      <formula>20</formula>
    </cfRule>
    <cfRule type="cellIs" dxfId="1" priority="1295" operator="greaterThan">
      <formula>120</formula>
    </cfRule>
    <cfRule type="containsText" dxfId="2" priority="216" operator="between" text="库存为">
      <formula>NOT(ISERROR(SEARCH("库存为",AU869)))</formula>
    </cfRule>
  </conditionalFormatting>
  <conditionalFormatting sqref="AU870">
    <cfRule type="cellIs" dxfId="0" priority="2373" operator="lessThan">
      <formula>20</formula>
    </cfRule>
    <cfRule type="cellIs" dxfId="1" priority="1294" operator="greaterThan">
      <formula>120</formula>
    </cfRule>
    <cfRule type="containsText" dxfId="2" priority="215" operator="between" text="库存为">
      <formula>NOT(ISERROR(SEARCH("库存为",AU870)))</formula>
    </cfRule>
  </conditionalFormatting>
  <conditionalFormatting sqref="AU871">
    <cfRule type="cellIs" dxfId="0" priority="2372" operator="lessThan">
      <formula>20</formula>
    </cfRule>
    <cfRule type="cellIs" dxfId="1" priority="1293" operator="greaterThan">
      <formula>120</formula>
    </cfRule>
    <cfRule type="containsText" dxfId="2" priority="214" operator="between" text="库存为">
      <formula>NOT(ISERROR(SEARCH("库存为",AU871)))</formula>
    </cfRule>
  </conditionalFormatting>
  <conditionalFormatting sqref="AU872">
    <cfRule type="cellIs" dxfId="0" priority="2371" operator="lessThan">
      <formula>20</formula>
    </cfRule>
    <cfRule type="cellIs" dxfId="1" priority="1292" operator="greaterThan">
      <formula>120</formula>
    </cfRule>
    <cfRule type="containsText" dxfId="2" priority="213" operator="between" text="库存为">
      <formula>NOT(ISERROR(SEARCH("库存为",AU872)))</formula>
    </cfRule>
  </conditionalFormatting>
  <conditionalFormatting sqref="AU873">
    <cfRule type="cellIs" dxfId="0" priority="2370" operator="lessThan">
      <formula>20</formula>
    </cfRule>
    <cfRule type="cellIs" dxfId="1" priority="1291" operator="greaterThan">
      <formula>120</formula>
    </cfRule>
    <cfRule type="containsText" dxfId="2" priority="212" operator="between" text="库存为">
      <formula>NOT(ISERROR(SEARCH("库存为",AU873)))</formula>
    </cfRule>
  </conditionalFormatting>
  <conditionalFormatting sqref="AU874">
    <cfRule type="cellIs" dxfId="0" priority="2369" operator="lessThan">
      <formula>20</formula>
    </cfRule>
    <cfRule type="cellIs" dxfId="1" priority="1290" operator="greaterThan">
      <formula>120</formula>
    </cfRule>
    <cfRule type="containsText" dxfId="2" priority="211" operator="between" text="库存为">
      <formula>NOT(ISERROR(SEARCH("库存为",AU874)))</formula>
    </cfRule>
  </conditionalFormatting>
  <conditionalFormatting sqref="AU875">
    <cfRule type="cellIs" dxfId="0" priority="2368" operator="lessThan">
      <formula>20</formula>
    </cfRule>
    <cfRule type="cellIs" dxfId="1" priority="1289" operator="greaterThan">
      <formula>120</formula>
    </cfRule>
    <cfRule type="containsText" dxfId="2" priority="210" operator="between" text="库存为">
      <formula>NOT(ISERROR(SEARCH("库存为",AU875)))</formula>
    </cfRule>
  </conditionalFormatting>
  <conditionalFormatting sqref="AU876">
    <cfRule type="cellIs" dxfId="0" priority="2367" operator="lessThan">
      <formula>20</formula>
    </cfRule>
    <cfRule type="cellIs" dxfId="1" priority="1288" operator="greaterThan">
      <formula>120</formula>
    </cfRule>
    <cfRule type="containsText" dxfId="2" priority="209" operator="between" text="库存为">
      <formula>NOT(ISERROR(SEARCH("库存为",AU876)))</formula>
    </cfRule>
  </conditionalFormatting>
  <conditionalFormatting sqref="AU877">
    <cfRule type="cellIs" dxfId="0" priority="2366" operator="lessThan">
      <formula>20</formula>
    </cfRule>
    <cfRule type="cellIs" dxfId="1" priority="1287" operator="greaterThan">
      <formula>120</formula>
    </cfRule>
    <cfRule type="containsText" dxfId="2" priority="208" operator="between" text="库存为">
      <formula>NOT(ISERROR(SEARCH("库存为",AU877)))</formula>
    </cfRule>
  </conditionalFormatting>
  <conditionalFormatting sqref="AU878">
    <cfRule type="cellIs" dxfId="0" priority="2365" operator="lessThan">
      <formula>20</formula>
    </cfRule>
    <cfRule type="cellIs" dxfId="1" priority="1286" operator="greaterThan">
      <formula>120</formula>
    </cfRule>
    <cfRule type="containsText" dxfId="2" priority="207" operator="between" text="库存为">
      <formula>NOT(ISERROR(SEARCH("库存为",AU878)))</formula>
    </cfRule>
  </conditionalFormatting>
  <conditionalFormatting sqref="AU879">
    <cfRule type="cellIs" dxfId="0" priority="2364" operator="lessThan">
      <formula>20</formula>
    </cfRule>
    <cfRule type="cellIs" dxfId="1" priority="1285" operator="greaterThan">
      <formula>120</formula>
    </cfRule>
    <cfRule type="containsText" dxfId="2" priority="206" operator="between" text="库存为">
      <formula>NOT(ISERROR(SEARCH("库存为",AU879)))</formula>
    </cfRule>
  </conditionalFormatting>
  <conditionalFormatting sqref="AU880">
    <cfRule type="cellIs" dxfId="0" priority="2363" operator="lessThan">
      <formula>20</formula>
    </cfRule>
    <cfRule type="cellIs" dxfId="1" priority="1284" operator="greaterThan">
      <formula>120</formula>
    </cfRule>
    <cfRule type="containsText" dxfId="2" priority="205" operator="between" text="库存为">
      <formula>NOT(ISERROR(SEARCH("库存为",AU880)))</formula>
    </cfRule>
  </conditionalFormatting>
  <conditionalFormatting sqref="AU881">
    <cfRule type="cellIs" dxfId="0" priority="2362" operator="lessThan">
      <formula>20</formula>
    </cfRule>
    <cfRule type="cellIs" dxfId="1" priority="1283" operator="greaterThan">
      <formula>120</formula>
    </cfRule>
    <cfRule type="containsText" dxfId="2" priority="204" operator="between" text="库存为">
      <formula>NOT(ISERROR(SEARCH("库存为",AU881)))</formula>
    </cfRule>
  </conditionalFormatting>
  <conditionalFormatting sqref="AU882">
    <cfRule type="cellIs" dxfId="0" priority="2361" operator="lessThan">
      <formula>20</formula>
    </cfRule>
    <cfRule type="cellIs" dxfId="1" priority="1282" operator="greaterThan">
      <formula>120</formula>
    </cfRule>
    <cfRule type="containsText" dxfId="2" priority="203" operator="between" text="库存为">
      <formula>NOT(ISERROR(SEARCH("库存为",AU882)))</formula>
    </cfRule>
  </conditionalFormatting>
  <conditionalFormatting sqref="AU883">
    <cfRule type="cellIs" dxfId="0" priority="2360" operator="lessThan">
      <formula>20</formula>
    </cfRule>
    <cfRule type="cellIs" dxfId="1" priority="1281" operator="greaterThan">
      <formula>120</formula>
    </cfRule>
    <cfRule type="containsText" dxfId="2" priority="202" operator="between" text="库存为">
      <formula>NOT(ISERROR(SEARCH("库存为",AU883)))</formula>
    </cfRule>
  </conditionalFormatting>
  <conditionalFormatting sqref="AU884">
    <cfRule type="cellIs" dxfId="0" priority="2359" operator="lessThan">
      <formula>20</formula>
    </cfRule>
    <cfRule type="cellIs" dxfId="1" priority="1280" operator="greaterThan">
      <formula>120</formula>
    </cfRule>
    <cfRule type="containsText" dxfId="2" priority="201" operator="between" text="库存为">
      <formula>NOT(ISERROR(SEARCH("库存为",AU884)))</formula>
    </cfRule>
  </conditionalFormatting>
  <conditionalFormatting sqref="AU885">
    <cfRule type="cellIs" dxfId="0" priority="2358" operator="lessThan">
      <formula>20</formula>
    </cfRule>
    <cfRule type="cellIs" dxfId="1" priority="1279" operator="greaterThan">
      <formula>120</formula>
    </cfRule>
    <cfRule type="containsText" dxfId="2" priority="200" operator="between" text="库存为">
      <formula>NOT(ISERROR(SEARCH("库存为",AU885)))</formula>
    </cfRule>
  </conditionalFormatting>
  <conditionalFormatting sqref="AU886">
    <cfRule type="cellIs" dxfId="0" priority="2357" operator="lessThan">
      <formula>20</formula>
    </cfRule>
    <cfRule type="cellIs" dxfId="1" priority="1278" operator="greaterThan">
      <formula>120</formula>
    </cfRule>
    <cfRule type="containsText" dxfId="2" priority="199" operator="between" text="库存为">
      <formula>NOT(ISERROR(SEARCH("库存为",AU886)))</formula>
    </cfRule>
  </conditionalFormatting>
  <conditionalFormatting sqref="AU887">
    <cfRule type="cellIs" dxfId="0" priority="2356" operator="lessThan">
      <formula>20</formula>
    </cfRule>
    <cfRule type="cellIs" dxfId="1" priority="1277" operator="greaterThan">
      <formula>120</formula>
    </cfRule>
    <cfRule type="containsText" dxfId="2" priority="198" operator="between" text="库存为">
      <formula>NOT(ISERROR(SEARCH("库存为",AU887)))</formula>
    </cfRule>
  </conditionalFormatting>
  <conditionalFormatting sqref="AU888">
    <cfRule type="cellIs" dxfId="0" priority="2355" operator="lessThan">
      <formula>20</formula>
    </cfRule>
    <cfRule type="cellIs" dxfId="1" priority="1276" operator="greaterThan">
      <formula>120</formula>
    </cfRule>
    <cfRule type="containsText" dxfId="2" priority="197" operator="between" text="库存为">
      <formula>NOT(ISERROR(SEARCH("库存为",AU888)))</formula>
    </cfRule>
  </conditionalFormatting>
  <conditionalFormatting sqref="AU889">
    <cfRule type="cellIs" dxfId="0" priority="2354" operator="lessThan">
      <formula>20</formula>
    </cfRule>
    <cfRule type="cellIs" dxfId="1" priority="1275" operator="greaterThan">
      <formula>120</formula>
    </cfRule>
    <cfRule type="containsText" dxfId="2" priority="196" operator="between" text="库存为">
      <formula>NOT(ISERROR(SEARCH("库存为",AU889)))</formula>
    </cfRule>
  </conditionalFormatting>
  <conditionalFormatting sqref="AU890">
    <cfRule type="cellIs" dxfId="0" priority="2353" operator="lessThan">
      <formula>20</formula>
    </cfRule>
    <cfRule type="cellIs" dxfId="1" priority="1274" operator="greaterThan">
      <formula>120</formula>
    </cfRule>
    <cfRule type="containsText" dxfId="2" priority="195" operator="between" text="库存为">
      <formula>NOT(ISERROR(SEARCH("库存为",AU890)))</formula>
    </cfRule>
  </conditionalFormatting>
  <conditionalFormatting sqref="AU891">
    <cfRule type="cellIs" dxfId="0" priority="2352" operator="lessThan">
      <formula>20</formula>
    </cfRule>
    <cfRule type="cellIs" dxfId="1" priority="1273" operator="greaterThan">
      <formula>120</formula>
    </cfRule>
    <cfRule type="containsText" dxfId="2" priority="194" operator="between" text="库存为">
      <formula>NOT(ISERROR(SEARCH("库存为",AU891)))</formula>
    </cfRule>
  </conditionalFormatting>
  <conditionalFormatting sqref="AU892">
    <cfRule type="cellIs" dxfId="0" priority="2351" operator="lessThan">
      <formula>20</formula>
    </cfRule>
    <cfRule type="cellIs" dxfId="1" priority="1272" operator="greaterThan">
      <formula>120</formula>
    </cfRule>
    <cfRule type="containsText" dxfId="2" priority="193" operator="between" text="库存为">
      <formula>NOT(ISERROR(SEARCH("库存为",AU892)))</formula>
    </cfRule>
  </conditionalFormatting>
  <conditionalFormatting sqref="AU893">
    <cfRule type="cellIs" dxfId="0" priority="2350" operator="lessThan">
      <formula>20</formula>
    </cfRule>
    <cfRule type="cellIs" dxfId="1" priority="1271" operator="greaterThan">
      <formula>120</formula>
    </cfRule>
    <cfRule type="containsText" dxfId="2" priority="192" operator="between" text="库存为">
      <formula>NOT(ISERROR(SEARCH("库存为",AU893)))</formula>
    </cfRule>
  </conditionalFormatting>
  <conditionalFormatting sqref="AU894">
    <cfRule type="cellIs" dxfId="0" priority="2349" operator="lessThan">
      <formula>20</formula>
    </cfRule>
    <cfRule type="cellIs" dxfId="1" priority="1270" operator="greaterThan">
      <formula>120</formula>
    </cfRule>
    <cfRule type="containsText" dxfId="2" priority="191" operator="between" text="库存为">
      <formula>NOT(ISERROR(SEARCH("库存为",AU894)))</formula>
    </cfRule>
  </conditionalFormatting>
  <conditionalFormatting sqref="AU895">
    <cfRule type="cellIs" dxfId="0" priority="2348" operator="lessThan">
      <formula>20</formula>
    </cfRule>
    <cfRule type="cellIs" dxfId="1" priority="1269" operator="greaterThan">
      <formula>120</formula>
    </cfRule>
    <cfRule type="containsText" dxfId="2" priority="190" operator="between" text="库存为">
      <formula>NOT(ISERROR(SEARCH("库存为",AU895)))</formula>
    </cfRule>
  </conditionalFormatting>
  <conditionalFormatting sqref="AU896">
    <cfRule type="cellIs" dxfId="0" priority="2347" operator="lessThan">
      <formula>20</formula>
    </cfRule>
    <cfRule type="cellIs" dxfId="1" priority="1268" operator="greaterThan">
      <formula>120</formula>
    </cfRule>
    <cfRule type="containsText" dxfId="2" priority="189" operator="between" text="库存为">
      <formula>NOT(ISERROR(SEARCH("库存为",AU896)))</formula>
    </cfRule>
  </conditionalFormatting>
  <conditionalFormatting sqref="AU897">
    <cfRule type="cellIs" dxfId="0" priority="2346" operator="lessThan">
      <formula>20</formula>
    </cfRule>
    <cfRule type="cellIs" dxfId="1" priority="1267" operator="greaterThan">
      <formula>120</formula>
    </cfRule>
    <cfRule type="containsText" dxfId="2" priority="188" operator="between" text="库存为">
      <formula>NOT(ISERROR(SEARCH("库存为",AU897)))</formula>
    </cfRule>
  </conditionalFormatting>
  <conditionalFormatting sqref="AU898">
    <cfRule type="cellIs" dxfId="0" priority="2345" operator="lessThan">
      <formula>20</formula>
    </cfRule>
    <cfRule type="cellIs" dxfId="1" priority="1266" operator="greaterThan">
      <formula>120</formula>
    </cfRule>
    <cfRule type="containsText" dxfId="2" priority="187" operator="between" text="库存为">
      <formula>NOT(ISERROR(SEARCH("库存为",AU898)))</formula>
    </cfRule>
  </conditionalFormatting>
  <conditionalFormatting sqref="AU899">
    <cfRule type="cellIs" dxfId="0" priority="2344" operator="lessThan">
      <formula>20</formula>
    </cfRule>
    <cfRule type="cellIs" dxfId="1" priority="1265" operator="greaterThan">
      <formula>120</formula>
    </cfRule>
    <cfRule type="containsText" dxfId="2" priority="186" operator="between" text="库存为">
      <formula>NOT(ISERROR(SEARCH("库存为",AU899)))</formula>
    </cfRule>
  </conditionalFormatting>
  <conditionalFormatting sqref="AU900">
    <cfRule type="cellIs" dxfId="0" priority="2343" operator="lessThan">
      <formula>20</formula>
    </cfRule>
    <cfRule type="cellIs" dxfId="1" priority="1264" operator="greaterThan">
      <formula>120</formula>
    </cfRule>
    <cfRule type="containsText" dxfId="2" priority="185" operator="between" text="库存为">
      <formula>NOT(ISERROR(SEARCH("库存为",AU900)))</formula>
    </cfRule>
  </conditionalFormatting>
  <conditionalFormatting sqref="AU901">
    <cfRule type="cellIs" dxfId="0" priority="2342" operator="lessThan">
      <formula>20</formula>
    </cfRule>
    <cfRule type="cellIs" dxfId="1" priority="1263" operator="greaterThan">
      <formula>120</formula>
    </cfRule>
    <cfRule type="containsText" dxfId="2" priority="184" operator="between" text="库存为">
      <formula>NOT(ISERROR(SEARCH("库存为",AU901)))</formula>
    </cfRule>
  </conditionalFormatting>
  <conditionalFormatting sqref="AU902">
    <cfRule type="cellIs" dxfId="0" priority="2341" operator="lessThan">
      <formula>20</formula>
    </cfRule>
    <cfRule type="cellIs" dxfId="1" priority="1262" operator="greaterThan">
      <formula>120</formula>
    </cfRule>
    <cfRule type="containsText" dxfId="2" priority="183" operator="between" text="库存为">
      <formula>NOT(ISERROR(SEARCH("库存为",AU902)))</formula>
    </cfRule>
  </conditionalFormatting>
  <conditionalFormatting sqref="AU903">
    <cfRule type="cellIs" dxfId="0" priority="2340" operator="lessThan">
      <formula>20</formula>
    </cfRule>
    <cfRule type="cellIs" dxfId="1" priority="1261" operator="greaterThan">
      <formula>120</formula>
    </cfRule>
    <cfRule type="containsText" dxfId="2" priority="182" operator="between" text="库存为">
      <formula>NOT(ISERROR(SEARCH("库存为",AU903)))</formula>
    </cfRule>
  </conditionalFormatting>
  <conditionalFormatting sqref="AU904">
    <cfRule type="cellIs" dxfId="0" priority="2339" operator="lessThan">
      <formula>20</formula>
    </cfRule>
    <cfRule type="cellIs" dxfId="1" priority="1260" operator="greaterThan">
      <formula>120</formula>
    </cfRule>
    <cfRule type="containsText" dxfId="2" priority="181" operator="between" text="库存为">
      <formula>NOT(ISERROR(SEARCH("库存为",AU904)))</formula>
    </cfRule>
  </conditionalFormatting>
  <conditionalFormatting sqref="AU905">
    <cfRule type="cellIs" dxfId="0" priority="2338" operator="lessThan">
      <formula>20</formula>
    </cfRule>
    <cfRule type="cellIs" dxfId="1" priority="1259" operator="greaterThan">
      <formula>120</formula>
    </cfRule>
    <cfRule type="containsText" dxfId="2" priority="180" operator="between" text="库存为">
      <formula>NOT(ISERROR(SEARCH("库存为",AU905)))</formula>
    </cfRule>
  </conditionalFormatting>
  <conditionalFormatting sqref="AU906">
    <cfRule type="cellIs" dxfId="0" priority="2337" operator="lessThan">
      <formula>20</formula>
    </cfRule>
    <cfRule type="cellIs" dxfId="1" priority="1258" operator="greaterThan">
      <formula>120</formula>
    </cfRule>
    <cfRule type="containsText" dxfId="2" priority="179" operator="between" text="库存为">
      <formula>NOT(ISERROR(SEARCH("库存为",AU906)))</formula>
    </cfRule>
  </conditionalFormatting>
  <conditionalFormatting sqref="AU907">
    <cfRule type="cellIs" dxfId="0" priority="2336" operator="lessThan">
      <formula>20</formula>
    </cfRule>
    <cfRule type="cellIs" dxfId="1" priority="1257" operator="greaterThan">
      <formula>120</formula>
    </cfRule>
    <cfRule type="containsText" dxfId="2" priority="178" operator="between" text="库存为">
      <formula>NOT(ISERROR(SEARCH("库存为",AU907)))</formula>
    </cfRule>
  </conditionalFormatting>
  <conditionalFormatting sqref="AU908">
    <cfRule type="cellIs" dxfId="0" priority="2335" operator="lessThan">
      <formula>20</formula>
    </cfRule>
    <cfRule type="cellIs" dxfId="1" priority="1256" operator="greaterThan">
      <formula>120</formula>
    </cfRule>
    <cfRule type="containsText" dxfId="2" priority="177" operator="between" text="库存为">
      <formula>NOT(ISERROR(SEARCH("库存为",AU908)))</formula>
    </cfRule>
  </conditionalFormatting>
  <conditionalFormatting sqref="AU909">
    <cfRule type="cellIs" dxfId="0" priority="2334" operator="lessThan">
      <formula>20</formula>
    </cfRule>
    <cfRule type="cellIs" dxfId="1" priority="1255" operator="greaterThan">
      <formula>120</formula>
    </cfRule>
    <cfRule type="containsText" dxfId="2" priority="176" operator="between" text="库存为">
      <formula>NOT(ISERROR(SEARCH("库存为",AU909)))</formula>
    </cfRule>
  </conditionalFormatting>
  <conditionalFormatting sqref="AU910">
    <cfRule type="cellIs" dxfId="0" priority="2333" operator="lessThan">
      <formula>20</formula>
    </cfRule>
    <cfRule type="cellIs" dxfId="1" priority="1254" operator="greaterThan">
      <formula>120</formula>
    </cfRule>
    <cfRule type="containsText" dxfId="2" priority="175" operator="between" text="库存为">
      <formula>NOT(ISERROR(SEARCH("库存为",AU910)))</formula>
    </cfRule>
  </conditionalFormatting>
  <conditionalFormatting sqref="AU911">
    <cfRule type="cellIs" dxfId="0" priority="2332" operator="lessThan">
      <formula>20</formula>
    </cfRule>
    <cfRule type="cellIs" dxfId="1" priority="1253" operator="greaterThan">
      <formula>120</formula>
    </cfRule>
    <cfRule type="containsText" dxfId="2" priority="174" operator="between" text="库存为">
      <formula>NOT(ISERROR(SEARCH("库存为",AU911)))</formula>
    </cfRule>
  </conditionalFormatting>
  <conditionalFormatting sqref="AU912">
    <cfRule type="cellIs" dxfId="0" priority="2331" operator="lessThan">
      <formula>20</formula>
    </cfRule>
    <cfRule type="cellIs" dxfId="1" priority="1252" operator="greaterThan">
      <formula>120</formula>
    </cfRule>
    <cfRule type="containsText" dxfId="2" priority="173" operator="between" text="库存为">
      <formula>NOT(ISERROR(SEARCH("库存为",AU912)))</formula>
    </cfRule>
  </conditionalFormatting>
  <conditionalFormatting sqref="AU913">
    <cfRule type="cellIs" dxfId="0" priority="2330" operator="lessThan">
      <formula>20</formula>
    </cfRule>
    <cfRule type="cellIs" dxfId="1" priority="1251" operator="greaterThan">
      <formula>120</formula>
    </cfRule>
    <cfRule type="containsText" dxfId="2" priority="172" operator="between" text="库存为">
      <formula>NOT(ISERROR(SEARCH("库存为",AU913)))</formula>
    </cfRule>
  </conditionalFormatting>
  <conditionalFormatting sqref="AU914">
    <cfRule type="cellIs" dxfId="0" priority="2329" operator="lessThan">
      <formula>20</formula>
    </cfRule>
    <cfRule type="cellIs" dxfId="1" priority="1250" operator="greaterThan">
      <formula>120</formula>
    </cfRule>
    <cfRule type="containsText" dxfId="2" priority="171" operator="between" text="库存为">
      <formula>NOT(ISERROR(SEARCH("库存为",AU914)))</formula>
    </cfRule>
  </conditionalFormatting>
  <conditionalFormatting sqref="AU915">
    <cfRule type="cellIs" dxfId="0" priority="2328" operator="lessThan">
      <formula>20</formula>
    </cfRule>
    <cfRule type="cellIs" dxfId="1" priority="1249" operator="greaterThan">
      <formula>120</formula>
    </cfRule>
    <cfRule type="containsText" dxfId="2" priority="170" operator="between" text="库存为">
      <formula>NOT(ISERROR(SEARCH("库存为",AU915)))</formula>
    </cfRule>
  </conditionalFormatting>
  <conditionalFormatting sqref="AU916">
    <cfRule type="cellIs" dxfId="0" priority="2327" operator="lessThan">
      <formula>20</formula>
    </cfRule>
    <cfRule type="cellIs" dxfId="1" priority="1248" operator="greaterThan">
      <formula>120</formula>
    </cfRule>
    <cfRule type="containsText" dxfId="2" priority="169" operator="between" text="库存为">
      <formula>NOT(ISERROR(SEARCH("库存为",AU916)))</formula>
    </cfRule>
  </conditionalFormatting>
  <conditionalFormatting sqref="AU917">
    <cfRule type="cellIs" dxfId="0" priority="2326" operator="lessThan">
      <formula>20</formula>
    </cfRule>
    <cfRule type="cellIs" dxfId="1" priority="1247" operator="greaterThan">
      <formula>120</formula>
    </cfRule>
    <cfRule type="containsText" dxfId="2" priority="168" operator="between" text="库存为">
      <formula>NOT(ISERROR(SEARCH("库存为",AU917)))</formula>
    </cfRule>
  </conditionalFormatting>
  <conditionalFormatting sqref="AU918">
    <cfRule type="cellIs" dxfId="0" priority="2325" operator="lessThan">
      <formula>20</formula>
    </cfRule>
    <cfRule type="cellIs" dxfId="1" priority="1246" operator="greaterThan">
      <formula>120</formula>
    </cfRule>
    <cfRule type="containsText" dxfId="2" priority="167" operator="between" text="库存为">
      <formula>NOT(ISERROR(SEARCH("库存为",AU918)))</formula>
    </cfRule>
  </conditionalFormatting>
  <conditionalFormatting sqref="AU919">
    <cfRule type="cellIs" dxfId="0" priority="2324" operator="lessThan">
      <formula>20</formula>
    </cfRule>
    <cfRule type="cellIs" dxfId="1" priority="1245" operator="greaterThan">
      <formula>120</formula>
    </cfRule>
    <cfRule type="containsText" dxfId="2" priority="166" operator="between" text="库存为">
      <formula>NOT(ISERROR(SEARCH("库存为",AU919)))</formula>
    </cfRule>
  </conditionalFormatting>
  <conditionalFormatting sqref="AU920">
    <cfRule type="cellIs" dxfId="0" priority="2323" operator="lessThan">
      <formula>20</formula>
    </cfRule>
    <cfRule type="cellIs" dxfId="1" priority="1244" operator="greaterThan">
      <formula>120</formula>
    </cfRule>
    <cfRule type="containsText" dxfId="2" priority="165" operator="between" text="库存为">
      <formula>NOT(ISERROR(SEARCH("库存为",AU920)))</formula>
    </cfRule>
  </conditionalFormatting>
  <conditionalFormatting sqref="AU921">
    <cfRule type="cellIs" dxfId="0" priority="2322" operator="lessThan">
      <formula>20</formula>
    </cfRule>
    <cfRule type="cellIs" dxfId="1" priority="1243" operator="greaterThan">
      <formula>120</formula>
    </cfRule>
    <cfRule type="containsText" dxfId="2" priority="164" operator="between" text="库存为">
      <formula>NOT(ISERROR(SEARCH("库存为",AU921)))</formula>
    </cfRule>
  </conditionalFormatting>
  <conditionalFormatting sqref="AU922">
    <cfRule type="cellIs" dxfId="0" priority="2321" operator="lessThan">
      <formula>20</formula>
    </cfRule>
    <cfRule type="cellIs" dxfId="1" priority="1242" operator="greaterThan">
      <formula>120</formula>
    </cfRule>
    <cfRule type="containsText" dxfId="2" priority="163" operator="between" text="库存为">
      <formula>NOT(ISERROR(SEARCH("库存为",AU922)))</formula>
    </cfRule>
  </conditionalFormatting>
  <conditionalFormatting sqref="AU923">
    <cfRule type="cellIs" dxfId="0" priority="2320" operator="lessThan">
      <formula>20</formula>
    </cfRule>
    <cfRule type="cellIs" dxfId="1" priority="1241" operator="greaterThan">
      <formula>120</formula>
    </cfRule>
    <cfRule type="containsText" dxfId="2" priority="162" operator="between" text="库存为">
      <formula>NOT(ISERROR(SEARCH("库存为",AU923)))</formula>
    </cfRule>
  </conditionalFormatting>
  <conditionalFormatting sqref="AU924">
    <cfRule type="cellIs" dxfId="0" priority="2319" operator="lessThan">
      <formula>20</formula>
    </cfRule>
    <cfRule type="cellIs" dxfId="1" priority="1240" operator="greaterThan">
      <formula>120</formula>
    </cfRule>
    <cfRule type="containsText" dxfId="2" priority="161" operator="between" text="库存为">
      <formula>NOT(ISERROR(SEARCH("库存为",AU924)))</formula>
    </cfRule>
  </conditionalFormatting>
  <conditionalFormatting sqref="AU925">
    <cfRule type="cellIs" dxfId="0" priority="2318" operator="lessThan">
      <formula>20</formula>
    </cfRule>
    <cfRule type="cellIs" dxfId="1" priority="1239" operator="greaterThan">
      <formula>120</formula>
    </cfRule>
    <cfRule type="containsText" dxfId="2" priority="160" operator="between" text="库存为">
      <formula>NOT(ISERROR(SEARCH("库存为",AU925)))</formula>
    </cfRule>
  </conditionalFormatting>
  <conditionalFormatting sqref="AU926">
    <cfRule type="cellIs" dxfId="0" priority="2317" operator="lessThan">
      <formula>20</formula>
    </cfRule>
    <cfRule type="cellIs" dxfId="1" priority="1238" operator="greaterThan">
      <formula>120</formula>
    </cfRule>
    <cfRule type="containsText" dxfId="2" priority="159" operator="between" text="库存为">
      <formula>NOT(ISERROR(SEARCH("库存为",AU926)))</formula>
    </cfRule>
  </conditionalFormatting>
  <conditionalFormatting sqref="AU927">
    <cfRule type="cellIs" dxfId="0" priority="2316" operator="lessThan">
      <formula>20</formula>
    </cfRule>
    <cfRule type="cellIs" dxfId="1" priority="1237" operator="greaterThan">
      <formula>120</formula>
    </cfRule>
    <cfRule type="containsText" dxfId="2" priority="158" operator="between" text="库存为">
      <formula>NOT(ISERROR(SEARCH("库存为",AU927)))</formula>
    </cfRule>
  </conditionalFormatting>
  <conditionalFormatting sqref="AU928">
    <cfRule type="cellIs" dxfId="0" priority="2315" operator="lessThan">
      <formula>20</formula>
    </cfRule>
    <cfRule type="cellIs" dxfId="1" priority="1236" operator="greaterThan">
      <formula>120</formula>
    </cfRule>
    <cfRule type="containsText" dxfId="2" priority="157" operator="between" text="库存为">
      <formula>NOT(ISERROR(SEARCH("库存为",AU928)))</formula>
    </cfRule>
  </conditionalFormatting>
  <conditionalFormatting sqref="AU929">
    <cfRule type="cellIs" dxfId="0" priority="2314" operator="lessThan">
      <formula>20</formula>
    </cfRule>
    <cfRule type="cellIs" dxfId="1" priority="1235" operator="greaterThan">
      <formula>120</formula>
    </cfRule>
    <cfRule type="containsText" dxfId="2" priority="156" operator="between" text="库存为">
      <formula>NOT(ISERROR(SEARCH("库存为",AU929)))</formula>
    </cfRule>
  </conditionalFormatting>
  <conditionalFormatting sqref="AU930">
    <cfRule type="cellIs" dxfId="0" priority="2313" operator="lessThan">
      <formula>20</formula>
    </cfRule>
    <cfRule type="cellIs" dxfId="1" priority="1234" operator="greaterThan">
      <formula>120</formula>
    </cfRule>
    <cfRule type="containsText" dxfId="2" priority="155" operator="between" text="库存为">
      <formula>NOT(ISERROR(SEARCH("库存为",AU930)))</formula>
    </cfRule>
  </conditionalFormatting>
  <conditionalFormatting sqref="AU931">
    <cfRule type="cellIs" dxfId="0" priority="2312" operator="lessThan">
      <formula>20</formula>
    </cfRule>
    <cfRule type="cellIs" dxfId="1" priority="1233" operator="greaterThan">
      <formula>120</formula>
    </cfRule>
    <cfRule type="containsText" dxfId="2" priority="154" operator="between" text="库存为">
      <formula>NOT(ISERROR(SEARCH("库存为",AU931)))</formula>
    </cfRule>
  </conditionalFormatting>
  <conditionalFormatting sqref="AU932">
    <cfRule type="cellIs" dxfId="0" priority="2311" operator="lessThan">
      <formula>20</formula>
    </cfRule>
    <cfRule type="cellIs" dxfId="1" priority="1232" operator="greaterThan">
      <formula>120</formula>
    </cfRule>
    <cfRule type="containsText" dxfId="2" priority="153" operator="between" text="库存为">
      <formula>NOT(ISERROR(SEARCH("库存为",AU932)))</formula>
    </cfRule>
  </conditionalFormatting>
  <conditionalFormatting sqref="AU933">
    <cfRule type="cellIs" dxfId="0" priority="2310" operator="lessThan">
      <formula>20</formula>
    </cfRule>
    <cfRule type="cellIs" dxfId="1" priority="1231" operator="greaterThan">
      <formula>120</formula>
    </cfRule>
    <cfRule type="containsText" dxfId="2" priority="152" operator="between" text="库存为">
      <formula>NOT(ISERROR(SEARCH("库存为",AU933)))</formula>
    </cfRule>
  </conditionalFormatting>
  <conditionalFormatting sqref="AU934">
    <cfRule type="cellIs" dxfId="0" priority="2309" operator="lessThan">
      <formula>20</formula>
    </cfRule>
    <cfRule type="cellIs" dxfId="1" priority="1230" operator="greaterThan">
      <formula>120</formula>
    </cfRule>
    <cfRule type="containsText" dxfId="2" priority="151" operator="between" text="库存为">
      <formula>NOT(ISERROR(SEARCH("库存为",AU934)))</formula>
    </cfRule>
  </conditionalFormatting>
  <conditionalFormatting sqref="AU935">
    <cfRule type="cellIs" dxfId="0" priority="2308" operator="lessThan">
      <formula>20</formula>
    </cfRule>
    <cfRule type="cellIs" dxfId="1" priority="1229" operator="greaterThan">
      <formula>120</formula>
    </cfRule>
    <cfRule type="containsText" dxfId="2" priority="150" operator="between" text="库存为">
      <formula>NOT(ISERROR(SEARCH("库存为",AU935)))</formula>
    </cfRule>
  </conditionalFormatting>
  <conditionalFormatting sqref="AU936">
    <cfRule type="cellIs" dxfId="0" priority="2307" operator="lessThan">
      <formula>20</formula>
    </cfRule>
    <cfRule type="cellIs" dxfId="1" priority="1228" operator="greaterThan">
      <formula>120</formula>
    </cfRule>
    <cfRule type="containsText" dxfId="2" priority="149" operator="between" text="库存为">
      <formula>NOT(ISERROR(SEARCH("库存为",AU936)))</formula>
    </cfRule>
  </conditionalFormatting>
  <conditionalFormatting sqref="AU937">
    <cfRule type="cellIs" dxfId="0" priority="2306" operator="lessThan">
      <formula>20</formula>
    </cfRule>
    <cfRule type="cellIs" dxfId="1" priority="1227" operator="greaterThan">
      <formula>120</formula>
    </cfRule>
    <cfRule type="containsText" dxfId="2" priority="148" operator="between" text="库存为">
      <formula>NOT(ISERROR(SEARCH("库存为",AU937)))</formula>
    </cfRule>
  </conditionalFormatting>
  <conditionalFormatting sqref="AU938">
    <cfRule type="cellIs" dxfId="0" priority="2305" operator="lessThan">
      <formula>20</formula>
    </cfRule>
    <cfRule type="cellIs" dxfId="1" priority="1226" operator="greaterThan">
      <formula>120</formula>
    </cfRule>
    <cfRule type="containsText" dxfId="2" priority="147" operator="between" text="库存为">
      <formula>NOT(ISERROR(SEARCH("库存为",AU938)))</formula>
    </cfRule>
  </conditionalFormatting>
  <conditionalFormatting sqref="AU939">
    <cfRule type="cellIs" dxfId="0" priority="2304" operator="lessThan">
      <formula>20</formula>
    </cfRule>
    <cfRule type="cellIs" dxfId="1" priority="1225" operator="greaterThan">
      <formula>120</formula>
    </cfRule>
    <cfRule type="containsText" dxfId="2" priority="146" operator="between" text="库存为">
      <formula>NOT(ISERROR(SEARCH("库存为",AU939)))</formula>
    </cfRule>
  </conditionalFormatting>
  <conditionalFormatting sqref="AU940">
    <cfRule type="cellIs" dxfId="0" priority="2303" operator="lessThan">
      <formula>20</formula>
    </cfRule>
    <cfRule type="cellIs" dxfId="1" priority="1224" operator="greaterThan">
      <formula>120</formula>
    </cfRule>
    <cfRule type="containsText" dxfId="2" priority="145" operator="between" text="库存为">
      <formula>NOT(ISERROR(SEARCH("库存为",AU940)))</formula>
    </cfRule>
  </conditionalFormatting>
  <conditionalFormatting sqref="AU941">
    <cfRule type="cellIs" dxfId="0" priority="2302" operator="lessThan">
      <formula>20</formula>
    </cfRule>
    <cfRule type="cellIs" dxfId="1" priority="1223" operator="greaterThan">
      <formula>120</formula>
    </cfRule>
    <cfRule type="containsText" dxfId="2" priority="144" operator="between" text="库存为">
      <formula>NOT(ISERROR(SEARCH("库存为",AU941)))</formula>
    </cfRule>
  </conditionalFormatting>
  <conditionalFormatting sqref="AU942">
    <cfRule type="cellIs" dxfId="0" priority="2301" operator="lessThan">
      <formula>20</formula>
    </cfRule>
    <cfRule type="cellIs" dxfId="1" priority="1222" operator="greaterThan">
      <formula>120</formula>
    </cfRule>
    <cfRule type="containsText" dxfId="2" priority="143" operator="between" text="库存为">
      <formula>NOT(ISERROR(SEARCH("库存为",AU942)))</formula>
    </cfRule>
  </conditionalFormatting>
  <conditionalFormatting sqref="AU943">
    <cfRule type="cellIs" dxfId="0" priority="2300" operator="lessThan">
      <formula>20</formula>
    </cfRule>
    <cfRule type="cellIs" dxfId="1" priority="1221" operator="greaterThan">
      <formula>120</formula>
    </cfRule>
    <cfRule type="containsText" dxfId="2" priority="142" operator="between" text="库存为">
      <formula>NOT(ISERROR(SEARCH("库存为",AU943)))</formula>
    </cfRule>
  </conditionalFormatting>
  <conditionalFormatting sqref="AU944">
    <cfRule type="cellIs" dxfId="0" priority="2299" operator="lessThan">
      <formula>20</formula>
    </cfRule>
    <cfRule type="cellIs" dxfId="1" priority="1220" operator="greaterThan">
      <formula>120</formula>
    </cfRule>
    <cfRule type="containsText" dxfId="2" priority="141" operator="between" text="库存为">
      <formula>NOT(ISERROR(SEARCH("库存为",AU944)))</formula>
    </cfRule>
  </conditionalFormatting>
  <conditionalFormatting sqref="AU945">
    <cfRule type="cellIs" dxfId="0" priority="2298" operator="lessThan">
      <formula>20</formula>
    </cfRule>
    <cfRule type="cellIs" dxfId="1" priority="1219" operator="greaterThan">
      <formula>120</formula>
    </cfRule>
    <cfRule type="containsText" dxfId="2" priority="140" operator="between" text="库存为">
      <formula>NOT(ISERROR(SEARCH("库存为",AU945)))</formula>
    </cfRule>
  </conditionalFormatting>
  <conditionalFormatting sqref="AU946">
    <cfRule type="cellIs" dxfId="0" priority="2297" operator="lessThan">
      <formula>20</formula>
    </cfRule>
    <cfRule type="cellIs" dxfId="1" priority="1218" operator="greaterThan">
      <formula>120</formula>
    </cfRule>
    <cfRule type="containsText" dxfId="2" priority="139" operator="between" text="库存为">
      <formula>NOT(ISERROR(SEARCH("库存为",AU946)))</formula>
    </cfRule>
  </conditionalFormatting>
  <conditionalFormatting sqref="AU947">
    <cfRule type="cellIs" dxfId="0" priority="2296" operator="lessThan">
      <formula>20</formula>
    </cfRule>
    <cfRule type="cellIs" dxfId="1" priority="1217" operator="greaterThan">
      <formula>120</formula>
    </cfRule>
    <cfRule type="containsText" dxfId="2" priority="138" operator="between" text="库存为">
      <formula>NOT(ISERROR(SEARCH("库存为",AU947)))</formula>
    </cfRule>
  </conditionalFormatting>
  <conditionalFormatting sqref="AU948">
    <cfRule type="cellIs" dxfId="0" priority="2295" operator="lessThan">
      <formula>20</formula>
    </cfRule>
    <cfRule type="cellIs" dxfId="1" priority="1216" operator="greaterThan">
      <formula>120</formula>
    </cfRule>
    <cfRule type="containsText" dxfId="2" priority="137" operator="between" text="库存为">
      <formula>NOT(ISERROR(SEARCH("库存为",AU948)))</formula>
    </cfRule>
  </conditionalFormatting>
  <conditionalFormatting sqref="AU949">
    <cfRule type="cellIs" dxfId="0" priority="2294" operator="lessThan">
      <formula>20</formula>
    </cfRule>
    <cfRule type="cellIs" dxfId="1" priority="1215" operator="greaterThan">
      <formula>120</formula>
    </cfRule>
    <cfRule type="containsText" dxfId="2" priority="136" operator="between" text="库存为">
      <formula>NOT(ISERROR(SEARCH("库存为",AU949)))</formula>
    </cfRule>
  </conditionalFormatting>
  <conditionalFormatting sqref="AU950">
    <cfRule type="cellIs" dxfId="0" priority="2293" operator="lessThan">
      <formula>20</formula>
    </cfRule>
    <cfRule type="cellIs" dxfId="1" priority="1214" operator="greaterThan">
      <formula>120</formula>
    </cfRule>
    <cfRule type="containsText" dxfId="2" priority="135" operator="between" text="库存为">
      <formula>NOT(ISERROR(SEARCH("库存为",AU950)))</formula>
    </cfRule>
  </conditionalFormatting>
  <conditionalFormatting sqref="AU951">
    <cfRule type="cellIs" dxfId="0" priority="2292" operator="lessThan">
      <formula>20</formula>
    </cfRule>
    <cfRule type="cellIs" dxfId="1" priority="1213" operator="greaterThan">
      <formula>120</formula>
    </cfRule>
    <cfRule type="containsText" dxfId="2" priority="134" operator="between" text="库存为">
      <formula>NOT(ISERROR(SEARCH("库存为",AU951)))</formula>
    </cfRule>
  </conditionalFormatting>
  <conditionalFormatting sqref="AU952">
    <cfRule type="cellIs" dxfId="0" priority="2291" operator="lessThan">
      <formula>20</formula>
    </cfRule>
    <cfRule type="cellIs" dxfId="1" priority="1212" operator="greaterThan">
      <formula>120</formula>
    </cfRule>
    <cfRule type="containsText" dxfId="2" priority="133" operator="between" text="库存为">
      <formula>NOT(ISERROR(SEARCH("库存为",AU952)))</formula>
    </cfRule>
  </conditionalFormatting>
  <conditionalFormatting sqref="AU953">
    <cfRule type="cellIs" dxfId="0" priority="2290" operator="lessThan">
      <formula>20</formula>
    </cfRule>
    <cfRule type="cellIs" dxfId="1" priority="1211" operator="greaterThan">
      <formula>120</formula>
    </cfRule>
    <cfRule type="containsText" dxfId="2" priority="132" operator="between" text="库存为">
      <formula>NOT(ISERROR(SEARCH("库存为",AU953)))</formula>
    </cfRule>
  </conditionalFormatting>
  <conditionalFormatting sqref="AU954">
    <cfRule type="cellIs" dxfId="0" priority="2289" operator="lessThan">
      <formula>20</formula>
    </cfRule>
    <cfRule type="cellIs" dxfId="1" priority="1210" operator="greaterThan">
      <formula>120</formula>
    </cfRule>
    <cfRule type="containsText" dxfId="2" priority="131" operator="between" text="库存为">
      <formula>NOT(ISERROR(SEARCH("库存为",AU954)))</formula>
    </cfRule>
  </conditionalFormatting>
  <conditionalFormatting sqref="AU955">
    <cfRule type="cellIs" dxfId="0" priority="2288" operator="lessThan">
      <formula>20</formula>
    </cfRule>
    <cfRule type="cellIs" dxfId="1" priority="1209" operator="greaterThan">
      <formula>120</formula>
    </cfRule>
    <cfRule type="containsText" dxfId="2" priority="130" operator="between" text="库存为">
      <formula>NOT(ISERROR(SEARCH("库存为",AU955)))</formula>
    </cfRule>
  </conditionalFormatting>
  <conditionalFormatting sqref="AU956">
    <cfRule type="cellIs" dxfId="0" priority="2287" operator="lessThan">
      <formula>20</formula>
    </cfRule>
    <cfRule type="cellIs" dxfId="1" priority="1208" operator="greaterThan">
      <formula>120</formula>
    </cfRule>
    <cfRule type="containsText" dxfId="2" priority="129" operator="between" text="库存为">
      <formula>NOT(ISERROR(SEARCH("库存为",AU956)))</formula>
    </cfRule>
  </conditionalFormatting>
  <conditionalFormatting sqref="AU957">
    <cfRule type="cellIs" dxfId="0" priority="2286" operator="lessThan">
      <formula>20</formula>
    </cfRule>
    <cfRule type="cellIs" dxfId="1" priority="1207" operator="greaterThan">
      <formula>120</formula>
    </cfRule>
    <cfRule type="containsText" dxfId="2" priority="128" operator="between" text="库存为">
      <formula>NOT(ISERROR(SEARCH("库存为",AU957)))</formula>
    </cfRule>
  </conditionalFormatting>
  <conditionalFormatting sqref="AU958">
    <cfRule type="cellIs" dxfId="0" priority="2285" operator="lessThan">
      <formula>20</formula>
    </cfRule>
    <cfRule type="cellIs" dxfId="1" priority="1206" operator="greaterThan">
      <formula>120</formula>
    </cfRule>
    <cfRule type="containsText" dxfId="2" priority="127" operator="between" text="库存为">
      <formula>NOT(ISERROR(SEARCH("库存为",AU958)))</formula>
    </cfRule>
  </conditionalFormatting>
  <conditionalFormatting sqref="AU959">
    <cfRule type="cellIs" dxfId="0" priority="2284" operator="lessThan">
      <formula>20</formula>
    </cfRule>
    <cfRule type="cellIs" dxfId="1" priority="1205" operator="greaterThan">
      <formula>120</formula>
    </cfRule>
    <cfRule type="containsText" dxfId="2" priority="126" operator="between" text="库存为">
      <formula>NOT(ISERROR(SEARCH("库存为",AU959)))</formula>
    </cfRule>
  </conditionalFormatting>
  <conditionalFormatting sqref="AU960">
    <cfRule type="cellIs" dxfId="0" priority="2283" operator="lessThan">
      <formula>20</formula>
    </cfRule>
    <cfRule type="cellIs" dxfId="1" priority="1204" operator="greaterThan">
      <formula>120</formula>
    </cfRule>
    <cfRule type="containsText" dxfId="2" priority="125" operator="between" text="库存为">
      <formula>NOT(ISERROR(SEARCH("库存为",AU960)))</formula>
    </cfRule>
  </conditionalFormatting>
  <conditionalFormatting sqref="AU961">
    <cfRule type="cellIs" dxfId="0" priority="2282" operator="lessThan">
      <formula>20</formula>
    </cfRule>
    <cfRule type="cellIs" dxfId="1" priority="1203" operator="greaterThan">
      <formula>120</formula>
    </cfRule>
    <cfRule type="containsText" dxfId="2" priority="124" operator="between" text="库存为">
      <formula>NOT(ISERROR(SEARCH("库存为",AU961)))</formula>
    </cfRule>
  </conditionalFormatting>
  <conditionalFormatting sqref="AU962">
    <cfRule type="cellIs" dxfId="0" priority="2281" operator="lessThan">
      <formula>20</formula>
    </cfRule>
    <cfRule type="cellIs" dxfId="1" priority="1202" operator="greaterThan">
      <formula>120</formula>
    </cfRule>
    <cfRule type="containsText" dxfId="2" priority="123" operator="between" text="库存为">
      <formula>NOT(ISERROR(SEARCH("库存为",AU962)))</formula>
    </cfRule>
  </conditionalFormatting>
  <conditionalFormatting sqref="AU963">
    <cfRule type="cellIs" dxfId="0" priority="2280" operator="lessThan">
      <formula>20</formula>
    </cfRule>
    <cfRule type="cellIs" dxfId="1" priority="1201" operator="greaterThan">
      <formula>120</formula>
    </cfRule>
    <cfRule type="containsText" dxfId="2" priority="122" operator="between" text="库存为">
      <formula>NOT(ISERROR(SEARCH("库存为",AU963)))</formula>
    </cfRule>
  </conditionalFormatting>
  <conditionalFormatting sqref="AU964">
    <cfRule type="cellIs" dxfId="0" priority="2279" operator="lessThan">
      <formula>20</formula>
    </cfRule>
    <cfRule type="cellIs" dxfId="1" priority="1200" operator="greaterThan">
      <formula>120</formula>
    </cfRule>
    <cfRule type="containsText" dxfId="2" priority="121" operator="between" text="库存为">
      <formula>NOT(ISERROR(SEARCH("库存为",AU964)))</formula>
    </cfRule>
  </conditionalFormatting>
  <conditionalFormatting sqref="AU965">
    <cfRule type="cellIs" dxfId="0" priority="2278" operator="lessThan">
      <formula>20</formula>
    </cfRule>
    <cfRule type="cellIs" dxfId="1" priority="1199" operator="greaterThan">
      <formula>120</formula>
    </cfRule>
    <cfRule type="containsText" dxfId="2" priority="120" operator="between" text="库存为">
      <formula>NOT(ISERROR(SEARCH("库存为",AU965)))</formula>
    </cfRule>
  </conditionalFormatting>
  <conditionalFormatting sqref="AU966">
    <cfRule type="cellIs" dxfId="0" priority="2277" operator="lessThan">
      <formula>20</formula>
    </cfRule>
    <cfRule type="cellIs" dxfId="1" priority="1198" operator="greaterThan">
      <formula>120</formula>
    </cfRule>
    <cfRule type="containsText" dxfId="2" priority="119" operator="between" text="库存为">
      <formula>NOT(ISERROR(SEARCH("库存为",AU966)))</formula>
    </cfRule>
  </conditionalFormatting>
  <conditionalFormatting sqref="AU967">
    <cfRule type="cellIs" dxfId="0" priority="2276" operator="lessThan">
      <formula>20</formula>
    </cfRule>
    <cfRule type="cellIs" dxfId="1" priority="1197" operator="greaterThan">
      <formula>120</formula>
    </cfRule>
    <cfRule type="containsText" dxfId="2" priority="118" operator="between" text="库存为">
      <formula>NOT(ISERROR(SEARCH("库存为",AU967)))</formula>
    </cfRule>
  </conditionalFormatting>
  <conditionalFormatting sqref="AU968">
    <cfRule type="cellIs" dxfId="0" priority="2275" operator="lessThan">
      <formula>20</formula>
    </cfRule>
    <cfRule type="cellIs" dxfId="1" priority="1196" operator="greaterThan">
      <formula>120</formula>
    </cfRule>
    <cfRule type="containsText" dxfId="2" priority="117" operator="between" text="库存为">
      <formula>NOT(ISERROR(SEARCH("库存为",AU968)))</formula>
    </cfRule>
  </conditionalFormatting>
  <conditionalFormatting sqref="AU969">
    <cfRule type="cellIs" dxfId="0" priority="2274" operator="lessThan">
      <formula>20</formula>
    </cfRule>
    <cfRule type="cellIs" dxfId="1" priority="1195" operator="greaterThan">
      <formula>120</formula>
    </cfRule>
    <cfRule type="containsText" dxfId="2" priority="116" operator="between" text="库存为">
      <formula>NOT(ISERROR(SEARCH("库存为",AU969)))</formula>
    </cfRule>
  </conditionalFormatting>
  <conditionalFormatting sqref="AU970">
    <cfRule type="cellIs" dxfId="0" priority="2273" operator="lessThan">
      <formula>20</formula>
    </cfRule>
    <cfRule type="cellIs" dxfId="1" priority="1194" operator="greaterThan">
      <formula>120</formula>
    </cfRule>
    <cfRule type="containsText" dxfId="2" priority="115" operator="between" text="库存为">
      <formula>NOT(ISERROR(SEARCH("库存为",AU970)))</formula>
    </cfRule>
  </conditionalFormatting>
  <conditionalFormatting sqref="AU971">
    <cfRule type="cellIs" dxfId="0" priority="2272" operator="lessThan">
      <formula>20</formula>
    </cfRule>
    <cfRule type="cellIs" dxfId="1" priority="1193" operator="greaterThan">
      <formula>120</formula>
    </cfRule>
    <cfRule type="containsText" dxfId="2" priority="114" operator="between" text="库存为">
      <formula>NOT(ISERROR(SEARCH("库存为",AU971)))</formula>
    </cfRule>
  </conditionalFormatting>
  <conditionalFormatting sqref="AU972">
    <cfRule type="cellIs" dxfId="0" priority="2271" operator="lessThan">
      <formula>20</formula>
    </cfRule>
    <cfRule type="cellIs" dxfId="1" priority="1192" operator="greaterThan">
      <formula>120</formula>
    </cfRule>
    <cfRule type="containsText" dxfId="2" priority="113" operator="between" text="库存为">
      <formula>NOT(ISERROR(SEARCH("库存为",AU972)))</formula>
    </cfRule>
  </conditionalFormatting>
  <conditionalFormatting sqref="AU973">
    <cfRule type="cellIs" dxfId="0" priority="2270" operator="lessThan">
      <formula>20</formula>
    </cfRule>
    <cfRule type="cellIs" dxfId="1" priority="1191" operator="greaterThan">
      <formula>120</formula>
    </cfRule>
    <cfRule type="containsText" dxfId="2" priority="112" operator="between" text="库存为">
      <formula>NOT(ISERROR(SEARCH("库存为",AU973)))</formula>
    </cfRule>
  </conditionalFormatting>
  <conditionalFormatting sqref="AU974">
    <cfRule type="cellIs" dxfId="0" priority="2269" operator="lessThan">
      <formula>20</formula>
    </cfRule>
    <cfRule type="cellIs" dxfId="1" priority="1190" operator="greaterThan">
      <formula>120</formula>
    </cfRule>
    <cfRule type="containsText" dxfId="2" priority="111" operator="between" text="库存为">
      <formula>NOT(ISERROR(SEARCH("库存为",AU974)))</formula>
    </cfRule>
  </conditionalFormatting>
  <conditionalFormatting sqref="AU975">
    <cfRule type="cellIs" dxfId="0" priority="2268" operator="lessThan">
      <formula>20</formula>
    </cfRule>
    <cfRule type="cellIs" dxfId="1" priority="1189" operator="greaterThan">
      <formula>120</formula>
    </cfRule>
    <cfRule type="containsText" dxfId="2" priority="110" operator="between" text="库存为">
      <formula>NOT(ISERROR(SEARCH("库存为",AU975)))</formula>
    </cfRule>
  </conditionalFormatting>
  <conditionalFormatting sqref="AU976">
    <cfRule type="cellIs" dxfId="0" priority="2267" operator="lessThan">
      <formula>20</formula>
    </cfRule>
    <cfRule type="cellIs" dxfId="1" priority="1188" operator="greaterThan">
      <formula>120</formula>
    </cfRule>
    <cfRule type="containsText" dxfId="2" priority="109" operator="between" text="库存为">
      <formula>NOT(ISERROR(SEARCH("库存为",AU976)))</formula>
    </cfRule>
  </conditionalFormatting>
  <conditionalFormatting sqref="AU977">
    <cfRule type="cellIs" dxfId="0" priority="2266" operator="lessThan">
      <formula>20</formula>
    </cfRule>
    <cfRule type="cellIs" dxfId="1" priority="1187" operator="greaterThan">
      <formula>120</formula>
    </cfRule>
    <cfRule type="containsText" dxfId="2" priority="108" operator="between" text="库存为">
      <formula>NOT(ISERROR(SEARCH("库存为",AU977)))</formula>
    </cfRule>
  </conditionalFormatting>
  <conditionalFormatting sqref="AU978">
    <cfRule type="cellIs" dxfId="0" priority="2265" operator="lessThan">
      <formula>20</formula>
    </cfRule>
    <cfRule type="cellIs" dxfId="1" priority="1186" operator="greaterThan">
      <formula>120</formula>
    </cfRule>
    <cfRule type="containsText" dxfId="2" priority="107" operator="between" text="库存为">
      <formula>NOT(ISERROR(SEARCH("库存为",AU978)))</formula>
    </cfRule>
  </conditionalFormatting>
  <conditionalFormatting sqref="AU979">
    <cfRule type="cellIs" dxfId="0" priority="2264" operator="lessThan">
      <formula>20</formula>
    </cfRule>
    <cfRule type="cellIs" dxfId="1" priority="1185" operator="greaterThan">
      <formula>120</formula>
    </cfRule>
    <cfRule type="containsText" dxfId="2" priority="106" operator="between" text="库存为">
      <formula>NOT(ISERROR(SEARCH("库存为",AU979)))</formula>
    </cfRule>
  </conditionalFormatting>
  <conditionalFormatting sqref="AU980">
    <cfRule type="cellIs" dxfId="0" priority="2263" operator="lessThan">
      <formula>20</formula>
    </cfRule>
    <cfRule type="cellIs" dxfId="1" priority="1184" operator="greaterThan">
      <formula>120</formula>
    </cfRule>
    <cfRule type="containsText" dxfId="2" priority="105" operator="between" text="库存为">
      <formula>NOT(ISERROR(SEARCH("库存为",AU980)))</formula>
    </cfRule>
  </conditionalFormatting>
  <conditionalFormatting sqref="AU981">
    <cfRule type="cellIs" dxfId="0" priority="2262" operator="lessThan">
      <formula>20</formula>
    </cfRule>
    <cfRule type="cellIs" dxfId="1" priority="1183" operator="greaterThan">
      <formula>120</formula>
    </cfRule>
    <cfRule type="containsText" dxfId="2" priority="104" operator="between" text="库存为">
      <formula>NOT(ISERROR(SEARCH("库存为",AU981)))</formula>
    </cfRule>
  </conditionalFormatting>
  <conditionalFormatting sqref="AU982">
    <cfRule type="cellIs" dxfId="0" priority="2261" operator="lessThan">
      <formula>20</formula>
    </cfRule>
    <cfRule type="cellIs" dxfId="1" priority="1182" operator="greaterThan">
      <formula>120</formula>
    </cfRule>
    <cfRule type="containsText" dxfId="2" priority="103" operator="between" text="库存为">
      <formula>NOT(ISERROR(SEARCH("库存为",AU982)))</formula>
    </cfRule>
  </conditionalFormatting>
  <conditionalFormatting sqref="AU983">
    <cfRule type="cellIs" dxfId="0" priority="2260" operator="lessThan">
      <formula>20</formula>
    </cfRule>
    <cfRule type="cellIs" dxfId="1" priority="1181" operator="greaterThan">
      <formula>120</formula>
    </cfRule>
    <cfRule type="containsText" dxfId="2" priority="102" operator="between" text="库存为">
      <formula>NOT(ISERROR(SEARCH("库存为",AU983)))</formula>
    </cfRule>
  </conditionalFormatting>
  <conditionalFormatting sqref="AU984">
    <cfRule type="cellIs" dxfId="0" priority="2259" operator="lessThan">
      <formula>20</formula>
    </cfRule>
    <cfRule type="cellIs" dxfId="1" priority="1180" operator="greaterThan">
      <formula>120</formula>
    </cfRule>
    <cfRule type="containsText" dxfId="2" priority="101" operator="between" text="库存为">
      <formula>NOT(ISERROR(SEARCH("库存为",AU984)))</formula>
    </cfRule>
  </conditionalFormatting>
  <conditionalFormatting sqref="AU985">
    <cfRule type="cellIs" dxfId="0" priority="2258" operator="lessThan">
      <formula>20</formula>
    </cfRule>
    <cfRule type="cellIs" dxfId="1" priority="1179" operator="greaterThan">
      <formula>120</formula>
    </cfRule>
    <cfRule type="containsText" dxfId="2" priority="100" operator="between" text="库存为">
      <formula>NOT(ISERROR(SEARCH("库存为",AU985)))</formula>
    </cfRule>
  </conditionalFormatting>
  <conditionalFormatting sqref="AU986">
    <cfRule type="cellIs" dxfId="0" priority="2257" operator="lessThan">
      <formula>20</formula>
    </cfRule>
    <cfRule type="cellIs" dxfId="1" priority="1178" operator="greaterThan">
      <formula>120</formula>
    </cfRule>
    <cfRule type="containsText" dxfId="2" priority="99" operator="between" text="库存为">
      <formula>NOT(ISERROR(SEARCH("库存为",AU986)))</formula>
    </cfRule>
  </conditionalFormatting>
  <conditionalFormatting sqref="AU987">
    <cfRule type="cellIs" dxfId="0" priority="2256" operator="lessThan">
      <formula>20</formula>
    </cfRule>
    <cfRule type="cellIs" dxfId="1" priority="1177" operator="greaterThan">
      <formula>120</formula>
    </cfRule>
    <cfRule type="containsText" dxfId="2" priority="98" operator="between" text="库存为">
      <formula>NOT(ISERROR(SEARCH("库存为",AU987)))</formula>
    </cfRule>
  </conditionalFormatting>
  <conditionalFormatting sqref="AU988">
    <cfRule type="cellIs" dxfId="0" priority="2255" operator="lessThan">
      <formula>20</formula>
    </cfRule>
    <cfRule type="cellIs" dxfId="1" priority="1176" operator="greaterThan">
      <formula>120</formula>
    </cfRule>
    <cfRule type="containsText" dxfId="2" priority="97" operator="between" text="库存为">
      <formula>NOT(ISERROR(SEARCH("库存为",AU988)))</formula>
    </cfRule>
  </conditionalFormatting>
  <conditionalFormatting sqref="AU989">
    <cfRule type="cellIs" dxfId="0" priority="2254" operator="lessThan">
      <formula>20</formula>
    </cfRule>
    <cfRule type="cellIs" dxfId="1" priority="1175" operator="greaterThan">
      <formula>120</formula>
    </cfRule>
    <cfRule type="containsText" dxfId="2" priority="96" operator="between" text="库存为">
      <formula>NOT(ISERROR(SEARCH("库存为",AU989)))</formula>
    </cfRule>
  </conditionalFormatting>
  <conditionalFormatting sqref="AU990">
    <cfRule type="cellIs" dxfId="0" priority="2253" operator="lessThan">
      <formula>20</formula>
    </cfRule>
    <cfRule type="cellIs" dxfId="1" priority="1174" operator="greaterThan">
      <formula>120</formula>
    </cfRule>
    <cfRule type="containsText" dxfId="2" priority="95" operator="between" text="库存为">
      <formula>NOT(ISERROR(SEARCH("库存为",AU990)))</formula>
    </cfRule>
  </conditionalFormatting>
  <conditionalFormatting sqref="AU991">
    <cfRule type="cellIs" dxfId="0" priority="2252" operator="lessThan">
      <formula>20</formula>
    </cfRule>
    <cfRule type="cellIs" dxfId="1" priority="1173" operator="greaterThan">
      <formula>120</formula>
    </cfRule>
    <cfRule type="containsText" dxfId="2" priority="94" operator="between" text="库存为">
      <formula>NOT(ISERROR(SEARCH("库存为",AU991)))</formula>
    </cfRule>
  </conditionalFormatting>
  <conditionalFormatting sqref="AU992">
    <cfRule type="cellIs" dxfId="0" priority="2251" operator="lessThan">
      <formula>20</formula>
    </cfRule>
    <cfRule type="cellIs" dxfId="1" priority="1172" operator="greaterThan">
      <formula>120</formula>
    </cfRule>
    <cfRule type="containsText" dxfId="2" priority="93" operator="between" text="库存为">
      <formula>NOT(ISERROR(SEARCH("库存为",AU992)))</formula>
    </cfRule>
  </conditionalFormatting>
  <conditionalFormatting sqref="AU993">
    <cfRule type="cellIs" dxfId="0" priority="2250" operator="lessThan">
      <formula>20</formula>
    </cfRule>
    <cfRule type="cellIs" dxfId="1" priority="1171" operator="greaterThan">
      <formula>120</formula>
    </cfRule>
    <cfRule type="containsText" dxfId="2" priority="92" operator="between" text="库存为">
      <formula>NOT(ISERROR(SEARCH("库存为",AU993)))</formula>
    </cfRule>
  </conditionalFormatting>
  <conditionalFormatting sqref="AU994">
    <cfRule type="cellIs" dxfId="0" priority="2249" operator="lessThan">
      <formula>20</formula>
    </cfRule>
    <cfRule type="cellIs" dxfId="1" priority="1170" operator="greaterThan">
      <formula>120</formula>
    </cfRule>
    <cfRule type="containsText" dxfId="2" priority="91" operator="between" text="库存为">
      <formula>NOT(ISERROR(SEARCH("库存为",AU994)))</formula>
    </cfRule>
  </conditionalFormatting>
  <conditionalFormatting sqref="AU995">
    <cfRule type="cellIs" dxfId="0" priority="2248" operator="lessThan">
      <formula>20</formula>
    </cfRule>
    <cfRule type="cellIs" dxfId="1" priority="1169" operator="greaterThan">
      <formula>120</formula>
    </cfRule>
    <cfRule type="containsText" dxfId="2" priority="90" operator="between" text="库存为">
      <formula>NOT(ISERROR(SEARCH("库存为",AU995)))</formula>
    </cfRule>
  </conditionalFormatting>
  <conditionalFormatting sqref="AU996">
    <cfRule type="cellIs" dxfId="0" priority="2247" operator="lessThan">
      <formula>20</formula>
    </cfRule>
    <cfRule type="cellIs" dxfId="1" priority="1168" operator="greaterThan">
      <formula>120</formula>
    </cfRule>
    <cfRule type="containsText" dxfId="2" priority="89" operator="between" text="库存为">
      <formula>NOT(ISERROR(SEARCH("库存为",AU996)))</formula>
    </cfRule>
  </conditionalFormatting>
  <conditionalFormatting sqref="AU997">
    <cfRule type="cellIs" dxfId="0" priority="2246" operator="lessThan">
      <formula>20</formula>
    </cfRule>
    <cfRule type="cellIs" dxfId="1" priority="1167" operator="greaterThan">
      <formula>120</formula>
    </cfRule>
    <cfRule type="containsText" dxfId="2" priority="88" operator="between" text="库存为">
      <formula>NOT(ISERROR(SEARCH("库存为",AU997)))</formula>
    </cfRule>
  </conditionalFormatting>
  <conditionalFormatting sqref="AU998">
    <cfRule type="cellIs" dxfId="0" priority="2245" operator="lessThan">
      <formula>20</formula>
    </cfRule>
    <cfRule type="cellIs" dxfId="1" priority="1166" operator="greaterThan">
      <formula>120</formula>
    </cfRule>
    <cfRule type="containsText" dxfId="2" priority="87" operator="between" text="库存为">
      <formula>NOT(ISERROR(SEARCH("库存为",AU998)))</formula>
    </cfRule>
  </conditionalFormatting>
  <conditionalFormatting sqref="AU999">
    <cfRule type="cellIs" dxfId="0" priority="2244" operator="lessThan">
      <formula>20</formula>
    </cfRule>
    <cfRule type="cellIs" dxfId="1" priority="1165" operator="greaterThan">
      <formula>120</formula>
    </cfRule>
    <cfRule type="containsText" dxfId="2" priority="86" operator="between" text="库存为">
      <formula>NOT(ISERROR(SEARCH("库存为",AU999)))</formula>
    </cfRule>
  </conditionalFormatting>
  <conditionalFormatting sqref="AU1000">
    <cfRule type="cellIs" dxfId="0" priority="2243" operator="lessThan">
      <formula>20</formula>
    </cfRule>
    <cfRule type="cellIs" dxfId="1" priority="1164" operator="greaterThan">
      <formula>120</formula>
    </cfRule>
    <cfRule type="containsText" dxfId="2" priority="85" operator="between" text="库存为">
      <formula>NOT(ISERROR(SEARCH("库存为",AU1000)))</formula>
    </cfRule>
  </conditionalFormatting>
  <conditionalFormatting sqref="AU1001">
    <cfRule type="cellIs" dxfId="0" priority="2242" operator="lessThan">
      <formula>20</formula>
    </cfRule>
    <cfRule type="cellIs" dxfId="1" priority="1163" operator="greaterThan">
      <formula>120</formula>
    </cfRule>
    <cfRule type="containsText" dxfId="2" priority="84" operator="between" text="库存为">
      <formula>NOT(ISERROR(SEARCH("库存为",AU1001)))</formula>
    </cfRule>
  </conditionalFormatting>
  <conditionalFormatting sqref="AU1002">
    <cfRule type="cellIs" dxfId="0" priority="2241" operator="lessThan">
      <formula>20</formula>
    </cfRule>
    <cfRule type="cellIs" dxfId="1" priority="1162" operator="greaterThan">
      <formula>120</formula>
    </cfRule>
    <cfRule type="containsText" dxfId="2" priority="83" operator="between" text="库存为">
      <formula>NOT(ISERROR(SEARCH("库存为",AU1002)))</formula>
    </cfRule>
  </conditionalFormatting>
  <conditionalFormatting sqref="AU1003">
    <cfRule type="cellIs" dxfId="0" priority="2240" operator="lessThan">
      <formula>20</formula>
    </cfRule>
    <cfRule type="cellIs" dxfId="1" priority="1161" operator="greaterThan">
      <formula>120</formula>
    </cfRule>
    <cfRule type="containsText" dxfId="2" priority="82" operator="between" text="库存为">
      <formula>NOT(ISERROR(SEARCH("库存为",AU1003)))</formula>
    </cfRule>
  </conditionalFormatting>
  <conditionalFormatting sqref="AU1004">
    <cfRule type="cellIs" dxfId="0" priority="2239" operator="lessThan">
      <formula>20</formula>
    </cfRule>
    <cfRule type="cellIs" dxfId="1" priority="1160" operator="greaterThan">
      <formula>120</formula>
    </cfRule>
    <cfRule type="containsText" dxfId="2" priority="81" operator="between" text="库存为">
      <formula>NOT(ISERROR(SEARCH("库存为",AU1004)))</formula>
    </cfRule>
  </conditionalFormatting>
  <conditionalFormatting sqref="AU1005">
    <cfRule type="cellIs" dxfId="0" priority="2238" operator="lessThan">
      <formula>20</formula>
    </cfRule>
    <cfRule type="cellIs" dxfId="1" priority="1159" operator="greaterThan">
      <formula>120</formula>
    </cfRule>
    <cfRule type="containsText" dxfId="2" priority="80" operator="between" text="库存为">
      <formula>NOT(ISERROR(SEARCH("库存为",AU1005)))</formula>
    </cfRule>
  </conditionalFormatting>
  <conditionalFormatting sqref="AU1006">
    <cfRule type="cellIs" dxfId="0" priority="2237" operator="lessThan">
      <formula>20</formula>
    </cfRule>
    <cfRule type="cellIs" dxfId="1" priority="1158" operator="greaterThan">
      <formula>120</formula>
    </cfRule>
    <cfRule type="containsText" dxfId="2" priority="79" operator="between" text="库存为">
      <formula>NOT(ISERROR(SEARCH("库存为",AU1006)))</formula>
    </cfRule>
  </conditionalFormatting>
  <conditionalFormatting sqref="AU1007">
    <cfRule type="cellIs" dxfId="0" priority="2236" operator="lessThan">
      <formula>20</formula>
    </cfRule>
    <cfRule type="cellIs" dxfId="1" priority="1157" operator="greaterThan">
      <formula>120</formula>
    </cfRule>
    <cfRule type="containsText" dxfId="2" priority="78" operator="between" text="库存为">
      <formula>NOT(ISERROR(SEARCH("库存为",AU1007)))</formula>
    </cfRule>
  </conditionalFormatting>
  <conditionalFormatting sqref="AU1008">
    <cfRule type="cellIs" dxfId="0" priority="2235" operator="lessThan">
      <formula>20</formula>
    </cfRule>
    <cfRule type="cellIs" dxfId="1" priority="1156" operator="greaterThan">
      <formula>120</formula>
    </cfRule>
    <cfRule type="containsText" dxfId="2" priority="77" operator="between" text="库存为">
      <formula>NOT(ISERROR(SEARCH("库存为",AU1008)))</formula>
    </cfRule>
  </conditionalFormatting>
  <conditionalFormatting sqref="AU1009">
    <cfRule type="cellIs" dxfId="0" priority="2234" operator="lessThan">
      <formula>20</formula>
    </cfRule>
    <cfRule type="cellIs" dxfId="1" priority="1155" operator="greaterThan">
      <formula>120</formula>
    </cfRule>
    <cfRule type="containsText" dxfId="2" priority="76" operator="between" text="库存为">
      <formula>NOT(ISERROR(SEARCH("库存为",AU1009)))</formula>
    </cfRule>
  </conditionalFormatting>
  <conditionalFormatting sqref="AU1010">
    <cfRule type="cellIs" dxfId="0" priority="2233" operator="lessThan">
      <formula>20</formula>
    </cfRule>
    <cfRule type="cellIs" dxfId="1" priority="1154" operator="greaterThan">
      <formula>120</formula>
    </cfRule>
    <cfRule type="containsText" dxfId="2" priority="75" operator="between" text="库存为">
      <formula>NOT(ISERROR(SEARCH("库存为",AU1010)))</formula>
    </cfRule>
  </conditionalFormatting>
  <conditionalFormatting sqref="AU1011">
    <cfRule type="cellIs" dxfId="0" priority="2232" operator="lessThan">
      <formula>20</formula>
    </cfRule>
    <cfRule type="cellIs" dxfId="1" priority="1153" operator="greaterThan">
      <formula>120</formula>
    </cfRule>
    <cfRule type="containsText" dxfId="2" priority="74" operator="between" text="库存为">
      <formula>NOT(ISERROR(SEARCH("库存为",AU1011)))</formula>
    </cfRule>
  </conditionalFormatting>
  <conditionalFormatting sqref="AU1012">
    <cfRule type="cellIs" dxfId="0" priority="2231" operator="lessThan">
      <formula>20</formula>
    </cfRule>
    <cfRule type="cellIs" dxfId="1" priority="1152" operator="greaterThan">
      <formula>120</formula>
    </cfRule>
    <cfRule type="containsText" dxfId="2" priority="73" operator="between" text="库存为">
      <formula>NOT(ISERROR(SEARCH("库存为",AU1012)))</formula>
    </cfRule>
  </conditionalFormatting>
  <conditionalFormatting sqref="AU1013">
    <cfRule type="cellIs" dxfId="0" priority="2230" operator="lessThan">
      <formula>20</formula>
    </cfRule>
    <cfRule type="cellIs" dxfId="1" priority="1151" operator="greaterThan">
      <formula>120</formula>
    </cfRule>
    <cfRule type="containsText" dxfId="2" priority="72" operator="between" text="库存为">
      <formula>NOT(ISERROR(SEARCH("库存为",AU1013)))</formula>
    </cfRule>
  </conditionalFormatting>
  <conditionalFormatting sqref="AU1014">
    <cfRule type="cellIs" dxfId="0" priority="2229" operator="lessThan">
      <formula>20</formula>
    </cfRule>
    <cfRule type="cellIs" dxfId="1" priority="1150" operator="greaterThan">
      <formula>120</formula>
    </cfRule>
    <cfRule type="containsText" dxfId="2" priority="71" operator="between" text="库存为">
      <formula>NOT(ISERROR(SEARCH("库存为",AU1014)))</formula>
    </cfRule>
  </conditionalFormatting>
  <conditionalFormatting sqref="AU1015">
    <cfRule type="cellIs" dxfId="0" priority="2228" operator="lessThan">
      <formula>20</formula>
    </cfRule>
    <cfRule type="cellIs" dxfId="1" priority="1149" operator="greaterThan">
      <formula>120</formula>
    </cfRule>
    <cfRule type="containsText" dxfId="2" priority="70" operator="between" text="库存为">
      <formula>NOT(ISERROR(SEARCH("库存为",AU1015)))</formula>
    </cfRule>
  </conditionalFormatting>
  <conditionalFormatting sqref="AU1016">
    <cfRule type="cellIs" dxfId="0" priority="2227" operator="lessThan">
      <formula>20</formula>
    </cfRule>
    <cfRule type="cellIs" dxfId="1" priority="1148" operator="greaterThan">
      <formula>120</formula>
    </cfRule>
    <cfRule type="containsText" dxfId="2" priority="69" operator="between" text="库存为">
      <formula>NOT(ISERROR(SEARCH("库存为",AU1016)))</formula>
    </cfRule>
  </conditionalFormatting>
  <conditionalFormatting sqref="AU1017">
    <cfRule type="cellIs" dxfId="0" priority="2226" operator="lessThan">
      <formula>20</formula>
    </cfRule>
    <cfRule type="cellIs" dxfId="1" priority="1147" operator="greaterThan">
      <formula>120</formula>
    </cfRule>
    <cfRule type="containsText" dxfId="2" priority="68" operator="between" text="库存为">
      <formula>NOT(ISERROR(SEARCH("库存为",AU1017)))</formula>
    </cfRule>
  </conditionalFormatting>
  <conditionalFormatting sqref="AU1018">
    <cfRule type="cellIs" dxfId="0" priority="2225" operator="lessThan">
      <formula>20</formula>
    </cfRule>
    <cfRule type="cellIs" dxfId="1" priority="1146" operator="greaterThan">
      <formula>120</formula>
    </cfRule>
    <cfRule type="containsText" dxfId="2" priority="67" operator="between" text="库存为">
      <formula>NOT(ISERROR(SEARCH("库存为",AU1018)))</formula>
    </cfRule>
  </conditionalFormatting>
  <conditionalFormatting sqref="AU1019">
    <cfRule type="cellIs" dxfId="0" priority="2224" operator="lessThan">
      <formula>20</formula>
    </cfRule>
    <cfRule type="cellIs" dxfId="1" priority="1145" operator="greaterThan">
      <formula>120</formula>
    </cfRule>
    <cfRule type="containsText" dxfId="2" priority="66" operator="between" text="库存为">
      <formula>NOT(ISERROR(SEARCH("库存为",AU1019)))</formula>
    </cfRule>
  </conditionalFormatting>
  <conditionalFormatting sqref="AU1020">
    <cfRule type="cellIs" dxfId="0" priority="2223" operator="lessThan">
      <formula>20</formula>
    </cfRule>
    <cfRule type="cellIs" dxfId="1" priority="1144" operator="greaterThan">
      <formula>120</formula>
    </cfRule>
    <cfRule type="containsText" dxfId="2" priority="65" operator="between" text="库存为">
      <formula>NOT(ISERROR(SEARCH("库存为",AU1020)))</formula>
    </cfRule>
  </conditionalFormatting>
  <conditionalFormatting sqref="AU1021">
    <cfRule type="cellIs" dxfId="0" priority="2222" operator="lessThan">
      <formula>20</formula>
    </cfRule>
    <cfRule type="cellIs" dxfId="1" priority="1143" operator="greaterThan">
      <formula>120</formula>
    </cfRule>
    <cfRule type="containsText" dxfId="2" priority="64" operator="between" text="库存为">
      <formula>NOT(ISERROR(SEARCH("库存为",AU1021)))</formula>
    </cfRule>
  </conditionalFormatting>
  <conditionalFormatting sqref="AU1022">
    <cfRule type="cellIs" dxfId="0" priority="2221" operator="lessThan">
      <formula>20</formula>
    </cfRule>
    <cfRule type="cellIs" dxfId="1" priority="1142" operator="greaterThan">
      <formula>120</formula>
    </cfRule>
    <cfRule type="containsText" dxfId="2" priority="63" operator="between" text="库存为">
      <formula>NOT(ISERROR(SEARCH("库存为",AU1022)))</formula>
    </cfRule>
  </conditionalFormatting>
  <conditionalFormatting sqref="AU1023">
    <cfRule type="cellIs" dxfId="0" priority="2220" operator="lessThan">
      <formula>20</formula>
    </cfRule>
    <cfRule type="cellIs" dxfId="1" priority="1141" operator="greaterThan">
      <formula>120</formula>
    </cfRule>
    <cfRule type="containsText" dxfId="2" priority="62" operator="between" text="库存为">
      <formula>NOT(ISERROR(SEARCH("库存为",AU1023)))</formula>
    </cfRule>
  </conditionalFormatting>
  <conditionalFormatting sqref="AU1024">
    <cfRule type="cellIs" dxfId="0" priority="2219" operator="lessThan">
      <formula>20</formula>
    </cfRule>
    <cfRule type="cellIs" dxfId="1" priority="1140" operator="greaterThan">
      <formula>120</formula>
    </cfRule>
    <cfRule type="containsText" dxfId="2" priority="61" operator="between" text="库存为">
      <formula>NOT(ISERROR(SEARCH("库存为",AU1024)))</formula>
    </cfRule>
  </conditionalFormatting>
  <conditionalFormatting sqref="AU1025">
    <cfRule type="cellIs" dxfId="0" priority="2218" operator="lessThan">
      <formula>20</formula>
    </cfRule>
    <cfRule type="cellIs" dxfId="1" priority="1139" operator="greaterThan">
      <formula>120</formula>
    </cfRule>
    <cfRule type="containsText" dxfId="2" priority="60" operator="between" text="库存为">
      <formula>NOT(ISERROR(SEARCH("库存为",AU1025)))</formula>
    </cfRule>
  </conditionalFormatting>
  <conditionalFormatting sqref="AU1026">
    <cfRule type="cellIs" dxfId="0" priority="2217" operator="lessThan">
      <formula>20</formula>
    </cfRule>
    <cfRule type="cellIs" dxfId="1" priority="1138" operator="greaterThan">
      <formula>120</formula>
    </cfRule>
    <cfRule type="containsText" dxfId="2" priority="59" operator="between" text="库存为">
      <formula>NOT(ISERROR(SEARCH("库存为",AU1026)))</formula>
    </cfRule>
  </conditionalFormatting>
  <conditionalFormatting sqref="AU1027">
    <cfRule type="cellIs" dxfId="0" priority="2216" operator="lessThan">
      <formula>20</formula>
    </cfRule>
    <cfRule type="cellIs" dxfId="1" priority="1137" operator="greaterThan">
      <formula>120</formula>
    </cfRule>
    <cfRule type="containsText" dxfId="2" priority="58" operator="between" text="库存为">
      <formula>NOT(ISERROR(SEARCH("库存为",AU1027)))</formula>
    </cfRule>
  </conditionalFormatting>
  <conditionalFormatting sqref="AU1028">
    <cfRule type="cellIs" dxfId="0" priority="2215" operator="lessThan">
      <formula>20</formula>
    </cfRule>
    <cfRule type="cellIs" dxfId="1" priority="1136" operator="greaterThan">
      <formula>120</formula>
    </cfRule>
    <cfRule type="containsText" dxfId="2" priority="57" operator="between" text="库存为">
      <formula>NOT(ISERROR(SEARCH("库存为",AU1028)))</formula>
    </cfRule>
  </conditionalFormatting>
  <conditionalFormatting sqref="AU1029">
    <cfRule type="cellIs" dxfId="0" priority="2214" operator="lessThan">
      <formula>20</formula>
    </cfRule>
    <cfRule type="cellIs" dxfId="1" priority="1135" operator="greaterThan">
      <formula>120</formula>
    </cfRule>
    <cfRule type="containsText" dxfId="2" priority="56" operator="between" text="库存为">
      <formula>NOT(ISERROR(SEARCH("库存为",AU1029)))</formula>
    </cfRule>
  </conditionalFormatting>
  <conditionalFormatting sqref="AU1030">
    <cfRule type="cellIs" dxfId="0" priority="2213" operator="lessThan">
      <formula>20</formula>
    </cfRule>
    <cfRule type="cellIs" dxfId="1" priority="1134" operator="greaterThan">
      <formula>120</formula>
    </cfRule>
    <cfRule type="containsText" dxfId="2" priority="55" operator="between" text="库存为">
      <formula>NOT(ISERROR(SEARCH("库存为",AU1030)))</formula>
    </cfRule>
  </conditionalFormatting>
  <conditionalFormatting sqref="AU1031">
    <cfRule type="cellIs" dxfId="0" priority="2212" operator="lessThan">
      <formula>20</formula>
    </cfRule>
    <cfRule type="cellIs" dxfId="1" priority="1133" operator="greaterThan">
      <formula>120</formula>
    </cfRule>
    <cfRule type="containsText" dxfId="2" priority="54" operator="between" text="库存为">
      <formula>NOT(ISERROR(SEARCH("库存为",AU1031)))</formula>
    </cfRule>
  </conditionalFormatting>
  <conditionalFormatting sqref="AU1032">
    <cfRule type="cellIs" dxfId="0" priority="2211" operator="lessThan">
      <formula>20</formula>
    </cfRule>
    <cfRule type="cellIs" dxfId="1" priority="1132" operator="greaterThan">
      <formula>120</formula>
    </cfRule>
    <cfRule type="containsText" dxfId="2" priority="53" operator="between" text="库存为">
      <formula>NOT(ISERROR(SEARCH("库存为",AU1032)))</formula>
    </cfRule>
  </conditionalFormatting>
  <conditionalFormatting sqref="AU1033">
    <cfRule type="cellIs" dxfId="0" priority="2210" operator="lessThan">
      <formula>20</formula>
    </cfRule>
    <cfRule type="cellIs" dxfId="1" priority="1131" operator="greaterThan">
      <formula>120</formula>
    </cfRule>
    <cfRule type="containsText" dxfId="2" priority="52" operator="between" text="库存为">
      <formula>NOT(ISERROR(SEARCH("库存为",AU1033)))</formula>
    </cfRule>
  </conditionalFormatting>
  <conditionalFormatting sqref="AU1034">
    <cfRule type="cellIs" dxfId="0" priority="2209" operator="lessThan">
      <formula>20</formula>
    </cfRule>
    <cfRule type="cellIs" dxfId="1" priority="1130" operator="greaterThan">
      <formula>120</formula>
    </cfRule>
    <cfRule type="containsText" dxfId="2" priority="51" operator="between" text="库存为">
      <formula>NOT(ISERROR(SEARCH("库存为",AU1034)))</formula>
    </cfRule>
  </conditionalFormatting>
  <conditionalFormatting sqref="AU1035">
    <cfRule type="cellIs" dxfId="0" priority="2208" operator="lessThan">
      <formula>20</formula>
    </cfRule>
    <cfRule type="cellIs" dxfId="1" priority="1129" operator="greaterThan">
      <formula>120</formula>
    </cfRule>
    <cfRule type="containsText" dxfId="2" priority="50" operator="between" text="库存为">
      <formula>NOT(ISERROR(SEARCH("库存为",AU1035)))</formula>
    </cfRule>
  </conditionalFormatting>
  <conditionalFormatting sqref="AU1036">
    <cfRule type="cellIs" dxfId="0" priority="2207" operator="lessThan">
      <formula>20</formula>
    </cfRule>
    <cfRule type="cellIs" dxfId="1" priority="1128" operator="greaterThan">
      <formula>120</formula>
    </cfRule>
    <cfRule type="containsText" dxfId="2" priority="49" operator="between" text="库存为">
      <formula>NOT(ISERROR(SEARCH("库存为",AU1036)))</formula>
    </cfRule>
  </conditionalFormatting>
  <conditionalFormatting sqref="AU1037">
    <cfRule type="cellIs" dxfId="0" priority="2206" operator="lessThan">
      <formula>20</formula>
    </cfRule>
    <cfRule type="cellIs" dxfId="1" priority="1127" operator="greaterThan">
      <formula>120</formula>
    </cfRule>
    <cfRule type="containsText" dxfId="2" priority="48" operator="between" text="库存为">
      <formula>NOT(ISERROR(SEARCH("库存为",AU1037)))</formula>
    </cfRule>
  </conditionalFormatting>
  <conditionalFormatting sqref="AU1038">
    <cfRule type="cellIs" dxfId="0" priority="2205" operator="lessThan">
      <formula>20</formula>
    </cfRule>
    <cfRule type="cellIs" dxfId="1" priority="1126" operator="greaterThan">
      <formula>120</formula>
    </cfRule>
    <cfRule type="containsText" dxfId="2" priority="47" operator="between" text="库存为">
      <formula>NOT(ISERROR(SEARCH("库存为",AU1038)))</formula>
    </cfRule>
  </conditionalFormatting>
  <conditionalFormatting sqref="AU1039">
    <cfRule type="cellIs" dxfId="0" priority="2204" operator="lessThan">
      <formula>20</formula>
    </cfRule>
    <cfRule type="cellIs" dxfId="1" priority="1125" operator="greaterThan">
      <formula>120</formula>
    </cfRule>
    <cfRule type="containsText" dxfId="2" priority="46" operator="between" text="库存为">
      <formula>NOT(ISERROR(SEARCH("库存为",AU1039)))</formula>
    </cfRule>
  </conditionalFormatting>
  <conditionalFormatting sqref="AU1040">
    <cfRule type="cellIs" dxfId="0" priority="2203" operator="lessThan">
      <formula>20</formula>
    </cfRule>
    <cfRule type="cellIs" dxfId="1" priority="1124" operator="greaterThan">
      <formula>120</formula>
    </cfRule>
    <cfRule type="containsText" dxfId="2" priority="45" operator="between" text="库存为">
      <formula>NOT(ISERROR(SEARCH("库存为",AU1040)))</formula>
    </cfRule>
  </conditionalFormatting>
  <conditionalFormatting sqref="AU1041">
    <cfRule type="cellIs" dxfId="0" priority="2202" operator="lessThan">
      <formula>20</formula>
    </cfRule>
    <cfRule type="cellIs" dxfId="1" priority="1123" operator="greaterThan">
      <formula>120</formula>
    </cfRule>
    <cfRule type="containsText" dxfId="2" priority="44" operator="between" text="库存为">
      <formula>NOT(ISERROR(SEARCH("库存为",AU1041)))</formula>
    </cfRule>
  </conditionalFormatting>
  <conditionalFormatting sqref="AU1042">
    <cfRule type="cellIs" dxfId="0" priority="2201" operator="lessThan">
      <formula>20</formula>
    </cfRule>
    <cfRule type="cellIs" dxfId="1" priority="1122" operator="greaterThan">
      <formula>120</formula>
    </cfRule>
    <cfRule type="containsText" dxfId="2" priority="43" operator="between" text="库存为">
      <formula>NOT(ISERROR(SEARCH("库存为",AU1042)))</formula>
    </cfRule>
  </conditionalFormatting>
  <conditionalFormatting sqref="AU1043">
    <cfRule type="cellIs" dxfId="0" priority="2200" operator="lessThan">
      <formula>20</formula>
    </cfRule>
    <cfRule type="cellIs" dxfId="1" priority="1121" operator="greaterThan">
      <formula>120</formula>
    </cfRule>
    <cfRule type="containsText" dxfId="2" priority="42" operator="between" text="库存为">
      <formula>NOT(ISERROR(SEARCH("库存为",AU1043)))</formula>
    </cfRule>
  </conditionalFormatting>
  <conditionalFormatting sqref="AU1044">
    <cfRule type="cellIs" dxfId="0" priority="2199" operator="lessThan">
      <formula>20</formula>
    </cfRule>
    <cfRule type="cellIs" dxfId="1" priority="1120" operator="greaterThan">
      <formula>120</formula>
    </cfRule>
    <cfRule type="containsText" dxfId="2" priority="41" operator="between" text="库存为">
      <formula>NOT(ISERROR(SEARCH("库存为",AU1044)))</formula>
    </cfRule>
  </conditionalFormatting>
  <conditionalFormatting sqref="AU1045">
    <cfRule type="cellIs" dxfId="0" priority="2198" operator="lessThan">
      <formula>20</formula>
    </cfRule>
    <cfRule type="cellIs" dxfId="1" priority="1119" operator="greaterThan">
      <formula>120</formula>
    </cfRule>
    <cfRule type="containsText" dxfId="2" priority="40" operator="between" text="库存为">
      <formula>NOT(ISERROR(SEARCH("库存为",AU1045)))</formula>
    </cfRule>
  </conditionalFormatting>
  <conditionalFormatting sqref="AU1046">
    <cfRule type="cellIs" dxfId="0" priority="2197" operator="lessThan">
      <formula>20</formula>
    </cfRule>
    <cfRule type="cellIs" dxfId="1" priority="1118" operator="greaterThan">
      <formula>120</formula>
    </cfRule>
    <cfRule type="containsText" dxfId="2" priority="39" operator="between" text="库存为">
      <formula>NOT(ISERROR(SEARCH("库存为",AU1046)))</formula>
    </cfRule>
  </conditionalFormatting>
  <conditionalFormatting sqref="AU1047">
    <cfRule type="cellIs" dxfId="0" priority="2196" operator="lessThan">
      <formula>20</formula>
    </cfRule>
    <cfRule type="cellIs" dxfId="1" priority="1117" operator="greaterThan">
      <formula>120</formula>
    </cfRule>
    <cfRule type="containsText" dxfId="2" priority="38" operator="between" text="库存为">
      <formula>NOT(ISERROR(SEARCH("库存为",AU1047)))</formula>
    </cfRule>
  </conditionalFormatting>
  <conditionalFormatting sqref="AU1048">
    <cfRule type="cellIs" dxfId="0" priority="2195" operator="lessThan">
      <formula>20</formula>
    </cfRule>
    <cfRule type="cellIs" dxfId="1" priority="1116" operator="greaterThan">
      <formula>120</formula>
    </cfRule>
    <cfRule type="containsText" dxfId="2" priority="37" operator="between" text="库存为">
      <formula>NOT(ISERROR(SEARCH("库存为",AU1048)))</formula>
    </cfRule>
  </conditionalFormatting>
  <conditionalFormatting sqref="AU1049">
    <cfRule type="cellIs" dxfId="0" priority="2194" operator="lessThan">
      <formula>20</formula>
    </cfRule>
    <cfRule type="cellIs" dxfId="1" priority="1115" operator="greaterThan">
      <formula>120</formula>
    </cfRule>
    <cfRule type="containsText" dxfId="2" priority="36" operator="between" text="库存为">
      <formula>NOT(ISERROR(SEARCH("库存为",AU1049)))</formula>
    </cfRule>
  </conditionalFormatting>
  <conditionalFormatting sqref="AU1050">
    <cfRule type="cellIs" dxfId="0" priority="2193" operator="lessThan">
      <formula>20</formula>
    </cfRule>
    <cfRule type="cellIs" dxfId="1" priority="1114" operator="greaterThan">
      <formula>120</formula>
    </cfRule>
    <cfRule type="containsText" dxfId="2" priority="35" operator="between" text="库存为">
      <formula>NOT(ISERROR(SEARCH("库存为",AU1050)))</formula>
    </cfRule>
  </conditionalFormatting>
  <conditionalFormatting sqref="AU1051">
    <cfRule type="cellIs" dxfId="0" priority="2192" operator="lessThan">
      <formula>20</formula>
    </cfRule>
    <cfRule type="cellIs" dxfId="1" priority="1113" operator="greaterThan">
      <formula>120</formula>
    </cfRule>
    <cfRule type="containsText" dxfId="2" priority="34" operator="between" text="库存为">
      <formula>NOT(ISERROR(SEARCH("库存为",AU1051)))</formula>
    </cfRule>
  </conditionalFormatting>
  <conditionalFormatting sqref="AU1052">
    <cfRule type="cellIs" dxfId="0" priority="2191" operator="lessThan">
      <formula>20</formula>
    </cfRule>
    <cfRule type="cellIs" dxfId="1" priority="1112" operator="greaterThan">
      <formula>120</formula>
    </cfRule>
    <cfRule type="containsText" dxfId="2" priority="33" operator="between" text="库存为">
      <formula>NOT(ISERROR(SEARCH("库存为",AU1052)))</formula>
    </cfRule>
  </conditionalFormatting>
  <conditionalFormatting sqref="AU1053">
    <cfRule type="cellIs" dxfId="0" priority="2190" operator="lessThan">
      <formula>20</formula>
    </cfRule>
    <cfRule type="cellIs" dxfId="1" priority="1111" operator="greaterThan">
      <formula>120</formula>
    </cfRule>
    <cfRule type="containsText" dxfId="2" priority="32" operator="between" text="库存为">
      <formula>NOT(ISERROR(SEARCH("库存为",AU1053)))</formula>
    </cfRule>
  </conditionalFormatting>
  <conditionalFormatting sqref="AU1054">
    <cfRule type="cellIs" dxfId="0" priority="2189" operator="lessThan">
      <formula>20</formula>
    </cfRule>
    <cfRule type="cellIs" dxfId="1" priority="1110" operator="greaterThan">
      <formula>120</formula>
    </cfRule>
    <cfRule type="containsText" dxfId="2" priority="31" operator="between" text="库存为">
      <formula>NOT(ISERROR(SEARCH("库存为",AU1054)))</formula>
    </cfRule>
  </conditionalFormatting>
  <conditionalFormatting sqref="AU1055">
    <cfRule type="cellIs" dxfId="0" priority="2188" operator="lessThan">
      <formula>20</formula>
    </cfRule>
    <cfRule type="cellIs" dxfId="1" priority="1109" operator="greaterThan">
      <formula>120</formula>
    </cfRule>
    <cfRule type="containsText" dxfId="2" priority="30" operator="between" text="库存为">
      <formula>NOT(ISERROR(SEARCH("库存为",AU1055)))</formula>
    </cfRule>
  </conditionalFormatting>
  <conditionalFormatting sqref="AU1056">
    <cfRule type="cellIs" dxfId="0" priority="2187" operator="lessThan">
      <formula>20</formula>
    </cfRule>
    <cfRule type="cellIs" dxfId="1" priority="1108" operator="greaterThan">
      <formula>120</formula>
    </cfRule>
    <cfRule type="containsText" dxfId="2" priority="29" operator="between" text="库存为">
      <formula>NOT(ISERROR(SEARCH("库存为",AU1056)))</formula>
    </cfRule>
  </conditionalFormatting>
  <conditionalFormatting sqref="AU1057">
    <cfRule type="cellIs" dxfId="0" priority="2186" operator="lessThan">
      <formula>20</formula>
    </cfRule>
    <cfRule type="cellIs" dxfId="1" priority="1107" operator="greaterThan">
      <formula>120</formula>
    </cfRule>
    <cfRule type="containsText" dxfId="2" priority="28" operator="between" text="库存为">
      <formula>NOT(ISERROR(SEARCH("库存为",AU1057)))</formula>
    </cfRule>
  </conditionalFormatting>
  <conditionalFormatting sqref="AU1058">
    <cfRule type="cellIs" dxfId="0" priority="2185" operator="lessThan">
      <formula>20</formula>
    </cfRule>
    <cfRule type="cellIs" dxfId="1" priority="1106" operator="greaterThan">
      <formula>120</formula>
    </cfRule>
    <cfRule type="containsText" dxfId="2" priority="27" operator="between" text="库存为">
      <formula>NOT(ISERROR(SEARCH("库存为",AU1058)))</formula>
    </cfRule>
  </conditionalFormatting>
  <conditionalFormatting sqref="AU1059">
    <cfRule type="cellIs" dxfId="0" priority="2184" operator="lessThan">
      <formula>20</formula>
    </cfRule>
    <cfRule type="cellIs" dxfId="1" priority="1105" operator="greaterThan">
      <formula>120</formula>
    </cfRule>
    <cfRule type="containsText" dxfId="2" priority="26" operator="between" text="库存为">
      <formula>NOT(ISERROR(SEARCH("库存为",AU1059)))</formula>
    </cfRule>
  </conditionalFormatting>
  <conditionalFormatting sqref="AU1060">
    <cfRule type="cellIs" dxfId="0" priority="2183" operator="lessThan">
      <formula>20</formula>
    </cfRule>
    <cfRule type="cellIs" dxfId="1" priority="1104" operator="greaterThan">
      <formula>120</formula>
    </cfRule>
    <cfRule type="containsText" dxfId="2" priority="25" operator="between" text="库存为">
      <formula>NOT(ISERROR(SEARCH("库存为",AU1060)))</formula>
    </cfRule>
  </conditionalFormatting>
  <conditionalFormatting sqref="AU1061">
    <cfRule type="cellIs" dxfId="0" priority="2182" operator="lessThan">
      <formula>20</formula>
    </cfRule>
    <cfRule type="cellIs" dxfId="1" priority="1103" operator="greaterThan">
      <formula>120</formula>
    </cfRule>
    <cfRule type="containsText" dxfId="2" priority="24" operator="between" text="库存为">
      <formula>NOT(ISERROR(SEARCH("库存为",AU1061)))</formula>
    </cfRule>
  </conditionalFormatting>
  <conditionalFormatting sqref="AU1062">
    <cfRule type="cellIs" dxfId="0" priority="2181" operator="lessThan">
      <formula>20</formula>
    </cfRule>
    <cfRule type="cellIs" dxfId="1" priority="1102" operator="greaterThan">
      <formula>120</formula>
    </cfRule>
    <cfRule type="containsText" dxfId="2" priority="23" operator="between" text="库存为">
      <formula>NOT(ISERROR(SEARCH("库存为",AU1062)))</formula>
    </cfRule>
  </conditionalFormatting>
  <conditionalFormatting sqref="AU1063">
    <cfRule type="cellIs" dxfId="0" priority="2180" operator="lessThan">
      <formula>20</formula>
    </cfRule>
    <cfRule type="cellIs" dxfId="1" priority="1101" operator="greaterThan">
      <formula>120</formula>
    </cfRule>
    <cfRule type="containsText" dxfId="2" priority="22" operator="between" text="库存为">
      <formula>NOT(ISERROR(SEARCH("库存为",AU1063)))</formula>
    </cfRule>
  </conditionalFormatting>
  <conditionalFormatting sqref="AU1064">
    <cfRule type="cellIs" dxfId="0" priority="2179" operator="lessThan">
      <formula>20</formula>
    </cfRule>
    <cfRule type="cellIs" dxfId="1" priority="1100" operator="greaterThan">
      <formula>120</formula>
    </cfRule>
    <cfRule type="containsText" dxfId="2" priority="21" operator="between" text="库存为">
      <formula>NOT(ISERROR(SEARCH("库存为",AU1064)))</formula>
    </cfRule>
  </conditionalFormatting>
  <conditionalFormatting sqref="AU1065">
    <cfRule type="cellIs" dxfId="0" priority="2178" operator="lessThan">
      <formula>20</formula>
    </cfRule>
    <cfRule type="cellIs" dxfId="1" priority="1099" operator="greaterThan">
      <formula>120</formula>
    </cfRule>
    <cfRule type="containsText" dxfId="2" priority="20" operator="between" text="库存为">
      <formula>NOT(ISERROR(SEARCH("库存为",AU1065)))</formula>
    </cfRule>
  </conditionalFormatting>
  <conditionalFormatting sqref="AU1066">
    <cfRule type="cellIs" dxfId="0" priority="2177" operator="lessThan">
      <formula>20</formula>
    </cfRule>
    <cfRule type="cellIs" dxfId="1" priority="1098" operator="greaterThan">
      <formula>120</formula>
    </cfRule>
    <cfRule type="containsText" dxfId="2" priority="19" operator="between" text="库存为">
      <formula>NOT(ISERROR(SEARCH("库存为",AU1066)))</formula>
    </cfRule>
  </conditionalFormatting>
  <conditionalFormatting sqref="AU1067">
    <cfRule type="cellIs" dxfId="0" priority="2176" operator="lessThan">
      <formula>20</formula>
    </cfRule>
    <cfRule type="cellIs" dxfId="1" priority="1097" operator="greaterThan">
      <formula>120</formula>
    </cfRule>
    <cfRule type="containsText" dxfId="2" priority="18" operator="between" text="库存为">
      <formula>NOT(ISERROR(SEARCH("库存为",AU1067)))</formula>
    </cfRule>
  </conditionalFormatting>
  <conditionalFormatting sqref="AU1068">
    <cfRule type="cellIs" dxfId="0" priority="2175" operator="lessThan">
      <formula>20</formula>
    </cfRule>
    <cfRule type="cellIs" dxfId="1" priority="1096" operator="greaterThan">
      <formula>120</formula>
    </cfRule>
    <cfRule type="containsText" dxfId="2" priority="17" operator="between" text="库存为">
      <formula>NOT(ISERROR(SEARCH("库存为",AU1068)))</formula>
    </cfRule>
  </conditionalFormatting>
  <conditionalFormatting sqref="AU1069">
    <cfRule type="cellIs" dxfId="0" priority="2174" operator="lessThan">
      <formula>20</formula>
    </cfRule>
    <cfRule type="cellIs" dxfId="1" priority="1095" operator="greaterThan">
      <formula>120</formula>
    </cfRule>
    <cfRule type="containsText" dxfId="2" priority="16" operator="between" text="库存为">
      <formula>NOT(ISERROR(SEARCH("库存为",AU1069)))</formula>
    </cfRule>
  </conditionalFormatting>
  <conditionalFormatting sqref="AU1070">
    <cfRule type="cellIs" dxfId="0" priority="2173" operator="lessThan">
      <formula>20</formula>
    </cfRule>
    <cfRule type="cellIs" dxfId="1" priority="1094" operator="greaterThan">
      <formula>120</formula>
    </cfRule>
    <cfRule type="containsText" dxfId="2" priority="15" operator="between" text="库存为">
      <formula>NOT(ISERROR(SEARCH("库存为",AU1070)))</formula>
    </cfRule>
  </conditionalFormatting>
  <conditionalFormatting sqref="AU1071">
    <cfRule type="cellIs" dxfId="0" priority="2172" operator="lessThan">
      <formula>20</formula>
    </cfRule>
    <cfRule type="cellIs" dxfId="1" priority="1093" operator="greaterThan">
      <formula>120</formula>
    </cfRule>
    <cfRule type="containsText" dxfId="2" priority="14" operator="between" text="库存为">
      <formula>NOT(ISERROR(SEARCH("库存为",AU1071)))</formula>
    </cfRule>
  </conditionalFormatting>
  <conditionalFormatting sqref="AU1072">
    <cfRule type="cellIs" dxfId="0" priority="2171" operator="lessThan">
      <formula>20</formula>
    </cfRule>
    <cfRule type="cellIs" dxfId="1" priority="1092" operator="greaterThan">
      <formula>120</formula>
    </cfRule>
    <cfRule type="containsText" dxfId="2" priority="13" operator="between" text="库存为">
      <formula>NOT(ISERROR(SEARCH("库存为",AU1072)))</formula>
    </cfRule>
  </conditionalFormatting>
  <conditionalFormatting sqref="AU1073">
    <cfRule type="cellIs" dxfId="0" priority="2170" operator="lessThan">
      <formula>20</formula>
    </cfRule>
    <cfRule type="cellIs" dxfId="1" priority="1091" operator="greaterThan">
      <formula>120</formula>
    </cfRule>
    <cfRule type="containsText" dxfId="2" priority="12" operator="between" text="库存为">
      <formula>NOT(ISERROR(SEARCH("库存为",AU1073)))</formula>
    </cfRule>
  </conditionalFormatting>
  <conditionalFormatting sqref="AU1074">
    <cfRule type="cellIs" dxfId="0" priority="2169" operator="lessThan">
      <formula>20</formula>
    </cfRule>
    <cfRule type="cellIs" dxfId="1" priority="1090" operator="greaterThan">
      <formula>120</formula>
    </cfRule>
    <cfRule type="containsText" dxfId="2" priority="11" operator="between" text="库存为">
      <formula>NOT(ISERROR(SEARCH("库存为",AU1074)))</formula>
    </cfRule>
  </conditionalFormatting>
  <conditionalFormatting sqref="AU1075">
    <cfRule type="cellIs" dxfId="0" priority="2168" operator="lessThan">
      <formula>20</formula>
    </cfRule>
    <cfRule type="cellIs" dxfId="1" priority="1089" operator="greaterThan">
      <formula>120</formula>
    </cfRule>
    <cfRule type="containsText" dxfId="2" priority="10" operator="between" text="库存为">
      <formula>NOT(ISERROR(SEARCH("库存为",AU1075)))</formula>
    </cfRule>
  </conditionalFormatting>
  <conditionalFormatting sqref="AU1076">
    <cfRule type="cellIs" dxfId="0" priority="2167" operator="lessThan">
      <formula>20</formula>
    </cfRule>
    <cfRule type="cellIs" dxfId="1" priority="1088" operator="greaterThan">
      <formula>120</formula>
    </cfRule>
    <cfRule type="containsText" dxfId="2" priority="9" operator="between" text="库存为">
      <formula>NOT(ISERROR(SEARCH("库存为",AU1076)))</formula>
    </cfRule>
  </conditionalFormatting>
  <conditionalFormatting sqref="AU1077">
    <cfRule type="cellIs" dxfId="0" priority="2166" operator="lessThan">
      <formula>20</formula>
    </cfRule>
    <cfRule type="cellIs" dxfId="1" priority="1087" operator="greaterThan">
      <formula>120</formula>
    </cfRule>
    <cfRule type="containsText" dxfId="2" priority="8" operator="between" text="库存为">
      <formula>NOT(ISERROR(SEARCH("库存为",AU1077)))</formula>
    </cfRule>
  </conditionalFormatting>
  <conditionalFormatting sqref="AU1078">
    <cfRule type="cellIs" dxfId="0" priority="2165" operator="lessThan">
      <formula>20</formula>
    </cfRule>
    <cfRule type="cellIs" dxfId="1" priority="1086" operator="greaterThan">
      <formula>120</formula>
    </cfRule>
    <cfRule type="containsText" dxfId="2" priority="7" operator="between" text="库存为">
      <formula>NOT(ISERROR(SEARCH("库存为",AU1078)))</formula>
    </cfRule>
  </conditionalFormatting>
  <conditionalFormatting sqref="AU1079">
    <cfRule type="cellIs" dxfId="0" priority="2164" operator="lessThan">
      <formula>20</formula>
    </cfRule>
    <cfRule type="cellIs" dxfId="1" priority="1085" operator="greaterThan">
      <formula>120</formula>
    </cfRule>
    <cfRule type="containsText" dxfId="2" priority="6" operator="between" text="库存为">
      <formula>NOT(ISERROR(SEARCH("库存为",AU1079)))</formula>
    </cfRule>
  </conditionalFormatting>
  <conditionalFormatting sqref="AU1080">
    <cfRule type="cellIs" dxfId="0" priority="2163" operator="lessThan">
      <formula>20</formula>
    </cfRule>
    <cfRule type="cellIs" dxfId="1" priority="1084" operator="greaterThan">
      <formula>120</formula>
    </cfRule>
    <cfRule type="containsText" dxfId="2" priority="5" operator="between" text="库存为">
      <formula>NOT(ISERROR(SEARCH("库存为",AU1080)))</formula>
    </cfRule>
  </conditionalFormatting>
  <conditionalFormatting sqref="AU1081">
    <cfRule type="cellIs" dxfId="0" priority="2162" operator="lessThan">
      <formula>20</formula>
    </cfRule>
    <cfRule type="cellIs" dxfId="1" priority="1083" operator="greaterThan">
      <formula>120</formula>
    </cfRule>
    <cfRule type="containsText" dxfId="2" priority="4" operator="between" text="库存为">
      <formula>NOT(ISERROR(SEARCH("库存为",AU1081)))</formula>
    </cfRule>
  </conditionalFormatting>
  <conditionalFormatting sqref="AU1082">
    <cfRule type="cellIs" dxfId="0" priority="2161" operator="lessThan">
      <formula>20</formula>
    </cfRule>
    <cfRule type="cellIs" dxfId="1" priority="1082" operator="greaterThan">
      <formula>120</formula>
    </cfRule>
    <cfRule type="containsText" dxfId="2" priority="3" operator="between" text="库存为">
      <formula>NOT(ISERROR(SEARCH("库存为",AU1082)))</formula>
    </cfRule>
  </conditionalFormatting>
  <conditionalFormatting sqref="AU1083">
    <cfRule type="cellIs" dxfId="0" priority="2160" operator="lessThan">
      <formula>20</formula>
    </cfRule>
    <cfRule type="cellIs" dxfId="1" priority="1081" operator="greaterThan">
      <formula>120</formula>
    </cfRule>
    <cfRule type="containsText" dxfId="2" priority="2" operator="between" text="库存为">
      <formula>NOT(ISERROR(SEARCH("库存为",AU1083)))</formula>
    </cfRule>
  </conditionalFormatting>
  <conditionalFormatting sqref="AU1084">
    <cfRule type="cellIs" dxfId="0" priority="2159" operator="lessThan">
      <formula>20</formula>
    </cfRule>
    <cfRule type="cellIs" dxfId="1" priority="1080" operator="greaterThan">
      <formula>120</formula>
    </cfRule>
    <cfRule type="containsText" dxfId="2" priority="1" operator="between" text="库存为">
      <formula>NOT(ISERROR(SEARCH("库存为",AU1084)))</formula>
    </cfRule>
  </conditionalFormatting>
  <conditionalFormatting sqref="AU1085">
    <cfRule type="cellIs" dxfId="0" priority="8728" operator="lessThan">
      <formula>20</formula>
    </cfRule>
    <cfRule type="cellIs" dxfId="1" priority="7617" operator="greaterThan">
      <formula>120</formula>
    </cfRule>
    <cfRule type="containsText" dxfId="2" priority="6506" operator="between" text="库存为">
      <formula>NOT(ISERROR(SEARCH("库存为",AU1085)))</formula>
    </cfRule>
  </conditionalFormatting>
  <conditionalFormatting sqref="AU1086">
    <cfRule type="cellIs" dxfId="0" priority="8727" operator="lessThan">
      <formula>20</formula>
    </cfRule>
    <cfRule type="cellIs" dxfId="1" priority="7616" operator="greaterThan">
      <formula>120</formula>
    </cfRule>
    <cfRule type="containsText" dxfId="2" priority="6505" operator="between" text="库存为">
      <formula>NOT(ISERROR(SEARCH("库存为",AU1086)))</formula>
    </cfRule>
  </conditionalFormatting>
  <conditionalFormatting sqref="AU1087">
    <cfRule type="cellIs" dxfId="0" priority="8726" operator="lessThan">
      <formula>20</formula>
    </cfRule>
    <cfRule type="cellIs" dxfId="1" priority="7615" operator="greaterThan">
      <formula>120</formula>
    </cfRule>
    <cfRule type="containsText" dxfId="2" priority="6504" operator="between" text="库存为">
      <formula>NOT(ISERROR(SEARCH("库存为",AU1087)))</formula>
    </cfRule>
  </conditionalFormatting>
  <conditionalFormatting sqref="AU1088">
    <cfRule type="cellIs" dxfId="0" priority="8725" operator="lessThan">
      <formula>20</formula>
    </cfRule>
    <cfRule type="cellIs" dxfId="1" priority="7614" operator="greaterThan">
      <formula>120</formula>
    </cfRule>
    <cfRule type="containsText" dxfId="2" priority="6503" operator="between" text="库存为">
      <formula>NOT(ISERROR(SEARCH("库存为",AU1088)))</formula>
    </cfRule>
  </conditionalFormatting>
  <conditionalFormatting sqref="AU1089">
    <cfRule type="cellIs" dxfId="0" priority="8724" operator="lessThan">
      <formula>20</formula>
    </cfRule>
    <cfRule type="cellIs" dxfId="1" priority="7613" operator="greaterThan">
      <formula>120</formula>
    </cfRule>
    <cfRule type="containsText" dxfId="2" priority="6502" operator="between" text="库存为">
      <formula>NOT(ISERROR(SEARCH("库存为",AU1089)))</formula>
    </cfRule>
  </conditionalFormatting>
  <conditionalFormatting sqref="AU1090">
    <cfRule type="cellIs" dxfId="0" priority="8723" operator="lessThan">
      <formula>20</formula>
    </cfRule>
    <cfRule type="cellIs" dxfId="1" priority="7612" operator="greaterThan">
      <formula>120</formula>
    </cfRule>
    <cfRule type="containsText" dxfId="2" priority="6501" operator="between" text="库存为">
      <formula>NOT(ISERROR(SEARCH("库存为",AU1090)))</formula>
    </cfRule>
  </conditionalFormatting>
  <conditionalFormatting sqref="AU1091">
    <cfRule type="cellIs" dxfId="0" priority="8722" operator="lessThan">
      <formula>20</formula>
    </cfRule>
    <cfRule type="cellIs" dxfId="1" priority="7611" operator="greaterThan">
      <formula>120</formula>
    </cfRule>
    <cfRule type="containsText" dxfId="2" priority="6500" operator="between" text="库存为">
      <formula>NOT(ISERROR(SEARCH("库存为",AU1091)))</formula>
    </cfRule>
  </conditionalFormatting>
  <conditionalFormatting sqref="AU1092">
    <cfRule type="cellIs" dxfId="0" priority="8721" operator="lessThan">
      <formula>20</formula>
    </cfRule>
    <cfRule type="cellIs" dxfId="1" priority="7610" operator="greaterThan">
      <formula>120</formula>
    </cfRule>
    <cfRule type="containsText" dxfId="2" priority="6499" operator="between" text="库存为">
      <formula>NOT(ISERROR(SEARCH("库存为",AU1092)))</formula>
    </cfRule>
  </conditionalFormatting>
  <conditionalFormatting sqref="AU1093">
    <cfRule type="cellIs" dxfId="0" priority="8720" operator="lessThan">
      <formula>20</formula>
    </cfRule>
    <cfRule type="cellIs" dxfId="1" priority="7609" operator="greaterThan">
      <formula>120</formula>
    </cfRule>
    <cfRule type="containsText" dxfId="2" priority="6498" operator="between" text="库存为">
      <formula>NOT(ISERROR(SEARCH("库存为",AU1093)))</formula>
    </cfRule>
  </conditionalFormatting>
  <conditionalFormatting sqref="AU1094">
    <cfRule type="cellIs" dxfId="0" priority="8719" operator="lessThan">
      <formula>20</formula>
    </cfRule>
    <cfRule type="cellIs" dxfId="1" priority="7608" operator="greaterThan">
      <formula>120</formula>
    </cfRule>
    <cfRule type="containsText" dxfId="2" priority="6497" operator="between" text="库存为">
      <formula>NOT(ISERROR(SEARCH("库存为",AU1094)))</formula>
    </cfRule>
  </conditionalFormatting>
  <conditionalFormatting sqref="AU1095">
    <cfRule type="cellIs" dxfId="0" priority="8718" operator="lessThan">
      <formula>20</formula>
    </cfRule>
    <cfRule type="cellIs" dxfId="1" priority="7607" operator="greaterThan">
      <formula>120</formula>
    </cfRule>
    <cfRule type="containsText" dxfId="2" priority="6496" operator="between" text="库存为">
      <formula>NOT(ISERROR(SEARCH("库存为",AU1095)))</formula>
    </cfRule>
  </conditionalFormatting>
  <conditionalFormatting sqref="AU1096">
    <cfRule type="cellIs" dxfId="0" priority="8717" operator="lessThan">
      <formula>20</formula>
    </cfRule>
    <cfRule type="cellIs" dxfId="1" priority="7606" operator="greaterThan">
      <formula>120</formula>
    </cfRule>
    <cfRule type="containsText" dxfId="2" priority="6495" operator="between" text="库存为">
      <formula>NOT(ISERROR(SEARCH("库存为",AU1096)))</formula>
    </cfRule>
  </conditionalFormatting>
  <conditionalFormatting sqref="AU1097">
    <cfRule type="cellIs" dxfId="0" priority="8716" operator="lessThan">
      <formula>20</formula>
    </cfRule>
    <cfRule type="cellIs" dxfId="1" priority="7605" operator="greaterThan">
      <formula>120</formula>
    </cfRule>
    <cfRule type="containsText" dxfId="2" priority="6494" operator="between" text="库存为">
      <formula>NOT(ISERROR(SEARCH("库存为",AU1097)))</formula>
    </cfRule>
  </conditionalFormatting>
  <conditionalFormatting sqref="AU1098">
    <cfRule type="cellIs" dxfId="0" priority="8715" operator="lessThan">
      <formula>20</formula>
    </cfRule>
    <cfRule type="cellIs" dxfId="1" priority="7604" operator="greaterThan">
      <formula>120</formula>
    </cfRule>
    <cfRule type="containsText" dxfId="2" priority="6493" operator="between" text="库存为">
      <formula>NOT(ISERROR(SEARCH("库存为",AU1098)))</formula>
    </cfRule>
  </conditionalFormatting>
  <conditionalFormatting sqref="AU1099">
    <cfRule type="cellIs" dxfId="0" priority="8714" operator="lessThan">
      <formula>20</formula>
    </cfRule>
    <cfRule type="cellIs" dxfId="1" priority="7603" operator="greaterThan">
      <formula>120</formula>
    </cfRule>
    <cfRule type="containsText" dxfId="2" priority="6492" operator="between" text="库存为">
      <formula>NOT(ISERROR(SEARCH("库存为",AU1099)))</formula>
    </cfRule>
  </conditionalFormatting>
  <conditionalFormatting sqref="AU1100">
    <cfRule type="cellIs" dxfId="0" priority="8713" operator="lessThan">
      <formula>20</formula>
    </cfRule>
    <cfRule type="cellIs" dxfId="1" priority="7602" operator="greaterThan">
      <formula>120</formula>
    </cfRule>
    <cfRule type="containsText" dxfId="2" priority="6491" operator="between" text="库存为">
      <formula>NOT(ISERROR(SEARCH("库存为",AU1100)))</formula>
    </cfRule>
  </conditionalFormatting>
  <conditionalFormatting sqref="AU1101">
    <cfRule type="cellIs" dxfId="0" priority="8712" operator="lessThan">
      <formula>20</formula>
    </cfRule>
    <cfRule type="cellIs" dxfId="1" priority="7601" operator="greaterThan">
      <formula>120</formula>
    </cfRule>
    <cfRule type="containsText" dxfId="2" priority="6490" operator="between" text="库存为">
      <formula>NOT(ISERROR(SEARCH("库存为",AU1101)))</formula>
    </cfRule>
  </conditionalFormatting>
  <conditionalFormatting sqref="AU1102">
    <cfRule type="cellIs" dxfId="0" priority="8711" operator="lessThan">
      <formula>20</formula>
    </cfRule>
    <cfRule type="cellIs" dxfId="1" priority="7600" operator="greaterThan">
      <formula>120</formula>
    </cfRule>
    <cfRule type="containsText" dxfId="2" priority="6489" operator="between" text="库存为">
      <formula>NOT(ISERROR(SEARCH("库存为",AU1102)))</formula>
    </cfRule>
  </conditionalFormatting>
  <conditionalFormatting sqref="AU1103">
    <cfRule type="cellIs" dxfId="0" priority="8710" operator="lessThan">
      <formula>20</formula>
    </cfRule>
    <cfRule type="cellIs" dxfId="1" priority="7599" operator="greaterThan">
      <formula>120</formula>
    </cfRule>
    <cfRule type="containsText" dxfId="2" priority="6488" operator="between" text="库存为">
      <formula>NOT(ISERROR(SEARCH("库存为",AU1103)))</formula>
    </cfRule>
  </conditionalFormatting>
  <conditionalFormatting sqref="AU1104">
    <cfRule type="cellIs" dxfId="0" priority="8709" operator="lessThan">
      <formula>20</formula>
    </cfRule>
    <cfRule type="cellIs" dxfId="1" priority="7598" operator="greaterThan">
      <formula>120</formula>
    </cfRule>
    <cfRule type="containsText" dxfId="2" priority="6487" operator="between" text="库存为">
      <formula>NOT(ISERROR(SEARCH("库存为",AU1104)))</formula>
    </cfRule>
  </conditionalFormatting>
  <conditionalFormatting sqref="AU1105">
    <cfRule type="cellIs" dxfId="0" priority="8708" operator="lessThan">
      <formula>20</formula>
    </cfRule>
    <cfRule type="cellIs" dxfId="1" priority="7597" operator="greaterThan">
      <formula>120</formula>
    </cfRule>
    <cfRule type="containsText" dxfId="2" priority="6486" operator="between" text="库存为">
      <formula>NOT(ISERROR(SEARCH("库存为",AU1105)))</formula>
    </cfRule>
  </conditionalFormatting>
  <conditionalFormatting sqref="AU1106">
    <cfRule type="cellIs" dxfId="0" priority="8707" operator="lessThan">
      <formula>20</formula>
    </cfRule>
    <cfRule type="cellIs" dxfId="1" priority="7596" operator="greaterThan">
      <formula>120</formula>
    </cfRule>
    <cfRule type="containsText" dxfId="2" priority="6485" operator="between" text="库存为">
      <formula>NOT(ISERROR(SEARCH("库存为",AU1106)))</formula>
    </cfRule>
  </conditionalFormatting>
  <conditionalFormatting sqref="AU1107">
    <cfRule type="cellIs" dxfId="0" priority="8706" operator="lessThan">
      <formula>20</formula>
    </cfRule>
    <cfRule type="cellIs" dxfId="1" priority="7595" operator="greaterThan">
      <formula>120</formula>
    </cfRule>
    <cfRule type="containsText" dxfId="2" priority="6484" operator="between" text="库存为">
      <formula>NOT(ISERROR(SEARCH("库存为",AU1107)))</formula>
    </cfRule>
  </conditionalFormatting>
  <conditionalFormatting sqref="AU1108">
    <cfRule type="cellIs" dxfId="0" priority="8705" operator="lessThan">
      <formula>20</formula>
    </cfRule>
    <cfRule type="cellIs" dxfId="1" priority="7594" operator="greaterThan">
      <formula>120</formula>
    </cfRule>
    <cfRule type="containsText" dxfId="2" priority="6483" operator="between" text="库存为">
      <formula>NOT(ISERROR(SEARCH("库存为",AU1108)))</formula>
    </cfRule>
  </conditionalFormatting>
  <conditionalFormatting sqref="AU1109">
    <cfRule type="cellIs" dxfId="0" priority="8704" operator="lessThan">
      <formula>20</formula>
    </cfRule>
    <cfRule type="cellIs" dxfId="1" priority="7593" operator="greaterThan">
      <formula>120</formula>
    </cfRule>
    <cfRule type="containsText" dxfId="2" priority="6482" operator="between" text="库存为">
      <formula>NOT(ISERROR(SEARCH("库存为",AU1109)))</formula>
    </cfRule>
  </conditionalFormatting>
  <conditionalFormatting sqref="AU1110">
    <cfRule type="cellIs" dxfId="0" priority="8703" operator="lessThan">
      <formula>20</formula>
    </cfRule>
    <cfRule type="cellIs" dxfId="1" priority="7592" operator="greaterThan">
      <formula>120</formula>
    </cfRule>
    <cfRule type="containsText" dxfId="2" priority="6481" operator="between" text="库存为">
      <formula>NOT(ISERROR(SEARCH("库存为",AU1110)))</formula>
    </cfRule>
  </conditionalFormatting>
  <conditionalFormatting sqref="AU1111">
    <cfRule type="cellIs" dxfId="0" priority="8702" operator="lessThan">
      <formula>20</formula>
    </cfRule>
    <cfRule type="cellIs" dxfId="1" priority="7591" operator="greaterThan">
      <formula>120</formula>
    </cfRule>
    <cfRule type="containsText" dxfId="2" priority="6480" operator="between" text="库存为">
      <formula>NOT(ISERROR(SEARCH("库存为",AU1111)))</formula>
    </cfRule>
  </conditionalFormatting>
  <conditionalFormatting sqref="AU1112">
    <cfRule type="cellIs" dxfId="0" priority="8701" operator="lessThan">
      <formula>20</formula>
    </cfRule>
    <cfRule type="cellIs" dxfId="1" priority="7590" operator="greaterThan">
      <formula>120</formula>
    </cfRule>
    <cfRule type="containsText" dxfId="2" priority="6479" operator="between" text="库存为">
      <formula>NOT(ISERROR(SEARCH("库存为",AU1112)))</formula>
    </cfRule>
  </conditionalFormatting>
  <conditionalFormatting sqref="AU1113">
    <cfRule type="cellIs" dxfId="0" priority="8700" operator="lessThan">
      <formula>20</formula>
    </cfRule>
    <cfRule type="cellIs" dxfId="1" priority="7589" operator="greaterThan">
      <formula>120</formula>
    </cfRule>
    <cfRule type="containsText" dxfId="2" priority="6478" operator="between" text="库存为">
      <formula>NOT(ISERROR(SEARCH("库存为",AU1113)))</formula>
    </cfRule>
  </conditionalFormatting>
  <conditionalFormatting sqref="AU1114">
    <cfRule type="cellIs" dxfId="0" priority="8699" operator="lessThan">
      <formula>20</formula>
    </cfRule>
    <cfRule type="cellIs" dxfId="1" priority="7588" operator="greaterThan">
      <formula>120</formula>
    </cfRule>
    <cfRule type="containsText" dxfId="2" priority="6477" operator="between" text="库存为">
      <formula>NOT(ISERROR(SEARCH("库存为",AU1114)))</formula>
    </cfRule>
  </conditionalFormatting>
  <conditionalFormatting sqref="AU1115">
    <cfRule type="cellIs" dxfId="0" priority="8698" operator="lessThan">
      <formula>20</formula>
    </cfRule>
    <cfRule type="cellIs" dxfId="1" priority="7587" operator="greaterThan">
      <formula>120</formula>
    </cfRule>
    <cfRule type="containsText" dxfId="2" priority="6476" operator="between" text="库存为">
      <formula>NOT(ISERROR(SEARCH("库存为",AU1115)))</formula>
    </cfRule>
  </conditionalFormatting>
  <conditionalFormatting sqref="AU1116">
    <cfRule type="cellIs" dxfId="0" priority="8697" operator="lessThan">
      <formula>20</formula>
    </cfRule>
    <cfRule type="cellIs" dxfId="1" priority="7586" operator="greaterThan">
      <formula>120</formula>
    </cfRule>
    <cfRule type="containsText" dxfId="2" priority="6475" operator="between" text="库存为">
      <formula>NOT(ISERROR(SEARCH("库存为",AU1116)))</formula>
    </cfRule>
  </conditionalFormatting>
  <conditionalFormatting sqref="AU1117">
    <cfRule type="cellIs" dxfId="0" priority="12065" operator="lessThan">
      <formula>20</formula>
    </cfRule>
    <cfRule type="cellIs" dxfId="1" priority="10942" operator="greaterThan">
      <formula>120</formula>
    </cfRule>
    <cfRule type="containsText" dxfId="2" priority="9819" operator="between" text="库存为">
      <formula>NOT(ISERROR(SEARCH("库存为",AU1117)))</formula>
    </cfRule>
  </conditionalFormatting>
  <conditionalFormatting sqref="AU1118">
    <cfRule type="cellIs" dxfId="0" priority="12064" operator="lessThan">
      <formula>20</formula>
    </cfRule>
    <cfRule type="cellIs" dxfId="1" priority="10941" operator="greaterThan">
      <formula>120</formula>
    </cfRule>
    <cfRule type="containsText" dxfId="2" priority="9818" operator="between" text="库存为">
      <formula>NOT(ISERROR(SEARCH("库存为",AU1118)))</formula>
    </cfRule>
  </conditionalFormatting>
  <conditionalFormatting sqref="AU1119">
    <cfRule type="cellIs" dxfId="0" priority="12063" operator="lessThan">
      <formula>20</formula>
    </cfRule>
    <cfRule type="cellIs" dxfId="1" priority="10940" operator="greaterThan">
      <formula>120</formula>
    </cfRule>
    <cfRule type="containsText" dxfId="2" priority="9817" operator="between" text="库存为">
      <formula>NOT(ISERROR(SEARCH("库存为",AU1119)))</formula>
    </cfRule>
  </conditionalFormatting>
  <conditionalFormatting sqref="AU1120">
    <cfRule type="cellIs" dxfId="0" priority="12062" operator="lessThan">
      <formula>20</formula>
    </cfRule>
    <cfRule type="cellIs" dxfId="1" priority="10939" operator="greaterThan">
      <formula>120</formula>
    </cfRule>
    <cfRule type="containsText" dxfId="2" priority="9816" operator="between" text="库存为">
      <formula>NOT(ISERROR(SEARCH("库存为",AU1120)))</formula>
    </cfRule>
  </conditionalFormatting>
  <conditionalFormatting sqref="AU1121">
    <cfRule type="cellIs" dxfId="0" priority="12061" operator="lessThan">
      <formula>20</formula>
    </cfRule>
    <cfRule type="cellIs" dxfId="1" priority="10938" operator="greaterThan">
      <formula>120</formula>
    </cfRule>
    <cfRule type="containsText" dxfId="2" priority="9815" operator="between" text="库存为">
      <formula>NOT(ISERROR(SEARCH("库存为",AU1121)))</formula>
    </cfRule>
  </conditionalFormatting>
  <conditionalFormatting sqref="AU1122">
    <cfRule type="cellIs" dxfId="0" priority="12060" operator="lessThan">
      <formula>20</formula>
    </cfRule>
    <cfRule type="cellIs" dxfId="1" priority="10937" operator="greaterThan">
      <formula>120</formula>
    </cfRule>
    <cfRule type="containsText" dxfId="2" priority="9814" operator="between" text="库存为">
      <formula>NOT(ISERROR(SEARCH("库存为",AU1122)))</formula>
    </cfRule>
  </conditionalFormatting>
  <conditionalFormatting sqref="AU1123">
    <cfRule type="cellIs" dxfId="0" priority="12059" operator="lessThan">
      <formula>20</formula>
    </cfRule>
    <cfRule type="cellIs" dxfId="1" priority="10936" operator="greaterThan">
      <formula>120</formula>
    </cfRule>
    <cfRule type="containsText" dxfId="2" priority="9813" operator="between" text="库存为">
      <formula>NOT(ISERROR(SEARCH("库存为",AU1123)))</formula>
    </cfRule>
  </conditionalFormatting>
  <conditionalFormatting sqref="AU1124">
    <cfRule type="cellIs" dxfId="0" priority="12058" operator="lessThan">
      <formula>20</formula>
    </cfRule>
    <cfRule type="cellIs" dxfId="1" priority="10935" operator="greaterThan">
      <formula>120</formula>
    </cfRule>
    <cfRule type="containsText" dxfId="2" priority="9812" operator="between" text="库存为">
      <formula>NOT(ISERROR(SEARCH("库存为",AU1124)))</formula>
    </cfRule>
  </conditionalFormatting>
  <conditionalFormatting sqref="AU1125">
    <cfRule type="cellIs" dxfId="0" priority="12057" operator="lessThan">
      <formula>20</formula>
    </cfRule>
    <cfRule type="cellIs" dxfId="1" priority="10934" operator="greaterThan">
      <formula>120</formula>
    </cfRule>
    <cfRule type="containsText" dxfId="2" priority="9811" operator="between" text="库存为">
      <formula>NOT(ISERROR(SEARCH("库存为",AU1125)))</formula>
    </cfRule>
  </conditionalFormatting>
  <conditionalFormatting sqref="AU1126">
    <cfRule type="cellIs" dxfId="0" priority="12056" operator="lessThan">
      <formula>20</formula>
    </cfRule>
    <cfRule type="cellIs" dxfId="1" priority="10933" operator="greaterThan">
      <formula>120</formula>
    </cfRule>
    <cfRule type="containsText" dxfId="2" priority="9810" operator="between" text="库存为">
      <formula>NOT(ISERROR(SEARCH("库存为",AU1126)))</formula>
    </cfRule>
  </conditionalFormatting>
  <conditionalFormatting sqref="AU1127">
    <cfRule type="cellIs" dxfId="0" priority="12055" operator="lessThan">
      <formula>20</formula>
    </cfRule>
    <cfRule type="cellIs" dxfId="1" priority="10932" operator="greaterThan">
      <formula>120</formula>
    </cfRule>
    <cfRule type="containsText" dxfId="2" priority="9809" operator="between" text="库存为">
      <formula>NOT(ISERROR(SEARCH("库存为",AU1127)))</formula>
    </cfRule>
  </conditionalFormatting>
  <conditionalFormatting sqref="AU1128">
    <cfRule type="cellIs" dxfId="0" priority="12054" operator="lessThan">
      <formula>20</formula>
    </cfRule>
    <cfRule type="cellIs" dxfId="1" priority="10931" operator="greaterThan">
      <formula>120</formula>
    </cfRule>
    <cfRule type="containsText" dxfId="2" priority="9808" operator="between" text="库存为">
      <formula>NOT(ISERROR(SEARCH("库存为",AU1128)))</formula>
    </cfRule>
  </conditionalFormatting>
  <conditionalFormatting sqref="AU1129:AU3220">
    <cfRule type="containsText" dxfId="2" priority="13186" operator="between" text="库存为">
      <formula>NOT(ISERROR(SEARCH("库存为",AU1129)))</formula>
    </cfRule>
    <cfRule type="cellIs" dxfId="1" priority="13187" operator="greaterThan">
      <formula>120</formula>
    </cfRule>
    <cfRule type="cellIs" dxfId="0" priority="1318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68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2371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2372</v>
      </c>
      <c r="AI1" s="11"/>
      <c r="AJ1" s="11"/>
      <c r="AK1" s="11"/>
      <c r="AL1" s="11" t="s">
        <v>2373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43262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2374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2375</v>
      </c>
      <c r="C4" s="6" t="s">
        <v>2376</v>
      </c>
      <c r="D4" s="6" t="s">
        <v>2377</v>
      </c>
      <c r="E4" s="6" t="s">
        <v>2378</v>
      </c>
      <c r="F4" s="7" t="s">
        <v>20</v>
      </c>
      <c r="G4" t="s">
        <v>21</v>
      </c>
      <c r="H4" t="s">
        <v>22</v>
      </c>
      <c r="I4" t="s">
        <v>2379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448</v>
      </c>
      <c r="C5" s="17">
        <f t="shared" si="14"/>
        <v>647</v>
      </c>
      <c r="D5" s="17">
        <f t="shared" si="14"/>
        <v>581</v>
      </c>
      <c r="E5" s="17">
        <f t="shared" si="14"/>
        <v>551</v>
      </c>
      <c r="F5" s="18"/>
      <c r="G5" s="5">
        <f t="shared" si="14"/>
        <v>3408</v>
      </c>
      <c r="H5" s="5">
        <f t="shared" si="14"/>
        <v>324</v>
      </c>
      <c r="I5" s="5">
        <f t="shared" si="14"/>
        <v>13</v>
      </c>
      <c r="J5" s="5">
        <f t="shared" si="14"/>
        <v>42</v>
      </c>
      <c r="K5" s="5">
        <f t="shared" si="14"/>
        <v>3787</v>
      </c>
      <c r="L5" s="5">
        <f t="shared" si="14"/>
        <v>550</v>
      </c>
      <c r="M5" s="5">
        <f t="shared" si="14"/>
        <v>1977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1033.59</v>
      </c>
      <c r="AA5" s="5">
        <f>SUM(AA6:AA9999)</f>
        <v>1122.3</v>
      </c>
      <c r="AB5" s="5">
        <f>SUM(AB6:AB9999)</f>
        <v>1237.2</v>
      </c>
      <c r="AC5" s="5">
        <f>SUM(AC6:AC9999)</f>
        <v>1343.83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1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203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203</v>
      </c>
      <c r="L6">
        <f>SUMIF('库存（子SKU）'!$C:$C,$A6,'库存（子SKU）'!N:N)</f>
        <v>11</v>
      </c>
      <c r="M6">
        <f>SUMIF('库存（子SKU）'!$C:$C,$A6,'库存（子SKU）'!O:O)</f>
        <v>194</v>
      </c>
      <c r="N6">
        <f>SUMIF('库存（子SKU）'!$C:$C,$A6,'库存（子SKU）'!P:P)</f>
        <v>1608</v>
      </c>
      <c r="O6">
        <f>SUMIF('库存（子SKU）'!$C:$C,$A6,'库存（子SKU）'!Q:Q)</f>
        <v>1312</v>
      </c>
      <c r="P6">
        <f>SUMIF('库存（子SKU）'!$C:$C,$A6,'库存（子SKU）'!R:R)</f>
        <v>1358</v>
      </c>
      <c r="Q6">
        <f>SUMIF('库存（子SKU）'!$C:$C,$A6,'库存（子SKU）'!S:S)</f>
        <v>738</v>
      </c>
      <c r="R6">
        <f>SUMIF('库存（子SKU）'!$C:$C,$A6,'库存（子SKU）'!T:T)</f>
        <v>7</v>
      </c>
      <c r="S6">
        <f>SUMIF('库存（子SKU）'!$C:$C,$A6,'库存（子SKU）'!U:U)</f>
        <v>5</v>
      </c>
      <c r="T6">
        <f>SUMIF('库存（子SKU）'!$C:$C,$A6,'库存（子SKU）'!V:V)</f>
        <v>3</v>
      </c>
      <c r="U6">
        <f>SUMIF('库存（子SKU）'!$C:$C,$A6,'库存（子SKU）'!W:W)</f>
        <v>1</v>
      </c>
      <c r="V6" s="23">
        <f t="shared" ref="V6:V69" si="15">IFERROR(R6/N6,"")</f>
        <v>0.00435323383084577</v>
      </c>
      <c r="W6" s="23">
        <f t="shared" ref="W6:W69" si="16">IFERROR(S6/O6,"")</f>
        <v>0.0038109756097561</v>
      </c>
      <c r="X6" s="23">
        <f t="shared" ref="X6:X69" si="17">IFERROR(T6/P6,"")</f>
        <v>0.00220913107511046</v>
      </c>
      <c r="Y6" s="23">
        <f t="shared" ref="Y6:Y69" si="18">IFERROR(U6/Q6,"")</f>
        <v>0.0013550135501355</v>
      </c>
      <c r="Z6">
        <f>SUMIF('库存（子SKU）'!$C:$C,$A6,'库存（子SKU）'!AB:AB)</f>
        <v>1.5</v>
      </c>
      <c r="AA6">
        <f>SUMIF('库存（子SKU）'!$C:$C,$A6,'库存（子SKU）'!AC:AC)</f>
        <v>1.39</v>
      </c>
      <c r="AB6">
        <f>SUMIF('库存（子SKU）'!$C:$C,$A6,'库存（子SKU）'!AD:AD)</f>
        <v>1.14</v>
      </c>
      <c r="AC6">
        <f>SUMIF('库存（子SKU）'!$C:$C,$A6,'库存（子SKU）'!AE:AE)</f>
        <v>0.33</v>
      </c>
      <c r="AD6" s="23" t="str">
        <f t="shared" si="2"/>
        <v>无销量广告费为1.5</v>
      </c>
      <c r="AE6" s="23">
        <f t="shared" si="3"/>
        <v>0.0869293308317698</v>
      </c>
      <c r="AF6" s="23" t="str">
        <f t="shared" si="4"/>
        <v>无销量广告费为1.14</v>
      </c>
      <c r="AG6" s="23" t="str">
        <f t="shared" si="5"/>
        <v>无销量广告费为0.33</v>
      </c>
      <c r="AH6">
        <f>SUMIF('库存（子SKU）'!$C:$C,$A6,'库存（子SKU）'!AJ:AJ)</f>
        <v>99</v>
      </c>
      <c r="AI6">
        <f>SUMIF('库存（子SKU）'!$C:$C,$A6,'库存（子SKU）'!AK:AK)</f>
        <v>36</v>
      </c>
      <c r="AJ6">
        <f>SUMIF('库存（子SKU）'!$C:$C,$A6,'库存（子SKU）'!AL:AL)</f>
        <v>36</v>
      </c>
      <c r="AK6">
        <f>SUMIF('库存（子SKU）'!$C:$C,$A6,'库存（子SKU）'!AM:AM)</f>
        <v>16</v>
      </c>
      <c r="AL6" s="23">
        <f t="shared" si="6"/>
        <v>0</v>
      </c>
      <c r="AM6" s="23">
        <f t="shared" si="7"/>
        <v>0.0277777777777778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203</v>
      </c>
      <c r="AS6" t="str">
        <f t="shared" si="13"/>
        <v>库存为203</v>
      </c>
      <c r="AT6" s="25" t="str">
        <f>IFERROR(时间!$B$4+AS6,"上周无销量")</f>
        <v>上周无销量</v>
      </c>
    </row>
    <row r="7" spans="1:46">
      <c r="A7" t="s">
        <v>151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1</v>
      </c>
      <c r="AI7">
        <f>SUMIF('库存（子SKU）'!$C:$C,$A7,'库存（子SKU）'!AK:AK)</f>
        <v>4</v>
      </c>
      <c r="AJ7">
        <f>SUMIF('库存（子SKU）'!$C:$C,$A7,'库存（子SKU）'!AL:AL)</f>
        <v>4</v>
      </c>
      <c r="AK7">
        <f>SUMIF('库存（子SKU）'!$C:$C,$A7,'库存（子SKU）'!AM:AM)</f>
        <v>0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166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5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1</v>
      </c>
      <c r="AL8" s="23">
        <f t="shared" si="6"/>
        <v>0</v>
      </c>
      <c r="AM8" s="23" t="str">
        <f t="shared" si="7"/>
        <v/>
      </c>
      <c r="AN8" s="23" t="str">
        <f t="shared" si="8"/>
        <v/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169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8</v>
      </c>
      <c r="AI9">
        <f>SUMIF('库存（子SKU）'!$C:$C,$A9,'库存（子SKU）'!AK:AK)</f>
        <v>4</v>
      </c>
      <c r="AJ9">
        <f>SUMIF('库存（子SKU）'!$C:$C,$A9,'库存（子SKU）'!AL:AL)</f>
        <v>4</v>
      </c>
      <c r="AK9">
        <f>SUMIF('库存（子SKU）'!$C:$C,$A9,'库存（子SKU）'!AM:AM)</f>
        <v>7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180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5</v>
      </c>
      <c r="AI10">
        <f>SUMIF('库存（子SKU）'!$C:$C,$A10,'库存（子SKU）'!AK:AK)</f>
        <v>1</v>
      </c>
      <c r="AJ10">
        <f>SUMIF('库存（子SKU）'!$C:$C,$A10,'库存（子SKU）'!AL:AL)</f>
        <v>1</v>
      </c>
      <c r="AK10">
        <f>SUMIF('库存（子SKU）'!$C:$C,$A10,'库存（子SKU）'!AM:AM)</f>
        <v>4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189</v>
      </c>
      <c r="B11" s="6">
        <f>SUMIF('库存（子SKU）'!$C:$C,$A11,'库存（子SKU）'!D:D)</f>
        <v>2</v>
      </c>
      <c r="C11" s="6">
        <f>SUMIF('库存（子SKU）'!$C:$C,$A11,'库存（子SKU）'!E:E)</f>
        <v>2</v>
      </c>
      <c r="D11" s="6">
        <f>SUMIF('库存（子SKU）'!$C:$C,$A11,'库存（子SKU）'!F:F)</f>
        <v>3</v>
      </c>
      <c r="E11" s="6">
        <f>SUMIF('库存（子SKU）'!$C:$C,$A11,'库存（子SKU）'!G:G)</f>
        <v>3</v>
      </c>
      <c r="F11" s="7">
        <v>29.99</v>
      </c>
      <c r="G11">
        <f>SUMIF('库存（子SKU）'!$C:$C,$A11,'库存（子SKU）'!I:I)</f>
        <v>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3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7</v>
      </c>
      <c r="AI11">
        <f>SUMIF('库存（子SKU）'!$C:$C,$A11,'库存（子SKU）'!AK:AK)</f>
        <v>11</v>
      </c>
      <c r="AJ11">
        <f>SUMIF('库存（子SKU）'!$C:$C,$A11,'库存（子SKU）'!AL:AL)</f>
        <v>11</v>
      </c>
      <c r="AK11">
        <f>SUMIF('库存（子SKU）'!$C:$C,$A11,'库存（子SKU）'!AM:AM)</f>
        <v>12</v>
      </c>
      <c r="AL11" s="23">
        <f t="shared" si="6"/>
        <v>0.285714285714286</v>
      </c>
      <c r="AM11" s="23">
        <f t="shared" si="7"/>
        <v>0.181818181818182</v>
      </c>
      <c r="AN11" s="23">
        <f t="shared" si="8"/>
        <v>0.272727272727273</v>
      </c>
      <c r="AO11" s="23">
        <f t="shared" si="9"/>
        <v>0.25</v>
      </c>
      <c r="AP11" s="8">
        <f t="shared" si="10"/>
        <v>0.285714285714286</v>
      </c>
      <c r="AQ11" s="8">
        <f t="shared" si="11"/>
        <v>17.1428571428571</v>
      </c>
      <c r="AR11" s="8">
        <f t="shared" si="12"/>
        <v>-14.1428571428571</v>
      </c>
      <c r="AS11">
        <f t="shared" si="13"/>
        <v>10</v>
      </c>
      <c r="AT11" s="25">
        <f>IFERROR(时间!$B$4+AS11,"上周无销量")</f>
        <v>43300</v>
      </c>
    </row>
    <row r="12" spans="1:46">
      <c r="A12" t="s">
        <v>198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7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16</v>
      </c>
      <c r="AI12">
        <f>SUMIF('库存（子SKU）'!$C:$C,$A12,'库存（子SKU）'!AK:AK)</f>
        <v>2</v>
      </c>
      <c r="AJ12">
        <f>SUMIF('库存（子SKU）'!$C:$C,$A12,'库存（子SKU）'!AL:AL)</f>
        <v>2</v>
      </c>
      <c r="AK12">
        <f>SUMIF('库存（子SKU）'!$C:$C,$A12,'库存（子SKU）'!AM:AM)</f>
        <v>5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211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1</v>
      </c>
      <c r="F13" s="7">
        <v>25.99</v>
      </c>
      <c r="G13">
        <f>SUMIF('库存（子SKU）'!$C:$C,$A13,'库存（子SKU）'!I:I)</f>
        <v>36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2</v>
      </c>
      <c r="K13">
        <f t="shared" si="0"/>
        <v>38</v>
      </c>
      <c r="L13">
        <f>SUMIF('库存（子SKU）'!$C:$C,$A13,'库存（子SKU）'!N:N)</f>
        <v>0</v>
      </c>
      <c r="M13">
        <f>SUMIF('库存（子SKU）'!$C:$C,$A13,'库存（子SKU）'!O:O)</f>
        <v>38</v>
      </c>
      <c r="N13">
        <f>SUMIF('库存（子SKU）'!$C:$C,$A13,'库存（子SKU）'!P:P)</f>
        <v>398</v>
      </c>
      <c r="O13">
        <f>SUMIF('库存（子SKU）'!$C:$C,$A13,'库存（子SKU）'!Q:Q)</f>
        <v>500</v>
      </c>
      <c r="P13">
        <f>SUMIF('库存（子SKU）'!$C:$C,$A13,'库存（子SKU）'!R:R)</f>
        <v>374</v>
      </c>
      <c r="Q13">
        <f>SUMIF('库存（子SKU）'!$C:$C,$A13,'库存（子SKU）'!S:S)</f>
        <v>683</v>
      </c>
      <c r="R13">
        <f>SUMIF('库存（子SKU）'!$C:$C,$A13,'库存（子SKU）'!T:T)</f>
        <v>1</v>
      </c>
      <c r="S13">
        <f>SUMIF('库存（子SKU）'!$C:$C,$A13,'库存（子SKU）'!U:U)</f>
        <v>2</v>
      </c>
      <c r="T13">
        <f>SUMIF('库存（子SKU）'!$C:$C,$A13,'库存（子SKU）'!V:V)</f>
        <v>4</v>
      </c>
      <c r="U13">
        <f>SUMIF('库存（子SKU）'!$C:$C,$A13,'库存（子SKU）'!W:W)</f>
        <v>5</v>
      </c>
      <c r="V13" s="23">
        <f t="shared" si="15"/>
        <v>0.00251256281407035</v>
      </c>
      <c r="W13" s="23">
        <f t="shared" si="16"/>
        <v>0.004</v>
      </c>
      <c r="X13" s="23">
        <f t="shared" si="17"/>
        <v>0.0106951871657754</v>
      </c>
      <c r="Y13" s="23">
        <f t="shared" si="18"/>
        <v>0.00732064421669107</v>
      </c>
      <c r="Z13">
        <f>SUMIF('库存（子SKU）'!$C:$C,$A13,'库存（子SKU）'!AB:AB)</f>
        <v>0.04</v>
      </c>
      <c r="AA13">
        <f>SUMIF('库存（子SKU）'!$C:$C,$A13,'库存（子SKU）'!AC:AC)</f>
        <v>0.25</v>
      </c>
      <c r="AB13">
        <f>SUMIF('库存（子SKU）'!$C:$C,$A13,'库存（子SKU）'!AD:AD)</f>
        <v>0.61</v>
      </c>
      <c r="AC13">
        <f>SUMIF('库存（子SKU）'!$C:$C,$A13,'库存（子SKU）'!AE:AE)</f>
        <v>0.68</v>
      </c>
      <c r="AD13" s="23" t="str">
        <f t="shared" si="2"/>
        <v>无销量广告费为0.04</v>
      </c>
      <c r="AE13" s="23" t="str">
        <f t="shared" si="3"/>
        <v>无销量广告费为0.25</v>
      </c>
      <c r="AF13" s="23" t="str">
        <f t="shared" si="4"/>
        <v>无销量广告费为0.61</v>
      </c>
      <c r="AG13" s="23">
        <f t="shared" si="5"/>
        <v>0.0261639091958446</v>
      </c>
      <c r="AH13">
        <f>SUMIF('库存（子SKU）'!$C:$C,$A13,'库存（子SKU）'!AJ:AJ)</f>
        <v>41</v>
      </c>
      <c r="AI13">
        <f>SUMIF('库存（子SKU）'!$C:$C,$A13,'库存（子SKU）'!AK:AK)</f>
        <v>16</v>
      </c>
      <c r="AJ13">
        <f>SUMIF('库存（子SKU）'!$C:$C,$A13,'库存（子SKU）'!AL:AL)</f>
        <v>16</v>
      </c>
      <c r="AK13">
        <f>SUMIF('库存（子SKU）'!$C:$C,$A13,'库存（子SKU）'!AM:AM)</f>
        <v>13</v>
      </c>
      <c r="AL13" s="23">
        <f t="shared" si="6"/>
        <v>0</v>
      </c>
      <c r="AM13" s="23">
        <f t="shared" si="7"/>
        <v>0</v>
      </c>
      <c r="AN13" s="23">
        <f t="shared" si="8"/>
        <v>0</v>
      </c>
      <c r="AO13" s="23">
        <f t="shared" si="9"/>
        <v>0.0769230769230769</v>
      </c>
      <c r="AP13" s="8">
        <f t="shared" si="10"/>
        <v>0</v>
      </c>
      <c r="AQ13" s="8">
        <f t="shared" si="11"/>
        <v>0</v>
      </c>
      <c r="AR13" s="8">
        <f t="shared" si="12"/>
        <v>38</v>
      </c>
      <c r="AS13" t="str">
        <f t="shared" si="13"/>
        <v>库存为38</v>
      </c>
      <c r="AT13" s="25" t="str">
        <f>IFERROR(时间!$B$4+AS13,"上周无销量")</f>
        <v>上周无销量</v>
      </c>
    </row>
    <row r="14" spans="1:46">
      <c r="A14" t="s">
        <v>240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8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3</v>
      </c>
      <c r="AL14" s="23">
        <f t="shared" si="6"/>
        <v>0</v>
      </c>
      <c r="AM14" s="23" t="str">
        <f t="shared" si="7"/>
        <v/>
      </c>
      <c r="AN14" s="23" t="str">
        <f t="shared" si="8"/>
        <v/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245</v>
      </c>
      <c r="B15" s="6">
        <f>SUMIF('库存（子SKU）'!$C:$C,$A15,'库存（子SKU）'!D:D)</f>
        <v>1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>
        <v>18.96</v>
      </c>
      <c r="G15">
        <f>SUMIF('库存（子SKU）'!$C:$C,$A15,'库存（子SKU）'!I:I)</f>
        <v>20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20</v>
      </c>
      <c r="L15">
        <f>SUMIF('库存（子SKU）'!$C:$C,$A15,'库存（子SKU）'!N:N)</f>
        <v>0</v>
      </c>
      <c r="M15">
        <f>SUMIF('库存（子SKU）'!$C:$C,$A15,'库存（子SKU）'!O:O)</f>
        <v>17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27</v>
      </c>
      <c r="AI15">
        <f>SUMIF('库存（子SKU）'!$C:$C,$A15,'库存（子SKU）'!AK:AK)</f>
        <v>12</v>
      </c>
      <c r="AJ15">
        <f>SUMIF('库存（子SKU）'!$C:$C,$A15,'库存（子SKU）'!AL:AL)</f>
        <v>12</v>
      </c>
      <c r="AK15">
        <f>SUMIF('库存（子SKU）'!$C:$C,$A15,'库存（子SKU）'!AM:AM)</f>
        <v>10</v>
      </c>
      <c r="AL15" s="23">
        <f t="shared" si="6"/>
        <v>0.037037037037037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8">
        <f t="shared" si="10"/>
        <v>0.142857142857143</v>
      </c>
      <c r="AQ15" s="8">
        <f t="shared" si="11"/>
        <v>8.57142857142857</v>
      </c>
      <c r="AR15" s="8">
        <f t="shared" si="12"/>
        <v>11.4285714285714</v>
      </c>
      <c r="AS15">
        <f t="shared" si="13"/>
        <v>140</v>
      </c>
      <c r="AT15" s="25">
        <f>IFERROR(时间!$B$4+AS15,"上周无销量")</f>
        <v>43430</v>
      </c>
    </row>
    <row r="16" spans="1:46">
      <c r="A16" t="s">
        <v>254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1</v>
      </c>
      <c r="E16" s="6">
        <f>SUMIF('库存（子SKU）'!$C:$C,$A16,'库存（子SKU）'!G:G)</f>
        <v>0</v>
      </c>
      <c r="F16" s="7">
        <v>18.96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>
        <f t="shared" si="4"/>
        <v>0</v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1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0</v>
      </c>
      <c r="AN16" s="23">
        <f t="shared" si="8"/>
        <v>1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273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1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>
        <f t="shared" si="6"/>
        <v>0</v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276</v>
      </c>
      <c r="B18" s="6">
        <f>SUMIF('库存（子SKU）'!$C:$C,$A18,'库存（子SKU）'!D:D)</f>
        <v>1</v>
      </c>
      <c r="C18" s="6">
        <f>SUMIF('库存（子SKU）'!$C:$C,$A18,'库存（子SKU）'!E:E)</f>
        <v>2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>
        <v>15.99</v>
      </c>
      <c r="G18">
        <f>SUMIF('库存（子SKU）'!$C:$C,$A18,'库存（子SKU）'!I:I)</f>
        <v>151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151</v>
      </c>
      <c r="L18">
        <f>SUMIF('库存（子SKU）'!$C:$C,$A18,'库存（子SKU）'!N:N)</f>
        <v>2</v>
      </c>
      <c r="M18">
        <f>SUMIF('库存（子SKU）'!$C:$C,$A18,'库存（子SKU）'!O:O)</f>
        <v>150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>
        <f t="shared" si="3"/>
        <v>0</v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60</v>
      </c>
      <c r="AI18">
        <f>SUMIF('库存（子SKU）'!$C:$C,$A18,'库存（子SKU）'!AK:AK)</f>
        <v>23</v>
      </c>
      <c r="AJ18">
        <f>SUMIF('库存（子SKU）'!$C:$C,$A18,'库存（子SKU）'!AL:AL)</f>
        <v>23</v>
      </c>
      <c r="AK18">
        <f>SUMIF('库存（子SKU）'!$C:$C,$A18,'库存（子SKU）'!AM:AM)</f>
        <v>29</v>
      </c>
      <c r="AL18" s="23">
        <f t="shared" si="6"/>
        <v>0.0166666666666667</v>
      </c>
      <c r="AM18" s="23">
        <f t="shared" si="7"/>
        <v>0.0869565217391304</v>
      </c>
      <c r="AN18" s="23">
        <f t="shared" si="8"/>
        <v>0</v>
      </c>
      <c r="AO18" s="23">
        <f t="shared" si="9"/>
        <v>0</v>
      </c>
      <c r="AP18" s="8">
        <f t="shared" si="10"/>
        <v>0.142857142857143</v>
      </c>
      <c r="AQ18" s="8">
        <f t="shared" si="11"/>
        <v>8.57142857142857</v>
      </c>
      <c r="AR18" s="8">
        <f t="shared" si="12"/>
        <v>142.428571428571</v>
      </c>
      <c r="AS18">
        <f t="shared" si="13"/>
        <v>1057</v>
      </c>
      <c r="AT18" s="25">
        <f>IFERROR(时间!$B$4+AS18,"上周无销量")</f>
        <v>44347</v>
      </c>
    </row>
    <row r="19" spans="1:46">
      <c r="A19" t="s">
        <v>347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5" t="str">
        <f>IFERROR(时间!$B$4+AS19,"上周无销量")</f>
        <v>上周无销量</v>
      </c>
    </row>
    <row r="20" spans="1:46">
      <c r="A20" t="s">
        <v>352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3</v>
      </c>
      <c r="E20" s="6">
        <f>SUMIF('库存（子SKU）'!$C:$C,$A20,'库存（子SKU）'!G:G)</f>
        <v>0</v>
      </c>
      <c r="F20" s="7">
        <v>16.99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5</v>
      </c>
      <c r="L20">
        <f>SUMIF('库存（子SKU）'!$C:$C,$A20,'库存（子SKU）'!N:N)</f>
        <v>0</v>
      </c>
      <c r="M20">
        <f>SUMIF('库存（子SKU）'!$C:$C,$A20,'库存（子SKU）'!O:O)</f>
        <v>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>
        <f t="shared" si="4"/>
        <v>0</v>
      </c>
      <c r="AG20" s="23" t="str">
        <f t="shared" si="5"/>
        <v/>
      </c>
      <c r="AH20">
        <f>SUMIF('库存（子SKU）'!$C:$C,$A20,'库存（子SKU）'!AJ:AJ)</f>
        <v>18</v>
      </c>
      <c r="AI20">
        <f>SUMIF('库存（子SKU）'!$C:$C,$A20,'库存（子SKU）'!AK:AK)</f>
        <v>8</v>
      </c>
      <c r="AJ20">
        <f>SUMIF('库存（子SKU）'!$C:$C,$A20,'库存（子SKU）'!AL:AL)</f>
        <v>8</v>
      </c>
      <c r="AK20">
        <f>SUMIF('库存（子SKU）'!$C:$C,$A20,'库存（子SKU）'!AM:AM)</f>
        <v>15</v>
      </c>
      <c r="AL20" s="23">
        <f t="shared" si="6"/>
        <v>0</v>
      </c>
      <c r="AM20" s="23">
        <f t="shared" si="7"/>
        <v>0</v>
      </c>
      <c r="AN20" s="23">
        <f t="shared" si="8"/>
        <v>0.375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5</v>
      </c>
      <c r="AS20" t="str">
        <f t="shared" si="13"/>
        <v>库存为5</v>
      </c>
      <c r="AT20" s="25" t="str">
        <f>IFERROR(时间!$B$4+AS20,"上周无销量")</f>
        <v>上周无销量</v>
      </c>
    </row>
    <row r="21" spans="1:46">
      <c r="A21" t="s">
        <v>361</v>
      </c>
      <c r="B21" s="6">
        <f>SUMIF('库存（子SKU）'!$C:$C,$A21,'库存（子SKU）'!D:D)</f>
        <v>0</v>
      </c>
      <c r="C21" s="6">
        <f>SUMIF('库存（子SKU）'!$C:$C,$A21,'库存（子SKU）'!E:E)</f>
        <v>1</v>
      </c>
      <c r="D21" s="6">
        <f>SUMIF('库存（子SKU）'!$C:$C,$A21,'库存（子SKU）'!F:F)</f>
        <v>0</v>
      </c>
      <c r="E21" s="6">
        <f>SUMIF('库存（子SKU）'!$C:$C,$A21,'库存（子SKU）'!G:G)</f>
        <v>1</v>
      </c>
      <c r="F21" s="7">
        <v>19.99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>
        <f t="shared" si="3"/>
        <v>0</v>
      </c>
      <c r="AF21" s="23" t="str">
        <f t="shared" si="4"/>
        <v/>
      </c>
      <c r="AG21" s="23">
        <f t="shared" si="5"/>
        <v>0</v>
      </c>
      <c r="AH21">
        <f>SUMIF('库存（子SKU）'!$C:$C,$A21,'库存（子SKU）'!AJ:AJ)</f>
        <v>28</v>
      </c>
      <c r="AI21">
        <f>SUMIF('库存（子SKU）'!$C:$C,$A21,'库存（子SKU）'!AK:AK)</f>
        <v>32</v>
      </c>
      <c r="AJ21">
        <f>SUMIF('库存（子SKU）'!$C:$C,$A21,'库存（子SKU）'!AL:AL)</f>
        <v>32</v>
      </c>
      <c r="AK21">
        <f>SUMIF('库存（子SKU）'!$C:$C,$A21,'库存（子SKU）'!AM:AM)</f>
        <v>6</v>
      </c>
      <c r="AL21" s="23">
        <f t="shared" si="6"/>
        <v>0</v>
      </c>
      <c r="AM21" s="23">
        <f t="shared" si="7"/>
        <v>0.03125</v>
      </c>
      <c r="AN21" s="23">
        <f t="shared" si="8"/>
        <v>0</v>
      </c>
      <c r="AO21" s="23">
        <f t="shared" si="9"/>
        <v>0.166666666666667</v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5" t="str">
        <f>IFERROR(时间!$B$4+AS21,"上周无销量")</f>
        <v>上周无销量</v>
      </c>
    </row>
    <row r="22" spans="1:46">
      <c r="A22" t="s">
        <v>376</v>
      </c>
      <c r="B22" s="6">
        <f>SUMIF('库存（子SKU）'!$C:$C,$A22,'库存（子SKU）'!D:D)</f>
        <v>2</v>
      </c>
      <c r="C22" s="6">
        <f>SUMIF('库存（子SKU）'!$C:$C,$A22,'库存（子SKU）'!E:E)</f>
        <v>1</v>
      </c>
      <c r="D22" s="6">
        <f>SUMIF('库存（子SKU）'!$C:$C,$A22,'库存（子SKU）'!F:F)</f>
        <v>0</v>
      </c>
      <c r="E22" s="6">
        <f>SUMIF('库存（子SKU）'!$C:$C,$A22,'库存（子SKU）'!G:G)</f>
        <v>1</v>
      </c>
      <c r="F22" s="7">
        <v>18.99</v>
      </c>
      <c r="G22">
        <f>SUMIF('库存（子SKU）'!$C:$C,$A22,'库存（子SKU）'!I:I)</f>
        <v>244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244</v>
      </c>
      <c r="L22">
        <f>SUMIF('库存（子SKU）'!$C:$C,$A22,'库存（子SKU）'!N:N)</f>
        <v>0</v>
      </c>
      <c r="M22">
        <f>SUMIF('库存（子SKU）'!$C:$C,$A22,'库存（子SKU）'!O:O)</f>
        <v>223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 t="str">
        <f t="shared" si="4"/>
        <v/>
      </c>
      <c r="AG22" s="23">
        <f t="shared" si="5"/>
        <v>0</v>
      </c>
      <c r="AH22">
        <f>SUMIF('库存（子SKU）'!$C:$C,$A22,'库存（子SKU）'!AJ:AJ)</f>
        <v>59</v>
      </c>
      <c r="AI22">
        <f>SUMIF('库存（子SKU）'!$C:$C,$A22,'库存（子SKU）'!AK:AK)</f>
        <v>49</v>
      </c>
      <c r="AJ22">
        <f>SUMIF('库存（子SKU）'!$C:$C,$A22,'库存（子SKU）'!AL:AL)</f>
        <v>49</v>
      </c>
      <c r="AK22">
        <f>SUMIF('库存（子SKU）'!$C:$C,$A22,'库存（子SKU）'!AM:AM)</f>
        <v>31</v>
      </c>
      <c r="AL22" s="23">
        <f t="shared" si="6"/>
        <v>0.0338983050847458</v>
      </c>
      <c r="AM22" s="23">
        <f t="shared" si="7"/>
        <v>0.0204081632653061</v>
      </c>
      <c r="AN22" s="23">
        <f t="shared" si="8"/>
        <v>0</v>
      </c>
      <c r="AO22" s="23">
        <f t="shared" si="9"/>
        <v>0.032258064516129</v>
      </c>
      <c r="AP22" s="8">
        <f t="shared" si="10"/>
        <v>0.285714285714286</v>
      </c>
      <c r="AQ22" s="8">
        <f t="shared" si="11"/>
        <v>17.1428571428571</v>
      </c>
      <c r="AR22" s="8">
        <f t="shared" si="12"/>
        <v>226.857142857143</v>
      </c>
      <c r="AS22">
        <f t="shared" si="13"/>
        <v>854</v>
      </c>
      <c r="AT22" s="25">
        <f>IFERROR(时间!$B$4+AS22,"上周无销量")</f>
        <v>44144</v>
      </c>
    </row>
    <row r="23" spans="1:46">
      <c r="A23" t="s">
        <v>453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1</v>
      </c>
      <c r="AS23" t="str">
        <f t="shared" si="13"/>
        <v>库存为1</v>
      </c>
      <c r="AT23" s="25" t="str">
        <f>IFERROR(时间!$B$4+AS23,"上周无销量")</f>
        <v>上周无销量</v>
      </c>
    </row>
    <row r="24" spans="1:46">
      <c r="A24" t="s">
        <v>460</v>
      </c>
      <c r="B24" s="6">
        <f>SUMIF('库存（子SKU）'!$C:$C,$A24,'库存（子SKU）'!D:D)</f>
        <v>19</v>
      </c>
      <c r="C24" s="6">
        <f>SUMIF('库存（子SKU）'!$C:$C,$A24,'库存（子SKU）'!E:E)</f>
        <v>39</v>
      </c>
      <c r="D24" s="6">
        <f>SUMIF('库存（子SKU）'!$C:$C,$A24,'库存（子SKU）'!F:F)</f>
        <v>32</v>
      </c>
      <c r="E24" s="6">
        <f>SUMIF('库存（子SKU）'!$C:$C,$A24,'库存（子SKU）'!G:G)</f>
        <v>39</v>
      </c>
      <c r="F24" s="7">
        <v>16.1605426356589</v>
      </c>
      <c r="G24">
        <f>SUMIF('库存（子SKU）'!$C:$C,$A24,'库存（子SKU）'!I:I)</f>
        <v>64</v>
      </c>
      <c r="H24">
        <f>SUMIF('库存（子SKU）'!$C:$C,$A24,'库存（子SKU）'!J:J)</f>
        <v>20</v>
      </c>
      <c r="I24">
        <f>SUMIF('库存（子SKU）'!$C:$C,$A24,'库存（子SKU）'!K:K)</f>
        <v>0</v>
      </c>
      <c r="J24">
        <f>SUMIF('库存（子SKU）'!$C:$C,$A24,'库存（子SKU）'!L:L)</f>
        <v>2</v>
      </c>
      <c r="K24">
        <f t="shared" si="0"/>
        <v>86</v>
      </c>
      <c r="L24">
        <f>SUMIF('库存（子SKU）'!$C:$C,$A24,'库存（子SKU）'!N:N)</f>
        <v>4</v>
      </c>
      <c r="M24">
        <f>SUMIF('库存（子SKU）'!$C:$C,$A24,'库存（子SKU）'!O:O)</f>
        <v>0</v>
      </c>
      <c r="N24">
        <f>SUMIF('库存（子SKU）'!$C:$C,$A24,'库存（子SKU）'!P:P)</f>
        <v>35621</v>
      </c>
      <c r="O24">
        <f>SUMIF('库存（子SKU）'!$C:$C,$A24,'库存（子SKU）'!Q:Q)</f>
        <v>78365</v>
      </c>
      <c r="P24">
        <f>SUMIF('库存（子SKU）'!$C:$C,$A24,'库存（子SKU）'!R:R)</f>
        <v>146273</v>
      </c>
      <c r="Q24">
        <f>SUMIF('库存（子SKU）'!$C:$C,$A24,'库存（子SKU）'!S:S)</f>
        <v>135005</v>
      </c>
      <c r="R24">
        <f>SUMIF('库存（子SKU）'!$C:$C,$A24,'库存（子SKU）'!T:T)</f>
        <v>191</v>
      </c>
      <c r="S24">
        <f>SUMIF('库存（子SKU）'!$C:$C,$A24,'库存（子SKU）'!U:U)</f>
        <v>299</v>
      </c>
      <c r="T24">
        <f>SUMIF('库存（子SKU）'!$C:$C,$A24,'库存（子SKU）'!V:V)</f>
        <v>428</v>
      </c>
      <c r="U24">
        <f>SUMIF('库存（子SKU）'!$C:$C,$A24,'库存（子SKU）'!W:W)</f>
        <v>703</v>
      </c>
      <c r="V24" s="23">
        <f t="shared" si="15"/>
        <v>0.00536200555851885</v>
      </c>
      <c r="W24" s="23">
        <f t="shared" si="16"/>
        <v>0.00381547884897595</v>
      </c>
      <c r="X24" s="23">
        <f t="shared" si="17"/>
        <v>0.00292603556363786</v>
      </c>
      <c r="Y24" s="23">
        <f t="shared" si="18"/>
        <v>0.00520721454760935</v>
      </c>
      <c r="Z24">
        <f>SUMIF('库存（子SKU）'!$C:$C,$A24,'库存（子SKU）'!AB:AB)</f>
        <v>46.12</v>
      </c>
      <c r="AA24">
        <f>SUMIF('库存（子SKU）'!$C:$C,$A24,'库存（子SKU）'!AC:AC)</f>
        <v>86.15</v>
      </c>
      <c r="AB24">
        <f>SUMIF('库存（子SKU）'!$C:$C,$A24,'库存（子SKU）'!AD:AD)</f>
        <v>122.28</v>
      </c>
      <c r="AC24">
        <f>SUMIF('库存（子SKU）'!$C:$C,$A24,'库存（子SKU）'!AE:AE)</f>
        <v>212.08</v>
      </c>
      <c r="AD24" s="23">
        <f t="shared" si="2"/>
        <v>0.150203398226031</v>
      </c>
      <c r="AE24" s="23">
        <f t="shared" si="3"/>
        <v>0.136689367973336</v>
      </c>
      <c r="AF24" s="23">
        <f t="shared" si="4"/>
        <v>0.236455550172446</v>
      </c>
      <c r="AG24" s="23">
        <f t="shared" si="5"/>
        <v>0.336495428436274</v>
      </c>
      <c r="AH24">
        <f>SUMIF('库存（子SKU）'!$C:$C,$A24,'库存（子SKU）'!AJ:AJ)</f>
        <v>127</v>
      </c>
      <c r="AI24">
        <f>SUMIF('库存（子SKU）'!$C:$C,$A24,'库存（子SKU）'!AK:AK)</f>
        <v>212</v>
      </c>
      <c r="AJ24">
        <f>SUMIF('库存（子SKU）'!$C:$C,$A24,'库存（子SKU）'!AL:AL)</f>
        <v>212</v>
      </c>
      <c r="AK24">
        <f>SUMIF('库存（子SKU）'!$C:$C,$A24,'库存（子SKU）'!AM:AM)</f>
        <v>301</v>
      </c>
      <c r="AL24" s="23">
        <f t="shared" si="6"/>
        <v>0.149606299212598</v>
      </c>
      <c r="AM24" s="23">
        <f t="shared" si="7"/>
        <v>0.183962264150943</v>
      </c>
      <c r="AN24" s="23">
        <f t="shared" si="8"/>
        <v>0.150943396226415</v>
      </c>
      <c r="AO24" s="23">
        <f t="shared" si="9"/>
        <v>0.129568106312292</v>
      </c>
      <c r="AP24" s="8">
        <f t="shared" si="10"/>
        <v>2.71428571428571</v>
      </c>
      <c r="AQ24" s="8">
        <f t="shared" si="11"/>
        <v>162.857142857143</v>
      </c>
      <c r="AR24" s="8">
        <f t="shared" si="12"/>
        <v>-76.8571428571429</v>
      </c>
      <c r="AS24">
        <f t="shared" si="13"/>
        <v>31</v>
      </c>
      <c r="AT24" s="25">
        <f>IFERROR(时间!$B$4+AS24,"上周无销量")</f>
        <v>43321</v>
      </c>
    </row>
    <row r="25" spans="1:46">
      <c r="A25" t="s">
        <v>493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1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>
        <f t="shared" si="6"/>
        <v>0</v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1</v>
      </c>
      <c r="AS25" t="str">
        <f t="shared" si="13"/>
        <v>库存为1</v>
      </c>
      <c r="AT25" s="25" t="str">
        <f>IFERROR(时间!$B$4+AS25,"上周无销量")</f>
        <v>上周无销量</v>
      </c>
    </row>
    <row r="26" spans="1:46">
      <c r="A26" t="s">
        <v>496</v>
      </c>
      <c r="B26" s="6">
        <f>SUMIF('库存（子SKU）'!$C:$C,$A26,'库存（子SKU）'!D:D)</f>
        <v>0</v>
      </c>
      <c r="C26" s="6">
        <f>SUMIF('库存（子SKU）'!$C:$C,$A26,'库存（子SKU）'!E:E)</f>
        <v>1</v>
      </c>
      <c r="D26" s="6">
        <f>SUMIF('库存（子SKU）'!$C:$C,$A26,'库存（子SKU）'!F:F)</f>
        <v>2</v>
      </c>
      <c r="E26" s="6">
        <f>SUMIF('库存（子SKU）'!$C:$C,$A26,'库存（子SKU）'!G:G)</f>
        <v>1</v>
      </c>
      <c r="F26" s="7">
        <v>17.49</v>
      </c>
      <c r="G26">
        <f>SUMIF('库存（子SKU）'!$C:$C,$A26,'库存（子SKU）'!I:I)</f>
        <v>4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>
        <f t="shared" si="3"/>
        <v>0</v>
      </c>
      <c r="AF26" s="23">
        <f t="shared" si="4"/>
        <v>0</v>
      </c>
      <c r="AG26" s="23">
        <f t="shared" si="5"/>
        <v>0</v>
      </c>
      <c r="AH26">
        <f>SUMIF('库存（子SKU）'!$C:$C,$A26,'库存（子SKU）'!AJ:AJ)</f>
        <v>10</v>
      </c>
      <c r="AI26">
        <f>SUMIF('库存（子SKU）'!$C:$C,$A26,'库存（子SKU）'!AK:AK)</f>
        <v>6</v>
      </c>
      <c r="AJ26">
        <f>SUMIF('库存（子SKU）'!$C:$C,$A26,'库存（子SKU）'!AL:AL)</f>
        <v>6</v>
      </c>
      <c r="AK26">
        <f>SUMIF('库存（子SKU）'!$C:$C,$A26,'库存（子SKU）'!AM:AM)</f>
        <v>8</v>
      </c>
      <c r="AL26" s="23">
        <f t="shared" si="6"/>
        <v>0</v>
      </c>
      <c r="AM26" s="23">
        <f t="shared" si="7"/>
        <v>0.166666666666667</v>
      </c>
      <c r="AN26" s="23">
        <f t="shared" si="8"/>
        <v>0.333333333333333</v>
      </c>
      <c r="AO26" s="23">
        <f t="shared" si="9"/>
        <v>0.125</v>
      </c>
      <c r="AP26" s="8">
        <f t="shared" si="10"/>
        <v>0</v>
      </c>
      <c r="AQ26" s="8">
        <f t="shared" si="11"/>
        <v>0</v>
      </c>
      <c r="AR26" s="8">
        <f t="shared" si="12"/>
        <v>4</v>
      </c>
      <c r="AS26" t="str">
        <f t="shared" si="13"/>
        <v>库存为4</v>
      </c>
      <c r="AT26" s="25" t="str">
        <f>IFERROR(时间!$B$4+AS26,"上周无销量")</f>
        <v>上周无销量</v>
      </c>
    </row>
    <row r="27" spans="1:46">
      <c r="A27" t="s">
        <v>505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45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45</v>
      </c>
      <c r="L27">
        <f>SUMIF('库存（子SKU）'!$C:$C,$A27,'库存（子SKU）'!N:N)</f>
        <v>0</v>
      </c>
      <c r="M27">
        <f>SUMIF('库存（子SKU）'!$C:$C,$A27,'库存（子SKU）'!O:O)</f>
        <v>25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45</v>
      </c>
      <c r="AS27" t="str">
        <f t="shared" si="13"/>
        <v>库存为45</v>
      </c>
      <c r="AT27" s="25" t="str">
        <f>IFERROR(时间!$B$4+AS27,"上周无销量")</f>
        <v>上周无销量</v>
      </c>
    </row>
    <row r="28" spans="1:46">
      <c r="A28" t="s">
        <v>530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533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7</v>
      </c>
      <c r="AI29">
        <f>SUMIF('库存（子SKU）'!$C:$C,$A29,'库存（子SKU）'!AK:AK)</f>
        <v>3</v>
      </c>
      <c r="AJ29">
        <f>SUMIF('库存（子SKU）'!$C:$C,$A29,'库存（子SKU）'!AL:AL)</f>
        <v>3</v>
      </c>
      <c r="AK29">
        <f>SUMIF('库存（子SKU）'!$C:$C,$A29,'库存（子SKU）'!AM:AM)</f>
        <v>2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5" t="str">
        <f>IFERROR(时间!$B$4+AS29,"上周无销量")</f>
        <v>上周无销量</v>
      </c>
    </row>
    <row r="30" spans="1:46">
      <c r="A30" t="s">
        <v>538</v>
      </c>
      <c r="B30" s="6">
        <f>SUMIF('库存（子SKU）'!$C:$C,$A30,'库存（子SKU）'!D:D)</f>
        <v>0</v>
      </c>
      <c r="C30" s="6">
        <f>SUMIF('库存（子SKU）'!$C:$C,$A30,'库存（子SKU）'!E:E)</f>
        <v>1</v>
      </c>
      <c r="D30" s="6">
        <f>SUMIF('库存（子SKU）'!$C:$C,$A30,'库存（子SKU）'!F:F)</f>
        <v>1</v>
      </c>
      <c r="E30" s="6">
        <f>SUMIF('库存（子SKU）'!$C:$C,$A30,'库存（子SKU）'!G:G)</f>
        <v>1</v>
      </c>
      <c r="F30" s="7">
        <v>16.99</v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1</v>
      </c>
      <c r="M30">
        <f>SUMIF('库存（子SKU）'!$C:$C,$A30,'库存（子SKU）'!O:O)</f>
        <v>4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>
        <f t="shared" si="3"/>
        <v>0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6</v>
      </c>
      <c r="AI30">
        <f>SUMIF('库存（子SKU）'!$C:$C,$A30,'库存（子SKU）'!AK:AK)</f>
        <v>2</v>
      </c>
      <c r="AJ30">
        <f>SUMIF('库存（子SKU）'!$C:$C,$A30,'库存（子SKU）'!AL:AL)</f>
        <v>2</v>
      </c>
      <c r="AK30">
        <f>SUMIF('库存（子SKU）'!$C:$C,$A30,'库存（子SKU）'!AM:AM)</f>
        <v>7</v>
      </c>
      <c r="AL30" s="23">
        <f t="shared" si="6"/>
        <v>0</v>
      </c>
      <c r="AM30" s="23">
        <f t="shared" si="7"/>
        <v>0.5</v>
      </c>
      <c r="AN30" s="23">
        <f t="shared" si="8"/>
        <v>0.5</v>
      </c>
      <c r="AO30" s="23">
        <f t="shared" si="9"/>
        <v>0.142857142857143</v>
      </c>
      <c r="AP30" s="8">
        <f t="shared" si="10"/>
        <v>0</v>
      </c>
      <c r="AQ30" s="8">
        <f t="shared" si="11"/>
        <v>0</v>
      </c>
      <c r="AR30" s="8">
        <f t="shared" si="12"/>
        <v>3</v>
      </c>
      <c r="AS30" t="str">
        <f t="shared" si="13"/>
        <v>库存为3</v>
      </c>
      <c r="AT30" s="25" t="str">
        <f>IFERROR(时间!$B$4+AS30,"上周无销量")</f>
        <v>上周无销量</v>
      </c>
    </row>
    <row r="31" spans="1:46">
      <c r="A31" t="s">
        <v>545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2</v>
      </c>
      <c r="AJ31">
        <f>SUMIF('库存（子SKU）'!$C:$C,$A31,'库存（子SKU）'!AL:AL)</f>
        <v>2</v>
      </c>
      <c r="AK31">
        <f>SUMIF('库存（子SKU）'!$C:$C,$A31,'库存（子SKU）'!AM:AM)</f>
        <v>0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 t="str">
        <f t="shared" si="9"/>
        <v/>
      </c>
      <c r="AP31" s="8">
        <f t="shared" si="10"/>
        <v>0</v>
      </c>
      <c r="AQ31" s="8">
        <f t="shared" si="11"/>
        <v>0</v>
      </c>
      <c r="AR31" s="8">
        <f t="shared" si="12"/>
        <v>1</v>
      </c>
      <c r="AS31" t="str">
        <f t="shared" si="13"/>
        <v>库存为1</v>
      </c>
      <c r="AT31" s="25" t="str">
        <f>IFERROR(时间!$B$4+AS31,"上周无销量")</f>
        <v>上周无销量</v>
      </c>
    </row>
    <row r="32" spans="1:46">
      <c r="A32" t="s">
        <v>548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6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2</v>
      </c>
      <c r="AI32">
        <f>SUMIF('库存（子SKU）'!$C:$C,$A32,'库存（子SKU）'!AK:AK)</f>
        <v>2</v>
      </c>
      <c r="AJ32">
        <f>SUMIF('库存（子SKU）'!$C:$C,$A32,'库存（子SKU）'!AL:AL)</f>
        <v>2</v>
      </c>
      <c r="AK32">
        <f>SUMIF('库存（子SKU）'!$C:$C,$A32,'库存（子SKU）'!AM:AM)</f>
        <v>0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6</v>
      </c>
      <c r="AS32" t="str">
        <f t="shared" si="13"/>
        <v>库存为6</v>
      </c>
      <c r="AT32" s="25" t="str">
        <f>IFERROR(时间!$B$4+AS32,"上周无销量")</f>
        <v>上周无销量</v>
      </c>
    </row>
    <row r="33" spans="1:46">
      <c r="A33" t="s">
        <v>553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2</v>
      </c>
      <c r="AI33">
        <f>SUMIF('库存（子SKU）'!$C:$C,$A33,'库存（子SKU）'!AK:AK)</f>
        <v>5</v>
      </c>
      <c r="AJ33">
        <f>SUMIF('库存（子SKU）'!$C:$C,$A33,'库存（子SKU）'!AL:AL)</f>
        <v>5</v>
      </c>
      <c r="AK33">
        <f>SUMIF('库存（子SKU）'!$C:$C,$A33,'库存（子SKU）'!AM:AM)</f>
        <v>6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</v>
      </c>
      <c r="AS33" t="str">
        <f t="shared" si="13"/>
        <v>库存为2</v>
      </c>
      <c r="AT33" s="25" t="str">
        <f>IFERROR(时间!$B$4+AS33,"上周无销量")</f>
        <v>上周无销量</v>
      </c>
    </row>
    <row r="34" spans="1:46">
      <c r="A34" t="s">
        <v>558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6</v>
      </c>
      <c r="L34">
        <f>SUMIF('库存（子SKU）'!$C:$C,$A34,'库存（子SKU）'!N:N)</f>
        <v>1</v>
      </c>
      <c r="M34">
        <f>SUMIF('库存（子SKU）'!$C:$C,$A34,'库存（子SKU）'!O:O)</f>
        <v>6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11</v>
      </c>
      <c r="AI34">
        <f>SUMIF('库存（子SKU）'!$C:$C,$A34,'库存（子SKU）'!AK:AK)</f>
        <v>4</v>
      </c>
      <c r="AJ34">
        <f>SUMIF('库存（子SKU）'!$C:$C,$A34,'库存（子SKU）'!AL:AL)</f>
        <v>4</v>
      </c>
      <c r="AK34">
        <f>SUMIF('库存（子SKU）'!$C:$C,$A34,'库存（子SKU）'!AM:AM)</f>
        <v>4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6</v>
      </c>
      <c r="AS34" t="str">
        <f t="shared" si="13"/>
        <v>库存为6</v>
      </c>
      <c r="AT34" s="25" t="str">
        <f>IFERROR(时间!$B$4+AS34,"上周无销量")</f>
        <v>上周无销量</v>
      </c>
    </row>
    <row r="35" spans="1:46">
      <c r="A35" t="s">
        <v>571</v>
      </c>
      <c r="B35" s="6">
        <f>SUMIF('库存（子SKU）'!$C:$C,$A35,'库存（子SKU）'!D:D)</f>
        <v>0</v>
      </c>
      <c r="C35" s="6">
        <f>SUMIF('库存（子SKU）'!$C:$C,$A35,'库存（子SKU）'!E:E)</f>
        <v>2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v>19.49</v>
      </c>
      <c r="G35">
        <f>SUMIF('库存（子SKU）'!$C:$C,$A35,'库存（子SKU）'!I:I)</f>
        <v>54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54</v>
      </c>
      <c r="L35">
        <f>SUMIF('库存（子SKU）'!$C:$C,$A35,'库存（子SKU）'!N:N)</f>
        <v>1</v>
      </c>
      <c r="M35">
        <f>SUMIF('库存（子SKU）'!$C:$C,$A35,'库存（子SKU）'!O:O)</f>
        <v>52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</v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22</v>
      </c>
      <c r="AI35">
        <f>SUMIF('库存（子SKU）'!$C:$C,$A35,'库存（子SKU）'!AK:AK)</f>
        <v>17</v>
      </c>
      <c r="AJ35">
        <f>SUMIF('库存（子SKU）'!$C:$C,$A35,'库存（子SKU）'!AL:AL)</f>
        <v>17</v>
      </c>
      <c r="AK35">
        <f>SUMIF('库存（子SKU）'!$C:$C,$A35,'库存（子SKU）'!AM:AM)</f>
        <v>6</v>
      </c>
      <c r="AL35" s="23">
        <f t="shared" si="6"/>
        <v>0</v>
      </c>
      <c r="AM35" s="23">
        <f t="shared" si="7"/>
        <v>0.117647058823529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54</v>
      </c>
      <c r="AS35" t="str">
        <f t="shared" si="13"/>
        <v>库存为54</v>
      </c>
      <c r="AT35" s="25" t="str">
        <f>IFERROR(时间!$B$4+AS35,"上周无销量")</f>
        <v>上周无销量</v>
      </c>
    </row>
    <row r="36" spans="1:46">
      <c r="A36" t="s">
        <v>616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28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28</v>
      </c>
      <c r="L36">
        <f>SUMIF('库存（子SKU）'!$C:$C,$A36,'库存（子SKU）'!N:N)</f>
        <v>0</v>
      </c>
      <c r="M36">
        <f>SUMIF('库存（子SKU）'!$C:$C,$A36,'库存（子SKU）'!O:O)</f>
        <v>24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13</v>
      </c>
      <c r="AI36">
        <f>SUMIF('库存（子SKU）'!$C:$C,$A36,'库存（子SKU）'!AK:AK)</f>
        <v>3</v>
      </c>
      <c r="AJ36">
        <f>SUMIF('库存（子SKU）'!$C:$C,$A36,'库存（子SKU）'!AL:AL)</f>
        <v>3</v>
      </c>
      <c r="AK36">
        <f>SUMIF('库存（子SKU）'!$C:$C,$A36,'库存（子SKU）'!AM:AM)</f>
        <v>13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28</v>
      </c>
      <c r="AS36" t="str">
        <f t="shared" si="13"/>
        <v>库存为28</v>
      </c>
      <c r="AT36" s="25" t="str">
        <f>IFERROR(时间!$B$4+AS36,"上周无销量")</f>
        <v>上周无销量</v>
      </c>
    </row>
    <row r="37" spans="1:46">
      <c r="A37" t="s">
        <v>639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18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18</v>
      </c>
      <c r="L37">
        <f>SUMIF('库存（子SKU）'!$C:$C,$A37,'库存（子SKU）'!N:N)</f>
        <v>0</v>
      </c>
      <c r="M37">
        <f>SUMIF('库存（子SKU）'!$C:$C,$A37,'库存（子SKU）'!O:O)</f>
        <v>17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15</v>
      </c>
      <c r="AI37">
        <f>SUMIF('库存（子SKU）'!$C:$C,$A37,'库存（子SKU）'!AK:AK)</f>
        <v>4</v>
      </c>
      <c r="AJ37">
        <f>SUMIF('库存（子SKU）'!$C:$C,$A37,'库存（子SKU）'!AL:AL)</f>
        <v>4</v>
      </c>
      <c r="AK37">
        <f>SUMIF('库存（子SKU）'!$C:$C,$A37,'库存（子SKU）'!AM:AM)</f>
        <v>8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18</v>
      </c>
      <c r="AS37" t="str">
        <f t="shared" si="13"/>
        <v>库存为18</v>
      </c>
      <c r="AT37" s="25" t="str">
        <f>IFERROR(时间!$B$4+AS37,"上周无销量")</f>
        <v>上周无销量</v>
      </c>
    </row>
    <row r="38" spans="1:46">
      <c r="A38" t="s">
        <v>654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657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1</v>
      </c>
      <c r="F39" s="7">
        <v>9.98</v>
      </c>
      <c r="G39">
        <f>SUMIF('库存（子SKU）'!$C:$C,$A39,'库存（子SKU）'!I:I)</f>
        <v>11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11</v>
      </c>
      <c r="L39">
        <f>SUMIF('库存（子SKU）'!$C:$C,$A39,'库存（子SKU）'!N:N)</f>
        <v>0</v>
      </c>
      <c r="M39">
        <f>SUMIF('库存（子SKU）'!$C:$C,$A39,'库存（子SKU）'!O:O)</f>
        <v>11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>
        <f t="shared" si="5"/>
        <v>0</v>
      </c>
      <c r="AH39">
        <f>SUMIF('库存（子SKU）'!$C:$C,$A39,'库存（子SKU）'!AJ:AJ)</f>
        <v>5</v>
      </c>
      <c r="AI39">
        <f>SUMIF('库存（子SKU）'!$C:$C,$A39,'库存（子SKU）'!AK:AK)</f>
        <v>6</v>
      </c>
      <c r="AJ39">
        <f>SUMIF('库存（子SKU）'!$C:$C,$A39,'库存（子SKU）'!AL:AL)</f>
        <v>6</v>
      </c>
      <c r="AK39">
        <f>SUMIF('库存（子SKU）'!$C:$C,$A39,'库存（子SKU）'!AM:AM)</f>
        <v>1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1</v>
      </c>
      <c r="AP39" s="8">
        <f t="shared" si="10"/>
        <v>0</v>
      </c>
      <c r="AQ39" s="8">
        <f t="shared" si="11"/>
        <v>0</v>
      </c>
      <c r="AR39" s="8">
        <f t="shared" si="12"/>
        <v>11</v>
      </c>
      <c r="AS39" t="str">
        <f t="shared" si="13"/>
        <v>库存为11</v>
      </c>
      <c r="AT39" s="25" t="str">
        <f>IFERROR(时间!$B$4+AS39,"上周无销量")</f>
        <v>上周无销量</v>
      </c>
    </row>
    <row r="40" spans="1:46">
      <c r="A40" t="s">
        <v>666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671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29</v>
      </c>
      <c r="L41">
        <f>SUMIF('库存（子SKU）'!$C:$C,$A41,'库存（子SKU）'!N:N)</f>
        <v>0</v>
      </c>
      <c r="M41">
        <f>SUMIF('库存（子SKU）'!$C:$C,$A41,'库存（子SKU）'!O:O)</f>
        <v>27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16</v>
      </c>
      <c r="AI41">
        <f>SUMIF('库存（子SKU）'!$C:$C,$A41,'库存（子SKU）'!AK:AK)</f>
        <v>7</v>
      </c>
      <c r="AJ41">
        <f>SUMIF('库存（子SKU）'!$C:$C,$A41,'库存（子SKU）'!AL:AL)</f>
        <v>7</v>
      </c>
      <c r="AK41">
        <f>SUMIF('库存（子SKU）'!$C:$C,$A41,'库存（子SKU）'!AM:AM)</f>
        <v>9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29</v>
      </c>
      <c r="AS41" t="str">
        <f t="shared" si="13"/>
        <v>库存为29</v>
      </c>
      <c r="AT41" s="25" t="str">
        <f>IFERROR(时间!$B$4+AS41,"上周无销量")</f>
        <v>上周无销量</v>
      </c>
    </row>
    <row r="42" spans="1:46">
      <c r="A42" t="s">
        <v>680</v>
      </c>
      <c r="B42" s="6">
        <f>SUMIF('库存（子SKU）'!$C:$C,$A42,'库存（子SKU）'!D:D)</f>
        <v>4</v>
      </c>
      <c r="C42" s="6">
        <f>SUMIF('库存（子SKU）'!$C:$C,$A42,'库存（子SKU）'!E:E)</f>
        <v>3</v>
      </c>
      <c r="D42" s="6">
        <f>SUMIF('库存（子SKU）'!$C:$C,$A42,'库存（子SKU）'!F:F)</f>
        <v>1</v>
      </c>
      <c r="E42" s="6">
        <f>SUMIF('库存（子SKU）'!$C:$C,$A42,'库存（子SKU）'!G:G)</f>
        <v>0</v>
      </c>
      <c r="F42" s="7">
        <v>19.615</v>
      </c>
      <c r="G42">
        <f>SUMIF('库存（子SKU）'!$C:$C,$A42,'库存（子SKU）'!I:I)</f>
        <v>29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29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>
        <f t="shared" si="4"/>
        <v>0</v>
      </c>
      <c r="AG42" s="23" t="str">
        <f t="shared" si="5"/>
        <v/>
      </c>
      <c r="AH42">
        <f>SUMIF('库存（子SKU）'!$C:$C,$A42,'库存（子SKU）'!AJ:AJ)</f>
        <v>19</v>
      </c>
      <c r="AI42">
        <f>SUMIF('库存（子SKU）'!$C:$C,$A42,'库存（子SKU）'!AK:AK)</f>
        <v>6</v>
      </c>
      <c r="AJ42">
        <f>SUMIF('库存（子SKU）'!$C:$C,$A42,'库存（子SKU）'!AL:AL)</f>
        <v>6</v>
      </c>
      <c r="AK42">
        <f>SUMIF('库存（子SKU）'!$C:$C,$A42,'库存（子SKU）'!AM:AM)</f>
        <v>7</v>
      </c>
      <c r="AL42" s="23">
        <f t="shared" si="6"/>
        <v>0.210526315789474</v>
      </c>
      <c r="AM42" s="23">
        <f t="shared" si="7"/>
        <v>0.5</v>
      </c>
      <c r="AN42" s="23">
        <f t="shared" si="8"/>
        <v>0.166666666666667</v>
      </c>
      <c r="AO42" s="23">
        <f t="shared" si="9"/>
        <v>0</v>
      </c>
      <c r="AP42" s="8">
        <f t="shared" si="10"/>
        <v>0.571428571428571</v>
      </c>
      <c r="AQ42" s="8">
        <f t="shared" si="11"/>
        <v>34.2857142857143</v>
      </c>
      <c r="AR42" s="8">
        <f t="shared" si="12"/>
        <v>-5.28571428571428</v>
      </c>
      <c r="AS42">
        <f t="shared" si="13"/>
        <v>50</v>
      </c>
      <c r="AT42" s="25">
        <f>IFERROR(时间!$B$4+AS42,"上周无销量")</f>
        <v>43340</v>
      </c>
    </row>
    <row r="43" spans="1:46">
      <c r="A43" t="s">
        <v>689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4</v>
      </c>
      <c r="AI43">
        <f>SUMIF('库存（子SKU）'!$C:$C,$A43,'库存（子SKU）'!AK:AK)</f>
        <v>2</v>
      </c>
      <c r="AJ43">
        <f>SUMIF('库存（子SKU）'!$C:$C,$A43,'库存（子SKU）'!AL:AL)</f>
        <v>2</v>
      </c>
      <c r="AK43">
        <f>SUMIF('库存（子SKU）'!$C:$C,$A43,'库存（子SKU）'!AM:AM)</f>
        <v>1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1</v>
      </c>
      <c r="AS43" t="str">
        <f t="shared" si="13"/>
        <v>库存为1</v>
      </c>
      <c r="AT43" s="25" t="str">
        <f>IFERROR(时间!$B$4+AS43,"上周无销量")</f>
        <v>上周无销量</v>
      </c>
    </row>
    <row r="44" spans="1:46">
      <c r="A44" t="s">
        <v>692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45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45</v>
      </c>
      <c r="L44">
        <f>SUMIF('库存（子SKU）'!$C:$C,$A44,'库存（子SKU）'!N:N)</f>
        <v>0</v>
      </c>
      <c r="M44">
        <f>SUMIF('库存（子SKU）'!$C:$C,$A44,'库存（子SKU）'!O:O)</f>
        <v>45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30</v>
      </c>
      <c r="AI44">
        <f>SUMIF('库存（子SKU）'!$C:$C,$A44,'库存（子SKU）'!AK:AK)</f>
        <v>19</v>
      </c>
      <c r="AJ44">
        <f>SUMIF('库存（子SKU）'!$C:$C,$A44,'库存（子SKU）'!AL:AL)</f>
        <v>19</v>
      </c>
      <c r="AK44">
        <f>SUMIF('库存（子SKU）'!$C:$C,$A44,'库存（子SKU）'!AM:AM)</f>
        <v>7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45</v>
      </c>
      <c r="AS44" t="str">
        <f t="shared" si="13"/>
        <v>库存为45</v>
      </c>
      <c r="AT44" s="25" t="str">
        <f>IFERROR(时间!$B$4+AS44,"上周无销量")</f>
        <v>上周无销量</v>
      </c>
    </row>
    <row r="45" spans="1:46">
      <c r="A45" t="s">
        <v>713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1</v>
      </c>
      <c r="F45" s="7">
        <v>18.99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>
        <f t="shared" si="5"/>
        <v>0</v>
      </c>
      <c r="AH45">
        <f>SUMIF('库存（子SKU）'!$C:$C,$A45,'库存（子SKU）'!AJ:AJ)</f>
        <v>7</v>
      </c>
      <c r="AI45">
        <f>SUMIF('库存（子SKU）'!$C:$C,$A45,'库存（子SKU）'!AK:AK)</f>
        <v>4</v>
      </c>
      <c r="AJ45">
        <f>SUMIF('库存（子SKU）'!$C:$C,$A45,'库存（子SKU）'!AL:AL)</f>
        <v>4</v>
      </c>
      <c r="AK45">
        <f>SUMIF('库存（子SKU）'!$C:$C,$A45,'库存（子SKU）'!AM:AM)</f>
        <v>2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0.5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720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7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1</v>
      </c>
      <c r="AL46" s="23">
        <f t="shared" si="6"/>
        <v>0</v>
      </c>
      <c r="AM46" s="23" t="str">
        <f t="shared" si="7"/>
        <v/>
      </c>
      <c r="AN46" s="23" t="str">
        <f t="shared" si="8"/>
        <v/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729</v>
      </c>
      <c r="B47" s="6">
        <f>SUMIF('库存（子SKU）'!$C:$C,$A47,'库存（子SKU）'!D:D)</f>
        <v>0</v>
      </c>
      <c r="C47" s="6">
        <f>SUMIF('库存（子SKU）'!$C:$C,$A47,'库存（子SKU）'!E:E)</f>
        <v>2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>
        <v>9.9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>
        <f t="shared" si="3"/>
        <v>0</v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2</v>
      </c>
      <c r="AJ47">
        <f>SUMIF('库存（子SKU）'!$C:$C,$A47,'库存（子SKU）'!AL:AL)</f>
        <v>2</v>
      </c>
      <c r="AK47">
        <f>SUMIF('库存（子SKU）'!$C:$C,$A47,'库存（子SKU）'!AM:AM)</f>
        <v>2</v>
      </c>
      <c r="AL47" s="23" t="str">
        <f t="shared" si="6"/>
        <v/>
      </c>
      <c r="AM47" s="23">
        <f t="shared" si="7"/>
        <v>1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5" t="str">
        <f>IFERROR(时间!$B$4+AS47,"上周无销量")</f>
        <v>上周无销量</v>
      </c>
    </row>
    <row r="48" spans="1:46">
      <c r="A48" t="s">
        <v>738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3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3</v>
      </c>
      <c r="AL48" s="23">
        <f t="shared" si="6"/>
        <v>0</v>
      </c>
      <c r="AM48" s="23" t="str">
        <f t="shared" si="7"/>
        <v/>
      </c>
      <c r="AN48" s="23" t="str">
        <f t="shared" si="8"/>
        <v/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2</v>
      </c>
      <c r="AS48" t="str">
        <f t="shared" si="13"/>
        <v>库存为2</v>
      </c>
      <c r="AT48" s="25" t="str">
        <f>IFERROR(时间!$B$4+AS48,"上周无销量")</f>
        <v>上周无销量</v>
      </c>
    </row>
    <row r="49" spans="1:46">
      <c r="A49" t="s">
        <v>743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</v>
      </c>
      <c r="L49">
        <f>SUMIF('库存（子SKU）'!$C:$C,$A49,'库存（子SKU）'!N:N)</f>
        <v>0</v>
      </c>
      <c r="M49">
        <f>SUMIF('库存（子SKU）'!$C:$C,$A49,'库存（子SKU）'!O:O)</f>
        <v>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5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>
        <f t="shared" si="6"/>
        <v>0</v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4</v>
      </c>
      <c r="AS49" t="str">
        <f t="shared" si="13"/>
        <v>库存为4</v>
      </c>
      <c r="AT49" s="25" t="str">
        <f>IFERROR(时间!$B$4+AS49,"上周无销量")</f>
        <v>上周无销量</v>
      </c>
    </row>
    <row r="50" spans="1:46">
      <c r="A50" t="s">
        <v>748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0</v>
      </c>
      <c r="AS50" t="str">
        <f t="shared" si="13"/>
        <v>库存为0</v>
      </c>
      <c r="AT50" s="25" t="str">
        <f>IFERROR(时间!$B$4+AS50,"上周无销量")</f>
        <v>上周无销量</v>
      </c>
    </row>
    <row r="51" spans="1:46">
      <c r="A51" t="s">
        <v>751</v>
      </c>
      <c r="B51" s="6">
        <f>SUMIF('库存（子SKU）'!$C:$C,$A51,'库存（子SKU）'!D:D)</f>
        <v>0</v>
      </c>
      <c r="C51" s="6">
        <f>SUMIF('库存（子SKU）'!$C:$C,$A51,'库存（子SKU）'!E:E)</f>
        <v>1</v>
      </c>
      <c r="D51" s="6">
        <f>SUMIF('库存（子SKU）'!$C:$C,$A51,'库存（子SKU）'!F:F)</f>
        <v>1</v>
      </c>
      <c r="E51" s="6">
        <f>SUMIF('库存（子SKU）'!$C:$C,$A51,'库存（子SKU）'!G:G)</f>
        <v>0</v>
      </c>
      <c r="F51" s="7">
        <v>12.9</v>
      </c>
      <c r="G51">
        <f>SUMIF('库存（子SKU）'!$C:$C,$A51,'库存（子SKU）'!I:I)</f>
        <v>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>
        <f t="shared" si="3"/>
        <v>0</v>
      </c>
      <c r="AF51" s="23">
        <f t="shared" si="4"/>
        <v>0</v>
      </c>
      <c r="AG51" s="23" t="str">
        <f t="shared" si="5"/>
        <v/>
      </c>
      <c r="AH51">
        <f>SUMIF('库存（子SKU）'!$C:$C,$A51,'库存（子SKU）'!AJ:AJ)</f>
        <v>3</v>
      </c>
      <c r="AI51">
        <f>SUMIF('库存（子SKU）'!$C:$C,$A51,'库存（子SKU）'!AK:AK)</f>
        <v>5</v>
      </c>
      <c r="AJ51">
        <f>SUMIF('库存（子SKU）'!$C:$C,$A51,'库存（子SKU）'!AL:AL)</f>
        <v>5</v>
      </c>
      <c r="AK51">
        <f>SUMIF('库存（子SKU）'!$C:$C,$A51,'库存（子SKU）'!AM:AM)</f>
        <v>1</v>
      </c>
      <c r="AL51" s="23">
        <f t="shared" si="6"/>
        <v>0</v>
      </c>
      <c r="AM51" s="23">
        <f t="shared" si="7"/>
        <v>0.2</v>
      </c>
      <c r="AN51" s="23">
        <f t="shared" si="8"/>
        <v>0.2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1</v>
      </c>
      <c r="AS51" t="str">
        <f t="shared" si="13"/>
        <v>库存为1</v>
      </c>
      <c r="AT51" s="25" t="str">
        <f>IFERROR(时间!$B$4+AS51,"上周无销量")</f>
        <v>上周无销量</v>
      </c>
    </row>
    <row r="52" spans="1:46">
      <c r="A52" t="s">
        <v>758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16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16</v>
      </c>
      <c r="L52">
        <f>SUMIF('库存（子SKU）'!$C:$C,$A52,'库存（子SKU）'!N:N)</f>
        <v>0</v>
      </c>
      <c r="M52">
        <f>SUMIF('库存（子SKU）'!$C:$C,$A52,'库存（子SKU）'!O:O)</f>
        <v>15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7</v>
      </c>
      <c r="AI52">
        <f>SUMIF('库存（子SKU）'!$C:$C,$A52,'库存（子SKU）'!AK:AK)</f>
        <v>7</v>
      </c>
      <c r="AJ52">
        <f>SUMIF('库存（子SKU）'!$C:$C,$A52,'库存（子SKU）'!AL:AL)</f>
        <v>7</v>
      </c>
      <c r="AK52">
        <f>SUMIF('库存（子SKU）'!$C:$C,$A52,'库存（子SKU）'!AM:AM)</f>
        <v>3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16</v>
      </c>
      <c r="AS52" t="str">
        <f t="shared" si="13"/>
        <v>库存为16</v>
      </c>
      <c r="AT52" s="25" t="str">
        <f>IFERROR(时间!$B$4+AS52,"上周无销量")</f>
        <v>上周无销量</v>
      </c>
    </row>
    <row r="53" spans="1:46">
      <c r="A53" t="s">
        <v>771</v>
      </c>
      <c r="B53" s="6">
        <f>SUMIF('库存（子SKU）'!$C:$C,$A53,'库存（子SKU）'!D:D)</f>
        <v>0</v>
      </c>
      <c r="C53" s="6">
        <f>SUMIF('库存（子SKU）'!$C:$C,$A53,'库存（子SKU）'!E:E)</f>
        <v>1</v>
      </c>
      <c r="D53" s="6">
        <f>SUMIF('库存（子SKU）'!$C:$C,$A53,'库存（子SKU）'!F:F)</f>
        <v>2</v>
      </c>
      <c r="E53" s="6">
        <f>SUMIF('库存（子SKU）'!$C:$C,$A53,'库存（子SKU）'!G:G)</f>
        <v>0</v>
      </c>
      <c r="F53" s="7">
        <v>17.88</v>
      </c>
      <c r="G53">
        <f>SUMIF('库存（子SKU）'!$C:$C,$A53,'库存（子SKU）'!I:I)</f>
        <v>7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</v>
      </c>
      <c r="L53">
        <f>SUMIF('库存（子SKU）'!$C:$C,$A53,'库存（子SKU）'!N:N)</f>
        <v>0</v>
      </c>
      <c r="M53">
        <f>SUMIF('库存（子SKU）'!$C:$C,$A53,'库存（子SKU）'!O:O)</f>
        <v>9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>
        <f t="shared" si="3"/>
        <v>0</v>
      </c>
      <c r="AF53" s="23">
        <f t="shared" si="4"/>
        <v>0</v>
      </c>
      <c r="AG53" s="23" t="str">
        <f t="shared" si="5"/>
        <v/>
      </c>
      <c r="AH53">
        <f>SUMIF('库存（子SKU）'!$C:$C,$A53,'库存（子SKU）'!AJ:AJ)</f>
        <v>9</v>
      </c>
      <c r="AI53">
        <f>SUMIF('库存（子SKU）'!$C:$C,$A53,'库存（子SKU）'!AK:AK)</f>
        <v>8</v>
      </c>
      <c r="AJ53">
        <f>SUMIF('库存（子SKU）'!$C:$C,$A53,'库存（子SKU）'!AL:AL)</f>
        <v>8</v>
      </c>
      <c r="AK53">
        <f>SUMIF('库存（子SKU）'!$C:$C,$A53,'库存（子SKU）'!AM:AM)</f>
        <v>7</v>
      </c>
      <c r="AL53" s="23">
        <f t="shared" si="6"/>
        <v>0</v>
      </c>
      <c r="AM53" s="23">
        <f t="shared" si="7"/>
        <v>0.125</v>
      </c>
      <c r="AN53" s="23">
        <f t="shared" si="8"/>
        <v>0.25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7</v>
      </c>
      <c r="AS53" t="str">
        <f t="shared" si="13"/>
        <v>库存为7</v>
      </c>
      <c r="AT53" s="25" t="str">
        <f>IFERROR(时间!$B$4+AS53,"上周无销量")</f>
        <v>上周无销量</v>
      </c>
    </row>
    <row r="54" spans="1:46">
      <c r="A54" t="s">
        <v>786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12</v>
      </c>
      <c r="L54">
        <f>SUMIF('库存（子SKU）'!$C:$C,$A54,'库存（子SKU）'!N:N)</f>
        <v>0</v>
      </c>
      <c r="M54">
        <f>SUMIF('库存（子SKU）'!$C:$C,$A54,'库存（子SKU）'!O:O)</f>
        <v>12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9</v>
      </c>
      <c r="AI54">
        <f>SUMIF('库存（子SKU）'!$C:$C,$A54,'库存（子SKU）'!AK:AK)</f>
        <v>2</v>
      </c>
      <c r="AJ54">
        <f>SUMIF('库存（子SKU）'!$C:$C,$A54,'库存（子SKU）'!AL:AL)</f>
        <v>2</v>
      </c>
      <c r="AK54">
        <f>SUMIF('库存（子SKU）'!$C:$C,$A54,'库存（子SKU）'!AM:AM)</f>
        <v>1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12</v>
      </c>
      <c r="AS54" t="str">
        <f t="shared" si="13"/>
        <v>库存为12</v>
      </c>
      <c r="AT54" s="25" t="str">
        <f>IFERROR(时间!$B$4+AS54,"上周无销量")</f>
        <v>上周无销量</v>
      </c>
    </row>
    <row r="55" spans="1:46">
      <c r="A55" t="s">
        <v>797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2</v>
      </c>
      <c r="AJ55">
        <f>SUMIF('库存（子SKU）'!$C:$C,$A55,'库存（子SKU）'!AL:AL)</f>
        <v>2</v>
      </c>
      <c r="AK55">
        <f>SUMIF('库存（子SKU）'!$C:$C,$A55,'库存（子SKU）'!AM:AM)</f>
        <v>1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800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4</v>
      </c>
      <c r="AI56">
        <f>SUMIF('库存（子SKU）'!$C:$C,$A56,'库存（子SKU）'!AK:AK)</f>
        <v>1</v>
      </c>
      <c r="AJ56">
        <f>SUMIF('库存（子SKU）'!$C:$C,$A56,'库存（子SKU）'!AL:AL)</f>
        <v>1</v>
      </c>
      <c r="AK56">
        <f>SUMIF('库存（子SKU）'!$C:$C,$A56,'库存（子SKU）'!AM:AM)</f>
        <v>0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1</v>
      </c>
      <c r="AS56" t="str">
        <f t="shared" si="13"/>
        <v>库存为1</v>
      </c>
      <c r="AT56" s="25" t="str">
        <f>IFERROR(时间!$B$4+AS56,"上周无销量")</f>
        <v>上周无销量</v>
      </c>
    </row>
    <row r="57" spans="1:46">
      <c r="A57" t="s">
        <v>803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1</v>
      </c>
      <c r="E57" s="6">
        <f>SUMIF('库存（子SKU）'!$C:$C,$A57,'库存（子SKU）'!G:G)</f>
        <v>0</v>
      </c>
      <c r="F57" s="7">
        <v>19.99</v>
      </c>
      <c r="G57">
        <f>SUMIF('库存（子SKU）'!$C:$C,$A57,'库存（子SKU）'!I:I)</f>
        <v>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>
        <f t="shared" si="4"/>
        <v>0</v>
      </c>
      <c r="AG57" s="23" t="str">
        <f t="shared" si="5"/>
        <v/>
      </c>
      <c r="AH57">
        <f>SUMIF('库存（子SKU）'!$C:$C,$A57,'库存（子SKU）'!AJ:AJ)</f>
        <v>5</v>
      </c>
      <c r="AI57">
        <f>SUMIF('库存（子SKU）'!$C:$C,$A57,'库存（子SKU）'!AK:AK)</f>
        <v>6</v>
      </c>
      <c r="AJ57">
        <f>SUMIF('库存（子SKU）'!$C:$C,$A57,'库存（子SKU）'!AL:AL)</f>
        <v>6</v>
      </c>
      <c r="AK57">
        <f>SUMIF('库存（子SKU）'!$C:$C,$A57,'库存（子SKU）'!AM:AM)</f>
        <v>0</v>
      </c>
      <c r="AL57" s="23">
        <f t="shared" si="6"/>
        <v>0</v>
      </c>
      <c r="AM57" s="23">
        <f t="shared" si="7"/>
        <v>0</v>
      </c>
      <c r="AN57" s="23">
        <f t="shared" si="8"/>
        <v>0.166666666666667</v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5" t="str">
        <f>IFERROR(时间!$B$4+AS57,"上周无销量")</f>
        <v>上周无销量</v>
      </c>
    </row>
    <row r="58" spans="1:46">
      <c r="A58" t="s">
        <v>808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813</v>
      </c>
      <c r="B59" s="6">
        <f>SUMIF('库存（子SKU）'!$C:$C,$A59,'库存（子SKU）'!D:D)</f>
        <v>20</v>
      </c>
      <c r="C59" s="6">
        <f>SUMIF('库存（子SKU）'!$C:$C,$A59,'库存（子SKU）'!E:E)</f>
        <v>28</v>
      </c>
      <c r="D59" s="6">
        <f>SUMIF('库存（子SKU）'!$C:$C,$A59,'库存（子SKU）'!F:F)</f>
        <v>31</v>
      </c>
      <c r="E59" s="6">
        <f>SUMIF('库存（子SKU）'!$C:$C,$A59,'库存（子SKU）'!G:G)</f>
        <v>33</v>
      </c>
      <c r="F59" s="7">
        <v>18.765625</v>
      </c>
      <c r="G59">
        <f>SUMIF('库存（子SKU）'!$C:$C,$A59,'库存（子SKU）'!I:I)</f>
        <v>170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2</v>
      </c>
      <c r="K59">
        <f t="shared" si="0"/>
        <v>172</v>
      </c>
      <c r="L59">
        <f>SUMIF('库存（子SKU）'!$C:$C,$A59,'库存（子SKU）'!N:N)</f>
        <v>31</v>
      </c>
      <c r="M59">
        <f>SUMIF('库存（子SKU）'!$C:$C,$A59,'库存（子SKU）'!O:O)</f>
        <v>4</v>
      </c>
      <c r="N59">
        <f>SUMIF('库存（子SKU）'!$C:$C,$A59,'库存（子SKU）'!P:P)</f>
        <v>21725</v>
      </c>
      <c r="O59">
        <f>SUMIF('库存（子SKU）'!$C:$C,$A59,'库存（子SKU）'!Q:Q)</f>
        <v>60046</v>
      </c>
      <c r="P59">
        <f>SUMIF('库存（子SKU）'!$C:$C,$A59,'库存（子SKU）'!R:R)</f>
        <v>59575</v>
      </c>
      <c r="Q59">
        <f>SUMIF('库存（子SKU）'!$C:$C,$A59,'库存（子SKU）'!S:S)</f>
        <v>63755</v>
      </c>
      <c r="R59">
        <f>SUMIF('库存（子SKU）'!$C:$C,$A59,'库存（子SKU）'!T:T)</f>
        <v>148</v>
      </c>
      <c r="S59">
        <f>SUMIF('库存（子SKU）'!$C:$C,$A59,'库存（子SKU）'!U:U)</f>
        <v>338</v>
      </c>
      <c r="T59">
        <f>SUMIF('库存（子SKU）'!$C:$C,$A59,'库存（子SKU）'!V:V)</f>
        <v>270</v>
      </c>
      <c r="U59">
        <f>SUMIF('库存（子SKU）'!$C:$C,$A59,'库存（子SKU）'!W:W)</f>
        <v>262</v>
      </c>
      <c r="V59" s="23">
        <f t="shared" si="15"/>
        <v>0.00681242807825086</v>
      </c>
      <c r="W59" s="23">
        <f t="shared" si="16"/>
        <v>0.00562901775305599</v>
      </c>
      <c r="X59" s="23">
        <f t="shared" si="17"/>
        <v>0.00453210239194293</v>
      </c>
      <c r="Y59" s="23">
        <f t="shared" si="18"/>
        <v>0.00410948160928555</v>
      </c>
      <c r="Z59">
        <f>SUMIF('库存（子SKU）'!$C:$C,$A59,'库存（子SKU）'!AB:AB)</f>
        <v>36.25</v>
      </c>
      <c r="AA59">
        <f>SUMIF('库存（子SKU）'!$C:$C,$A59,'库存（子SKU）'!AC:AC)</f>
        <v>110.28</v>
      </c>
      <c r="AB59">
        <f>SUMIF('库存（子SKU）'!$C:$C,$A59,'库存（子SKU）'!AD:AD)</f>
        <v>84.36</v>
      </c>
      <c r="AC59">
        <f>SUMIF('库存（子SKU）'!$C:$C,$A59,'库存（子SKU）'!AE:AE)</f>
        <v>85.38</v>
      </c>
      <c r="AD59" s="23">
        <f t="shared" si="2"/>
        <v>0.096586178184846</v>
      </c>
      <c r="AE59" s="23">
        <f t="shared" si="3"/>
        <v>0.209882240989652</v>
      </c>
      <c r="AF59" s="23">
        <f t="shared" si="4"/>
        <v>0.145014638339019</v>
      </c>
      <c r="AG59" s="23">
        <f t="shared" si="5"/>
        <v>0.137872984634017</v>
      </c>
      <c r="AH59">
        <f>SUMIF('库存（子SKU）'!$C:$C,$A59,'库存（子SKU）'!AJ:AJ)</f>
        <v>129</v>
      </c>
      <c r="AI59">
        <f>SUMIF('库存（子SKU）'!$C:$C,$A59,'库存（子SKU）'!AK:AK)</f>
        <v>217</v>
      </c>
      <c r="AJ59">
        <f>SUMIF('库存（子SKU）'!$C:$C,$A59,'库存（子SKU）'!AL:AL)</f>
        <v>217</v>
      </c>
      <c r="AK59">
        <f>SUMIF('库存（子SKU）'!$C:$C,$A59,'库存（子SKU）'!AM:AM)</f>
        <v>191</v>
      </c>
      <c r="AL59" s="23">
        <f t="shared" si="6"/>
        <v>0.155038759689922</v>
      </c>
      <c r="AM59" s="23">
        <f t="shared" si="7"/>
        <v>0.129032258064516</v>
      </c>
      <c r="AN59" s="23">
        <f t="shared" si="8"/>
        <v>0.142857142857143</v>
      </c>
      <c r="AO59" s="23">
        <f t="shared" si="9"/>
        <v>0.172774869109948</v>
      </c>
      <c r="AP59" s="8">
        <f t="shared" si="10"/>
        <v>2.85714285714286</v>
      </c>
      <c r="AQ59" s="8">
        <f t="shared" si="11"/>
        <v>171.428571428571</v>
      </c>
      <c r="AR59" s="8">
        <f t="shared" si="12"/>
        <v>0.571428571428555</v>
      </c>
      <c r="AS59">
        <f t="shared" si="13"/>
        <v>60</v>
      </c>
      <c r="AT59" s="25">
        <f>IFERROR(时间!$B$4+AS59,"上周无销量")</f>
        <v>43350</v>
      </c>
    </row>
    <row r="60" spans="1:46">
      <c r="A60" t="s">
        <v>834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5" t="str">
        <f>IFERROR(时间!$B$4+AS60,"上周无销量")</f>
        <v>上周无销量</v>
      </c>
    </row>
    <row r="61" spans="1:46">
      <c r="A61" t="s">
        <v>837</v>
      </c>
      <c r="B61" s="6">
        <f>SUMIF('库存（子SKU）'!$C:$C,$A61,'库存（子SKU）'!D:D)</f>
        <v>0</v>
      </c>
      <c r="C61" s="6">
        <f>SUMIF('库存（子SKU）'!$C:$C,$A61,'库存（子SKU）'!E:E)</f>
        <v>1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>
        <v>19.9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>
        <f t="shared" si="3"/>
        <v>0</v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2</v>
      </c>
      <c r="AI61">
        <f>SUMIF('库存（子SKU）'!$C:$C,$A61,'库存（子SKU）'!AK:AK)</f>
        <v>1</v>
      </c>
      <c r="AJ61">
        <f>SUMIF('库存（子SKU）'!$C:$C,$A61,'库存（子SKU）'!AL:AL)</f>
        <v>1</v>
      </c>
      <c r="AK61">
        <f>SUMIF('库存（子SKU）'!$C:$C,$A61,'库存（子SKU）'!AM:AM)</f>
        <v>0</v>
      </c>
      <c r="AL61" s="23">
        <f t="shared" si="6"/>
        <v>0</v>
      </c>
      <c r="AM61" s="23">
        <f t="shared" si="7"/>
        <v>1</v>
      </c>
      <c r="AN61" s="23">
        <f t="shared" si="8"/>
        <v>0</v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2</v>
      </c>
      <c r="AS61" t="str">
        <f t="shared" si="13"/>
        <v>库存为2</v>
      </c>
      <c r="AT61" s="25" t="str">
        <f>IFERROR(时间!$B$4+AS61,"上周无销量")</f>
        <v>上周无销量</v>
      </c>
    </row>
    <row r="62" spans="1:46">
      <c r="A62" t="s">
        <v>842</v>
      </c>
      <c r="B62" s="6">
        <f>SUMIF('库存（子SKU）'!$C:$C,$A62,'库存（子SKU）'!D:D)</f>
        <v>0</v>
      </c>
      <c r="C62" s="6">
        <f>SUMIF('库存（子SKU）'!$C:$C,$A62,'库存（子SKU）'!E:E)</f>
        <v>1</v>
      </c>
      <c r="D62" s="6">
        <f>SUMIF('库存（子SKU）'!$C:$C,$A62,'库存（子SKU）'!F:F)</f>
        <v>1</v>
      </c>
      <c r="E62" s="6">
        <f>SUMIF('库存（子SKU）'!$C:$C,$A62,'库存（子SKU）'!G:G)</f>
        <v>0</v>
      </c>
      <c r="F62" s="7">
        <v>23.88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1</v>
      </c>
      <c r="M62">
        <f>SUMIF('库存（子SKU）'!$C:$C,$A62,'库存（子SKU）'!O:O)</f>
        <v>22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>
        <f t="shared" si="3"/>
        <v>0</v>
      </c>
      <c r="AF62" s="23">
        <f t="shared" si="4"/>
        <v>0</v>
      </c>
      <c r="AG62" s="23" t="str">
        <f t="shared" si="5"/>
        <v/>
      </c>
      <c r="AH62">
        <f>SUMIF('库存（子SKU）'!$C:$C,$A62,'库存（子SKU）'!AJ:AJ)</f>
        <v>6</v>
      </c>
      <c r="AI62">
        <f>SUMIF('库存（子SKU）'!$C:$C,$A62,'库存（子SKU）'!AK:AK)</f>
        <v>8</v>
      </c>
      <c r="AJ62">
        <f>SUMIF('库存（子SKU）'!$C:$C,$A62,'库存（子SKU）'!AL:AL)</f>
        <v>8</v>
      </c>
      <c r="AK62">
        <f>SUMIF('库存（子SKU）'!$C:$C,$A62,'库存（子SKU）'!AM:AM)</f>
        <v>5</v>
      </c>
      <c r="AL62" s="23">
        <f t="shared" si="6"/>
        <v>0</v>
      </c>
      <c r="AM62" s="23">
        <f t="shared" si="7"/>
        <v>0.125</v>
      </c>
      <c r="AN62" s="23">
        <f t="shared" si="8"/>
        <v>0.125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25</v>
      </c>
      <c r="AS62" t="str">
        <f t="shared" si="13"/>
        <v>库存为25</v>
      </c>
      <c r="AT62" s="25" t="str">
        <f>IFERROR(时间!$B$4+AS62,"上周无销量")</f>
        <v>上周无销量</v>
      </c>
    </row>
    <row r="63" spans="1:46">
      <c r="A63" t="s">
        <v>869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2</v>
      </c>
      <c r="AI63">
        <f>SUMIF('库存（子SKU）'!$C:$C,$A63,'库存（子SKU）'!AK:AK)</f>
        <v>1</v>
      </c>
      <c r="AJ63">
        <f>SUMIF('库存（子SKU）'!$C:$C,$A63,'库存（子SKU）'!AL:AL)</f>
        <v>1</v>
      </c>
      <c r="AK63">
        <f>SUMIF('库存（子SKU）'!$C:$C,$A63,'库存（子SKU）'!AM:AM)</f>
        <v>2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3</v>
      </c>
      <c r="AS63" t="str">
        <f t="shared" si="13"/>
        <v>库存为3</v>
      </c>
      <c r="AT63" s="25" t="str">
        <f>IFERROR(时间!$B$4+AS63,"上周无销量")</f>
        <v>上周无销量</v>
      </c>
    </row>
    <row r="64" spans="1:46">
      <c r="A64" t="s">
        <v>876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5" t="str">
        <f>IFERROR(时间!$B$4+AS64,"上周无销量")</f>
        <v>上周无销量</v>
      </c>
    </row>
    <row r="65" spans="1:46">
      <c r="A65" t="s">
        <v>879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1</v>
      </c>
      <c r="F65" s="7">
        <v>18.18</v>
      </c>
      <c r="G65">
        <f>SUMIF('库存（子SKU）'!$C:$C,$A65,'库存（子SKU）'!I:I)</f>
        <v>18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18</v>
      </c>
      <c r="L65">
        <f>SUMIF('库存（子SKU）'!$C:$C,$A65,'库存（子SKU）'!N:N)</f>
        <v>0</v>
      </c>
      <c r="M65">
        <f>SUMIF('库存（子SKU）'!$C:$C,$A65,'库存（子SKU）'!O:O)</f>
        <v>17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>
        <f t="shared" si="5"/>
        <v>0</v>
      </c>
      <c r="AH65">
        <f>SUMIF('库存（子SKU）'!$C:$C,$A65,'库存（子SKU）'!AJ:AJ)</f>
        <v>17</v>
      </c>
      <c r="AI65">
        <f>SUMIF('库存（子SKU）'!$C:$C,$A65,'库存（子SKU）'!AK:AK)</f>
        <v>11</v>
      </c>
      <c r="AJ65">
        <f>SUMIF('库存（子SKU）'!$C:$C,$A65,'库存（子SKU）'!AL:AL)</f>
        <v>11</v>
      </c>
      <c r="AK65">
        <f>SUMIF('库存（子SKU）'!$C:$C,$A65,'库存（子SKU）'!AM:AM)</f>
        <v>8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0.125</v>
      </c>
      <c r="AP65" s="8">
        <f t="shared" si="10"/>
        <v>0</v>
      </c>
      <c r="AQ65" s="8">
        <f t="shared" si="11"/>
        <v>0</v>
      </c>
      <c r="AR65" s="8">
        <f t="shared" si="12"/>
        <v>18</v>
      </c>
      <c r="AS65" t="str">
        <f t="shared" si="13"/>
        <v>库存为18</v>
      </c>
      <c r="AT65" s="25" t="str">
        <f>IFERROR(时间!$B$4+AS65,"上周无销量")</f>
        <v>上周无销量</v>
      </c>
    </row>
    <row r="66" spans="1:46">
      <c r="A66" t="s">
        <v>900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1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>
        <f t="shared" si="6"/>
        <v>0</v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903</v>
      </c>
      <c r="B67" s="6">
        <f>SUMIF('库存（子SKU）'!$C:$C,$A67,'库存（子SKU）'!D:D)</f>
        <v>108</v>
      </c>
      <c r="C67" s="6">
        <f>SUMIF('库存（子SKU）'!$C:$C,$A67,'库存（子SKU）'!E:E)</f>
        <v>175</v>
      </c>
      <c r="D67" s="6">
        <f>SUMIF('库存（子SKU）'!$C:$C,$A67,'库存（子SKU）'!F:F)</f>
        <v>181</v>
      </c>
      <c r="E67" s="6">
        <f>SUMIF('库存（子SKU）'!$C:$C,$A67,'库存（子SKU）'!G:G)</f>
        <v>141</v>
      </c>
      <c r="F67" s="7">
        <v>18.6474545454545</v>
      </c>
      <c r="G67">
        <f>SUMIF('库存（子SKU）'!$C:$C,$A67,'库存（子SKU）'!I:I)</f>
        <v>414</v>
      </c>
      <c r="H67">
        <f>SUMIF('库存（子SKU）'!$C:$C,$A67,'库存（子SKU）'!J:J)</f>
        <v>115</v>
      </c>
      <c r="I67">
        <f>SUMIF('库存（子SKU）'!$C:$C,$A67,'库存（子SKU）'!K:K)</f>
        <v>0</v>
      </c>
      <c r="J67">
        <f>SUMIF('库存（子SKU）'!$C:$C,$A67,'库存（子SKU）'!L:L)</f>
        <v>9</v>
      </c>
      <c r="K67">
        <f t="shared" si="0"/>
        <v>538</v>
      </c>
      <c r="L67">
        <f>SUMIF('库存（子SKU）'!$C:$C,$A67,'库存（子SKU）'!N:N)</f>
        <v>190</v>
      </c>
      <c r="M67">
        <f>SUMIF('库存（子SKU）'!$C:$C,$A67,'库存（子SKU）'!O:O)</f>
        <v>20</v>
      </c>
      <c r="N67">
        <f>SUMIF('库存（子SKU）'!$C:$C,$A67,'库存（子SKU）'!P:P)</f>
        <v>156447</v>
      </c>
      <c r="O67">
        <f>SUMIF('库存（子SKU）'!$C:$C,$A67,'库存（子SKU）'!Q:Q)</f>
        <v>134451</v>
      </c>
      <c r="P67">
        <f>SUMIF('库存（子SKU）'!$C:$C,$A67,'库存（子SKU）'!R:R)</f>
        <v>151835</v>
      </c>
      <c r="Q67">
        <f>SUMIF('库存（子SKU）'!$C:$C,$A67,'库存（子SKU）'!S:S)</f>
        <v>176345</v>
      </c>
      <c r="R67">
        <f>SUMIF('库存（子SKU）'!$C:$C,$A67,'库存（子SKU）'!T:T)</f>
        <v>1418</v>
      </c>
      <c r="S67">
        <f>SUMIF('库存（子SKU）'!$C:$C,$A67,'库存（子SKU）'!U:U)</f>
        <v>1218</v>
      </c>
      <c r="T67">
        <f>SUMIF('库存（子SKU）'!$C:$C,$A67,'库存（子SKU）'!V:V)</f>
        <v>1055</v>
      </c>
      <c r="U67">
        <f>SUMIF('库存（子SKU）'!$C:$C,$A67,'库存（子SKU）'!W:W)</f>
        <v>1066</v>
      </c>
      <c r="V67" s="23">
        <f t="shared" si="15"/>
        <v>0.00906377239576342</v>
      </c>
      <c r="W67" s="23">
        <f t="shared" si="16"/>
        <v>0.00905906240935359</v>
      </c>
      <c r="X67" s="23">
        <f t="shared" si="17"/>
        <v>0.00694833207099812</v>
      </c>
      <c r="Y67" s="23">
        <f t="shared" si="18"/>
        <v>0.0060449686693697</v>
      </c>
      <c r="Z67">
        <f>SUMIF('库存（子SKU）'!$C:$C,$A67,'库存（子SKU）'!AB:AB)</f>
        <v>515.89</v>
      </c>
      <c r="AA67">
        <f>SUMIF('库存（子SKU）'!$C:$C,$A67,'库存（子SKU）'!AC:AC)</f>
        <v>455.89</v>
      </c>
      <c r="AB67">
        <f>SUMIF('库存（子SKU）'!$C:$C,$A67,'库存（子SKU）'!AD:AD)</f>
        <v>396.44</v>
      </c>
      <c r="AC67">
        <f>SUMIF('库存（子SKU）'!$C:$C,$A67,'库存（子SKU）'!AE:AE)</f>
        <v>386.52</v>
      </c>
      <c r="AD67" s="23">
        <f t="shared" si="2"/>
        <v>0.256161464162069</v>
      </c>
      <c r="AE67" s="23">
        <f t="shared" si="3"/>
        <v>0.139701947412481</v>
      </c>
      <c r="AF67" s="23">
        <f t="shared" si="4"/>
        <v>0.117457116613689</v>
      </c>
      <c r="AG67" s="23">
        <f t="shared" si="5"/>
        <v>0.147005404360291</v>
      </c>
      <c r="AH67">
        <f>SUMIF('库存（子SKU）'!$C:$C,$A67,'库存（子SKU）'!AJ:AJ)</f>
        <v>539</v>
      </c>
      <c r="AI67">
        <f>SUMIF('库存（子SKU）'!$C:$C,$A67,'库存（子SKU）'!AK:AK)</f>
        <v>752</v>
      </c>
      <c r="AJ67">
        <f>SUMIF('库存（子SKU）'!$C:$C,$A67,'库存（子SKU）'!AL:AL)</f>
        <v>752</v>
      </c>
      <c r="AK67">
        <f>SUMIF('库存（子SKU）'!$C:$C,$A67,'库存（子SKU）'!AM:AM)</f>
        <v>532</v>
      </c>
      <c r="AL67" s="23">
        <f t="shared" si="6"/>
        <v>0.200371057513915</v>
      </c>
      <c r="AM67" s="23">
        <f t="shared" si="7"/>
        <v>0.232712765957447</v>
      </c>
      <c r="AN67" s="23">
        <f t="shared" si="8"/>
        <v>0.240691489361702</v>
      </c>
      <c r="AO67" s="23">
        <f t="shared" si="9"/>
        <v>0.265037593984962</v>
      </c>
      <c r="AP67" s="8">
        <f t="shared" si="10"/>
        <v>15.4285714285714</v>
      </c>
      <c r="AQ67" s="8">
        <f t="shared" si="11"/>
        <v>925.714285714286</v>
      </c>
      <c r="AR67" s="8">
        <f t="shared" si="12"/>
        <v>-387.714285714286</v>
      </c>
      <c r="AS67">
        <f t="shared" si="13"/>
        <v>34</v>
      </c>
      <c r="AT67" s="25">
        <f>IFERROR(时间!$B$4+AS67,"上周无销量")</f>
        <v>43324</v>
      </c>
    </row>
    <row r="68" spans="1:46">
      <c r="A68" t="s">
        <v>920</v>
      </c>
      <c r="B68" s="6">
        <f>SUMIF('库存（子SKU）'!$C:$C,$A68,'库存（子SKU）'!D:D)</f>
        <v>14</v>
      </c>
      <c r="C68" s="6">
        <f>SUMIF('库存（子SKU）'!$C:$C,$A68,'库存（子SKU）'!E:E)</f>
        <v>22</v>
      </c>
      <c r="D68" s="6">
        <f>SUMIF('库存（子SKU）'!$C:$C,$A68,'库存（子SKU）'!F:F)</f>
        <v>16</v>
      </c>
      <c r="E68" s="6">
        <f>SUMIF('库存（子SKU）'!$C:$C,$A68,'库存（子SKU）'!G:G)</f>
        <v>25</v>
      </c>
      <c r="F68" s="7">
        <v>18.1068831168831</v>
      </c>
      <c r="G68">
        <f>SUMIF('库存（子SKU）'!$C:$C,$A68,'库存（子SKU）'!I:I)</f>
        <v>59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2</v>
      </c>
      <c r="K68">
        <f t="shared" si="0"/>
        <v>61</v>
      </c>
      <c r="L68">
        <f>SUMIF('库存（子SKU）'!$C:$C,$A68,'库存（子SKU）'!N:N)</f>
        <v>17</v>
      </c>
      <c r="M68">
        <f>SUMIF('库存（子SKU）'!$C:$C,$A68,'库存（子SKU）'!O:O)</f>
        <v>0</v>
      </c>
      <c r="N68">
        <f>SUMIF('库存（子SKU）'!$C:$C,$A68,'库存（子SKU）'!P:P)</f>
        <v>133002</v>
      </c>
      <c r="O68">
        <f>SUMIF('库存（子SKU）'!$C:$C,$A68,'库存（子SKU）'!Q:Q)</f>
        <v>72458</v>
      </c>
      <c r="P68">
        <f>SUMIF('库存（子SKU）'!$C:$C,$A68,'库存（子SKU）'!R:R)</f>
        <v>34882</v>
      </c>
      <c r="Q68">
        <f>SUMIF('库存（子SKU）'!$C:$C,$A68,'库存（子SKU）'!S:S)</f>
        <v>73356</v>
      </c>
      <c r="R68">
        <f>SUMIF('库存（子SKU）'!$C:$C,$A68,'库存（子SKU）'!T:T)</f>
        <v>748</v>
      </c>
      <c r="S68">
        <f>SUMIF('库存（子SKU）'!$C:$C,$A68,'库存（子SKU）'!U:U)</f>
        <v>440</v>
      </c>
      <c r="T68">
        <f>SUMIF('库存（子SKU）'!$C:$C,$A68,'库存（子SKU）'!V:V)</f>
        <v>227</v>
      </c>
      <c r="U68">
        <f>SUMIF('库存（子SKU）'!$C:$C,$A68,'库存（子SKU）'!W:W)</f>
        <v>410</v>
      </c>
      <c r="V68" s="23">
        <f t="shared" si="15"/>
        <v>0.0056239755793146</v>
      </c>
      <c r="W68" s="23">
        <f t="shared" si="16"/>
        <v>0.00607248336967623</v>
      </c>
      <c r="X68" s="23">
        <f t="shared" si="17"/>
        <v>0.00650765437761596</v>
      </c>
      <c r="Y68" s="23">
        <f t="shared" si="18"/>
        <v>0.00558918152571024</v>
      </c>
      <c r="Z68">
        <f>SUMIF('库存（子SKU）'!$C:$C,$A68,'库存（子SKU）'!AB:AB)</f>
        <v>192.37</v>
      </c>
      <c r="AA68">
        <f>SUMIF('库存（子SKU）'!$C:$C,$A68,'库存（子SKU）'!AC:AC)</f>
        <v>118</v>
      </c>
      <c r="AB68">
        <f>SUMIF('库存（子SKU）'!$C:$C,$A68,'库存（子SKU）'!AD:AD)</f>
        <v>53.67</v>
      </c>
      <c r="AC68">
        <f>SUMIF('库存（子SKU）'!$C:$C,$A68,'库存（子SKU）'!AE:AE)</f>
        <v>99.72</v>
      </c>
      <c r="AD68" s="23">
        <f t="shared" si="2"/>
        <v>0.758866901443808</v>
      </c>
      <c r="AE68" s="23">
        <f t="shared" si="3"/>
        <v>0.296220853087367</v>
      </c>
      <c r="AF68" s="23">
        <f t="shared" si="4"/>
        <v>0.185254136691937</v>
      </c>
      <c r="AG68" s="23">
        <f t="shared" si="5"/>
        <v>0.220291917402437</v>
      </c>
      <c r="AH68">
        <f>SUMIF('库存（子SKU）'!$C:$C,$A68,'库存（子SKU）'!AJ:AJ)</f>
        <v>67</v>
      </c>
      <c r="AI68">
        <f>SUMIF('库存（子SKU）'!$C:$C,$A68,'库存（子SKU）'!AK:AK)</f>
        <v>173</v>
      </c>
      <c r="AJ68">
        <f>SUMIF('库存（子SKU）'!$C:$C,$A68,'库存（子SKU）'!AL:AL)</f>
        <v>173</v>
      </c>
      <c r="AK68">
        <f>SUMIF('库存（子SKU）'!$C:$C,$A68,'库存（子SKU）'!AM:AM)</f>
        <v>171</v>
      </c>
      <c r="AL68" s="23">
        <f t="shared" si="6"/>
        <v>0.208955223880597</v>
      </c>
      <c r="AM68" s="23">
        <f t="shared" si="7"/>
        <v>0.127167630057803</v>
      </c>
      <c r="AN68" s="23">
        <f t="shared" si="8"/>
        <v>0.092485549132948</v>
      </c>
      <c r="AO68" s="23">
        <f t="shared" si="9"/>
        <v>0.146198830409357</v>
      </c>
      <c r="AP68" s="8">
        <f t="shared" si="10"/>
        <v>2</v>
      </c>
      <c r="AQ68" s="8">
        <f t="shared" si="11"/>
        <v>120</v>
      </c>
      <c r="AR68" s="8">
        <f t="shared" si="12"/>
        <v>-59</v>
      </c>
      <c r="AS68">
        <f t="shared" si="13"/>
        <v>30</v>
      </c>
      <c r="AT68" s="25">
        <f>IFERROR(时间!$B$4+AS68,"上周无销量")</f>
        <v>43320</v>
      </c>
    </row>
    <row r="69" spans="1:46">
      <c r="A69" t="s">
        <v>929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19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19</v>
      </c>
      <c r="L69">
        <f>SUMIF('库存（子SKU）'!$C:$C,$A69,'库存（子SKU）'!N:N)</f>
        <v>0</v>
      </c>
      <c r="M69">
        <f>SUMIF('库存（子SKU）'!$C:$C,$A69,'库存（子SKU）'!O:O)</f>
        <v>17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12</v>
      </c>
      <c r="AI69">
        <f>SUMIF('库存（子SKU）'!$C:$C,$A69,'库存（子SKU）'!AK:AK)</f>
        <v>7</v>
      </c>
      <c r="AJ69">
        <f>SUMIF('库存（子SKU）'!$C:$C,$A69,'库存（子SKU）'!AL:AL)</f>
        <v>7</v>
      </c>
      <c r="AK69">
        <f>SUMIF('库存（子SKU）'!$C:$C,$A69,'库存（子SKU）'!AM:AM)</f>
        <v>6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19</v>
      </c>
      <c r="AS69" t="str">
        <f t="shared" ref="AS69:AS132" si="31">IF(AP69=0,"库存为"&amp;K69,INT(K69/AP69))</f>
        <v>库存为19</v>
      </c>
      <c r="AT69" s="25" t="str">
        <f>IFERROR(时间!$B$4+AS69,"上周无销量")</f>
        <v>上周无销量</v>
      </c>
    </row>
    <row r="70" spans="1:46">
      <c r="A70" t="s">
        <v>938</v>
      </c>
      <c r="B70" s="6">
        <f>SUMIF('库存（子SKU）'!$C:$C,$A70,'库存（子SKU）'!D:D)</f>
        <v>0</v>
      </c>
      <c r="C70" s="6">
        <f>SUMIF('库存（子SKU）'!$C:$C,$A70,'库存（子SKU）'!E:E)</f>
        <v>1</v>
      </c>
      <c r="D70" s="6">
        <f>SUMIF('库存（子SKU）'!$C:$C,$A70,'库存（子SKU）'!F:F)</f>
        <v>2</v>
      </c>
      <c r="E70" s="6">
        <f>SUMIF('库存（子SKU）'!$C:$C,$A70,'库存（子SKU）'!G:G)</f>
        <v>2</v>
      </c>
      <c r="F70" s="7">
        <v>16.99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1</v>
      </c>
      <c r="K70">
        <f t="shared" si="19"/>
        <v>1</v>
      </c>
      <c r="L70">
        <f>SUMIF('库存（子SKU）'!$C:$C,$A70,'库存（子SKU）'!N:N)</f>
        <v>3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4516</v>
      </c>
      <c r="P70">
        <f>SUMIF('库存（子SKU）'!$C:$C,$A70,'库存（子SKU）'!R:R)</f>
        <v>0</v>
      </c>
      <c r="Q70">
        <f>SUMIF('库存（子SKU）'!$C:$C,$A70,'库存（子SKU）'!S:S)</f>
        <v>5994</v>
      </c>
      <c r="R70">
        <f>SUMIF('库存（子SKU）'!$C:$C,$A70,'库存（子SKU）'!T:T)</f>
        <v>0</v>
      </c>
      <c r="S70">
        <f>SUMIF('库存（子SKU）'!$C:$C,$A70,'库存（子SKU）'!U:U)</f>
        <v>14</v>
      </c>
      <c r="T70">
        <f>SUMIF('库存（子SKU）'!$C:$C,$A70,'库存（子SKU）'!V:V)</f>
        <v>0</v>
      </c>
      <c r="U70">
        <f>SUMIF('库存（子SKU）'!$C:$C,$A70,'库存（子SKU）'!W:W)</f>
        <v>24</v>
      </c>
      <c r="V70" s="23" t="str">
        <f t="shared" ref="V70:V133" si="32">IFERROR(R70/N70,"")</f>
        <v/>
      </c>
      <c r="W70" s="23">
        <f t="shared" ref="W70:W133" si="33">IFERROR(S70/O70,"")</f>
        <v>0.00310008857395926</v>
      </c>
      <c r="X70" s="23" t="str">
        <f t="shared" ref="X70:X133" si="34">IFERROR(T70/P70,"")</f>
        <v/>
      </c>
      <c r="Y70" s="23">
        <f t="shared" ref="Y70:Y133" si="35">IFERROR(U70/Q70,"")</f>
        <v>0.004004004004004</v>
      </c>
      <c r="Z70">
        <f>SUMIF('库存（子SKU）'!$C:$C,$A70,'库存（子SKU）'!AB:AB)</f>
        <v>0</v>
      </c>
      <c r="AA70">
        <f>SUMIF('库存（子SKU）'!$C:$C,$A70,'库存（子SKU）'!AC:AC)</f>
        <v>3.61</v>
      </c>
      <c r="AB70">
        <f>SUMIF('库存（子SKU）'!$C:$C,$A70,'库存（子SKU）'!AD:AD)</f>
        <v>0</v>
      </c>
      <c r="AC70">
        <f>SUMIF('库存（子SKU）'!$C:$C,$A70,'库存（子SKU）'!AE:AE)</f>
        <v>6.46</v>
      </c>
      <c r="AD70" s="23" t="str">
        <f t="shared" si="20"/>
        <v/>
      </c>
      <c r="AE70" s="23">
        <f t="shared" si="21"/>
        <v>0.212477928193055</v>
      </c>
      <c r="AF70" s="23">
        <f t="shared" si="22"/>
        <v>0</v>
      </c>
      <c r="AG70" s="23">
        <f t="shared" si="23"/>
        <v>0.190111830488523</v>
      </c>
      <c r="AH70">
        <f>SUMIF('库存（子SKU）'!$C:$C,$A70,'库存（子SKU）'!AJ:AJ)</f>
        <v>3</v>
      </c>
      <c r="AI70">
        <f>SUMIF('库存（子SKU）'!$C:$C,$A70,'库存（子SKU）'!AK:AK)</f>
        <v>28</v>
      </c>
      <c r="AJ70">
        <f>SUMIF('库存（子SKU）'!$C:$C,$A70,'库存（子SKU）'!AL:AL)</f>
        <v>28</v>
      </c>
      <c r="AK70">
        <f>SUMIF('库存（子SKU）'!$C:$C,$A70,'库存（子SKU）'!AM:AM)</f>
        <v>35</v>
      </c>
      <c r="AL70" s="23">
        <f t="shared" si="24"/>
        <v>0</v>
      </c>
      <c r="AM70" s="23">
        <f t="shared" si="25"/>
        <v>0.0357142857142857</v>
      </c>
      <c r="AN70" s="23">
        <f t="shared" si="26"/>
        <v>0.0714285714285714</v>
      </c>
      <c r="AO70" s="23">
        <f t="shared" si="27"/>
        <v>0.0571428571428571</v>
      </c>
      <c r="AP70" s="8">
        <f t="shared" si="28"/>
        <v>0</v>
      </c>
      <c r="AQ70" s="8">
        <f t="shared" si="29"/>
        <v>0</v>
      </c>
      <c r="AR70" s="8">
        <f t="shared" si="30"/>
        <v>1</v>
      </c>
      <c r="AS70" t="str">
        <f t="shared" si="31"/>
        <v>库存为1</v>
      </c>
      <c r="AT70" s="25" t="str">
        <f>IFERROR(时间!$B$4+AS70,"上周无销量")</f>
        <v>上周无销量</v>
      </c>
    </row>
    <row r="71" spans="1:46">
      <c r="A71" t="s">
        <v>951</v>
      </c>
      <c r="B71" s="6">
        <f>SUMIF('库存（子SKU）'!$C:$C,$A71,'库存（子SKU）'!D:D)</f>
        <v>2</v>
      </c>
      <c r="C71" s="6">
        <f>SUMIF('库存（子SKU）'!$C:$C,$A71,'库存（子SKU）'!E:E)</f>
        <v>2</v>
      </c>
      <c r="D71" s="6">
        <f>SUMIF('库存（子SKU）'!$C:$C,$A71,'库存（子SKU）'!F:F)</f>
        <v>4</v>
      </c>
      <c r="E71" s="6">
        <f>SUMIF('库存（子SKU）'!$C:$C,$A71,'库存（子SKU）'!G:G)</f>
        <v>5</v>
      </c>
      <c r="F71" s="7">
        <v>16.99</v>
      </c>
      <c r="G71">
        <f>SUMIF('库存（子SKU）'!$C:$C,$A71,'库存（子SKU）'!I:I)</f>
        <v>21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21</v>
      </c>
      <c r="L71">
        <f>SUMIF('库存（子SKU）'!$C:$C,$A71,'库存（子SKU）'!N:N)</f>
        <v>5</v>
      </c>
      <c r="M71">
        <f>SUMIF('库存（子SKU）'!$C:$C,$A71,'库存（子SKU）'!O:O)</f>
        <v>14</v>
      </c>
      <c r="N71">
        <f>SUMIF('库存（子SKU）'!$C:$C,$A71,'库存（子SKU）'!P:P)</f>
        <v>1</v>
      </c>
      <c r="O71">
        <f>SUMIF('库存（子SKU）'!$C:$C,$A71,'库存（子SKU）'!Q:Q)</f>
        <v>603</v>
      </c>
      <c r="P71">
        <f>SUMIF('库存（子SKU）'!$C:$C,$A71,'库存（子SKU）'!R:R)</f>
        <v>5513</v>
      </c>
      <c r="Q71">
        <f>SUMIF('库存（子SKU）'!$C:$C,$A71,'库存（子SKU）'!S:S)</f>
        <v>3437</v>
      </c>
      <c r="R71">
        <f>SUMIF('库存（子SKU）'!$C:$C,$A71,'库存（子SKU）'!T:T)</f>
        <v>0</v>
      </c>
      <c r="S71">
        <f>SUMIF('库存（子SKU）'!$C:$C,$A71,'库存（子SKU）'!U:U)</f>
        <v>13</v>
      </c>
      <c r="T71">
        <f>SUMIF('库存（子SKU）'!$C:$C,$A71,'库存（子SKU）'!V:V)</f>
        <v>51</v>
      </c>
      <c r="U71">
        <f>SUMIF('库存（子SKU）'!$C:$C,$A71,'库存（子SKU）'!W:W)</f>
        <v>34</v>
      </c>
      <c r="V71" s="23">
        <f t="shared" si="32"/>
        <v>0</v>
      </c>
      <c r="W71" s="23">
        <f t="shared" si="33"/>
        <v>0.021558872305141</v>
      </c>
      <c r="X71" s="23">
        <f t="shared" si="34"/>
        <v>0.00925086159985489</v>
      </c>
      <c r="Y71" s="23">
        <f t="shared" si="35"/>
        <v>0.00989234797788769</v>
      </c>
      <c r="Z71">
        <f>SUMIF('库存（子SKU）'!$C:$C,$A71,'库存（子SKU）'!AB:AB)</f>
        <v>0</v>
      </c>
      <c r="AA71">
        <f>SUMIF('库存（子SKU）'!$C:$C,$A71,'库存（子SKU）'!AC:AC)</f>
        <v>2.96</v>
      </c>
      <c r="AB71">
        <f>SUMIF('库存（子SKU）'!$C:$C,$A71,'库存（子SKU）'!AD:AD)</f>
        <v>11.99</v>
      </c>
      <c r="AC71">
        <f>SUMIF('库存（子SKU）'!$C:$C,$A71,'库存（子SKU）'!AE:AE)</f>
        <v>7.99</v>
      </c>
      <c r="AD71" s="23">
        <f t="shared" si="20"/>
        <v>0</v>
      </c>
      <c r="AE71" s="23">
        <f t="shared" si="21"/>
        <v>0.087110064743967</v>
      </c>
      <c r="AF71" s="23">
        <f t="shared" si="22"/>
        <v>0.17642731018246</v>
      </c>
      <c r="AG71" s="23">
        <f t="shared" si="23"/>
        <v>0.0940553266627428</v>
      </c>
      <c r="AH71">
        <f>SUMIF('库存（子SKU）'!$C:$C,$A71,'库存（子SKU）'!AJ:AJ)</f>
        <v>10</v>
      </c>
      <c r="AI71">
        <f>SUMIF('库存（子SKU）'!$C:$C,$A71,'库存（子SKU）'!AK:AK)</f>
        <v>20</v>
      </c>
      <c r="AJ71">
        <f>SUMIF('库存（子SKU）'!$C:$C,$A71,'库存（子SKU）'!AL:AL)</f>
        <v>20</v>
      </c>
      <c r="AK71">
        <f>SUMIF('库存（子SKU）'!$C:$C,$A71,'库存（子SKU）'!AM:AM)</f>
        <v>13</v>
      </c>
      <c r="AL71" s="23">
        <f t="shared" si="24"/>
        <v>0.2</v>
      </c>
      <c r="AM71" s="23">
        <f t="shared" si="25"/>
        <v>0.1</v>
      </c>
      <c r="AN71" s="23">
        <f t="shared" si="26"/>
        <v>0.2</v>
      </c>
      <c r="AO71" s="23">
        <f t="shared" si="27"/>
        <v>0.384615384615385</v>
      </c>
      <c r="AP71" s="8">
        <f t="shared" si="28"/>
        <v>0.285714285714286</v>
      </c>
      <c r="AQ71" s="8">
        <f t="shared" si="29"/>
        <v>17.1428571428571</v>
      </c>
      <c r="AR71" s="8">
        <f t="shared" si="30"/>
        <v>3.85714285714286</v>
      </c>
      <c r="AS71">
        <f t="shared" si="31"/>
        <v>73</v>
      </c>
      <c r="AT71" s="25">
        <f>IFERROR(时间!$B$4+AS71,"上周无销量")</f>
        <v>43363</v>
      </c>
    </row>
    <row r="72" spans="1:46">
      <c r="A72" t="s">
        <v>962</v>
      </c>
      <c r="B72" s="6">
        <f>SUMIF('库存（子SKU）'!$C:$C,$A72,'库存（子SKU）'!D:D)</f>
        <v>3</v>
      </c>
      <c r="C72" s="6">
        <f>SUMIF('库存（子SKU）'!$C:$C,$A72,'库存（子SKU）'!E:E)</f>
        <v>6</v>
      </c>
      <c r="D72" s="6">
        <f>SUMIF('库存（子SKU）'!$C:$C,$A72,'库存（子SKU）'!F:F)</f>
        <v>11</v>
      </c>
      <c r="E72" s="6">
        <f>SUMIF('库存（子SKU）'!$C:$C,$A72,'库存（子SKU）'!G:G)</f>
        <v>10</v>
      </c>
      <c r="F72" s="7">
        <v>14.7293333333333</v>
      </c>
      <c r="G72">
        <f>SUMIF('库存（子SKU）'!$C:$C,$A72,'库存（子SKU）'!I:I)</f>
        <v>74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2</v>
      </c>
      <c r="K72">
        <f t="shared" si="19"/>
        <v>76</v>
      </c>
      <c r="L72">
        <f>SUMIF('库存（子SKU）'!$C:$C,$A72,'库存（子SKU）'!N:N)</f>
        <v>8</v>
      </c>
      <c r="M72">
        <f>SUMIF('库存（子SKU）'!$C:$C,$A72,'库存（子SKU）'!O:O)</f>
        <v>51</v>
      </c>
      <c r="N72">
        <f>SUMIF('库存（子SKU）'!$C:$C,$A72,'库存（子SKU）'!P:P)</f>
        <v>28</v>
      </c>
      <c r="O72">
        <f>SUMIF('库存（子SKU）'!$C:$C,$A72,'库存（子SKU）'!Q:Q)</f>
        <v>5</v>
      </c>
      <c r="P72">
        <f>SUMIF('库存（子SKU）'!$C:$C,$A72,'库存（子SKU）'!R:R)</f>
        <v>5</v>
      </c>
      <c r="Q72">
        <f>SUMIF('库存（子SKU）'!$C:$C,$A72,'库存（子SKU）'!S:S)</f>
        <v>1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>
        <f t="shared" si="32"/>
        <v>0</v>
      </c>
      <c r="W72" s="23">
        <f t="shared" si="33"/>
        <v>0</v>
      </c>
      <c r="X72" s="23">
        <f t="shared" si="34"/>
        <v>0</v>
      </c>
      <c r="Y72" s="23">
        <f t="shared" si="35"/>
        <v>0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>
        <f t="shared" si="20"/>
        <v>0</v>
      </c>
      <c r="AE72" s="23">
        <f t="shared" si="21"/>
        <v>0</v>
      </c>
      <c r="AF72" s="23">
        <f t="shared" si="22"/>
        <v>0</v>
      </c>
      <c r="AG72" s="23">
        <f t="shared" si="23"/>
        <v>0</v>
      </c>
      <c r="AH72">
        <f>SUMIF('库存（子SKU）'!$C:$C,$A72,'库存（子SKU）'!AJ:AJ)</f>
        <v>166</v>
      </c>
      <c r="AI72">
        <f>SUMIF('库存（子SKU）'!$C:$C,$A72,'库存（子SKU）'!AK:AK)</f>
        <v>227</v>
      </c>
      <c r="AJ72">
        <f>SUMIF('库存（子SKU）'!$C:$C,$A72,'库存（子SKU）'!AL:AL)</f>
        <v>227</v>
      </c>
      <c r="AK72">
        <f>SUMIF('库存（子SKU）'!$C:$C,$A72,'库存（子SKU）'!AM:AM)</f>
        <v>214</v>
      </c>
      <c r="AL72" s="23">
        <f t="shared" si="24"/>
        <v>0.0180722891566265</v>
      </c>
      <c r="AM72" s="23">
        <f t="shared" si="25"/>
        <v>0.026431718061674</v>
      </c>
      <c r="AN72" s="23">
        <f t="shared" si="26"/>
        <v>0.0484581497797357</v>
      </c>
      <c r="AO72" s="23">
        <f t="shared" si="27"/>
        <v>0.0467289719626168</v>
      </c>
      <c r="AP72" s="8">
        <f t="shared" si="28"/>
        <v>0.428571428571429</v>
      </c>
      <c r="AQ72" s="8">
        <f t="shared" si="29"/>
        <v>25.7142857142857</v>
      </c>
      <c r="AR72" s="8">
        <f t="shared" si="30"/>
        <v>50.2857142857143</v>
      </c>
      <c r="AS72">
        <f t="shared" si="31"/>
        <v>177</v>
      </c>
      <c r="AT72" s="25">
        <f>IFERROR(时间!$B$4+AS72,"上周无销量")</f>
        <v>43467</v>
      </c>
    </row>
    <row r="73" spans="1:46">
      <c r="A73" t="s">
        <v>1031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5" t="str">
        <f>IFERROR(时间!$B$4+AS73,"上周无销量")</f>
        <v>上周无销量</v>
      </c>
    </row>
    <row r="74" spans="1:46">
      <c r="A74" t="s">
        <v>1034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8</v>
      </c>
      <c r="AI74">
        <f>SUMIF('库存（子SKU）'!$C:$C,$A74,'库存（子SKU）'!AK:AK)</f>
        <v>2</v>
      </c>
      <c r="AJ74">
        <f>SUMIF('库存（子SKU）'!$C:$C,$A74,'库存（子SKU）'!AL:AL)</f>
        <v>2</v>
      </c>
      <c r="AK74">
        <f>SUMIF('库存（子SKU）'!$C:$C,$A74,'库存（子SKU）'!AM:AM)</f>
        <v>4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1041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5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12</v>
      </c>
      <c r="AI75">
        <f>SUMIF('库存（子SKU）'!$C:$C,$A75,'库存（子SKU）'!AK:AK)</f>
        <v>1</v>
      </c>
      <c r="AJ75">
        <f>SUMIF('库存（子SKU）'!$C:$C,$A75,'库存（子SKU）'!AL:AL)</f>
        <v>1</v>
      </c>
      <c r="AK75">
        <f>SUMIF('库存（子SKU）'!$C:$C,$A75,'库存（子SKU）'!AM:AM)</f>
        <v>2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5</v>
      </c>
      <c r="AS75" t="str">
        <f t="shared" si="31"/>
        <v>库存为5</v>
      </c>
      <c r="AT75" s="25" t="str">
        <f>IFERROR(时间!$B$4+AS75,"上周无销量")</f>
        <v>上周无销量</v>
      </c>
    </row>
    <row r="76" spans="1:46">
      <c r="A76" t="s">
        <v>1050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8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8</v>
      </c>
      <c r="L76">
        <f>SUMIF('库存（子SKU）'!$C:$C,$A76,'库存（子SKU）'!N:N)</f>
        <v>0</v>
      </c>
      <c r="M76">
        <f>SUMIF('库存（子SKU）'!$C:$C,$A76,'库存（子SKU）'!O:O)</f>
        <v>8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11</v>
      </c>
      <c r="AI76">
        <f>SUMIF('库存（子SKU）'!$C:$C,$A76,'库存（子SKU）'!AK:AK)</f>
        <v>3</v>
      </c>
      <c r="AJ76">
        <f>SUMIF('库存（子SKU）'!$C:$C,$A76,'库存（子SKU）'!AL:AL)</f>
        <v>3</v>
      </c>
      <c r="AK76">
        <f>SUMIF('库存（子SKU）'!$C:$C,$A76,'库存（子SKU）'!AM:AM)</f>
        <v>4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8</v>
      </c>
      <c r="AS76" t="str">
        <f t="shared" si="31"/>
        <v>库存为8</v>
      </c>
      <c r="AT76" s="25" t="str">
        <f>IFERROR(时间!$B$4+AS76,"上周无销量")</f>
        <v>上周无销量</v>
      </c>
    </row>
    <row r="77" spans="1:46">
      <c r="A77" t="s">
        <v>1061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0</v>
      </c>
      <c r="M77">
        <f>SUMIF('库存（子SKU）'!$C:$C,$A77,'库存（子SKU）'!O:O)</f>
        <v>5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7</v>
      </c>
      <c r="AI77">
        <f>SUMIF('库存（子SKU）'!$C:$C,$A77,'库存（子SKU）'!AK:AK)</f>
        <v>3</v>
      </c>
      <c r="AJ77">
        <f>SUMIF('库存（子SKU）'!$C:$C,$A77,'库存（子SKU）'!AL:AL)</f>
        <v>3</v>
      </c>
      <c r="AK77">
        <f>SUMIF('库存（子SKU）'!$C:$C,$A77,'库存（子SKU）'!AM:AM)</f>
        <v>2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5</v>
      </c>
      <c r="AS77" t="str">
        <f t="shared" si="31"/>
        <v>库存为5</v>
      </c>
      <c r="AT77" s="25" t="str">
        <f>IFERROR(时间!$B$4+AS77,"上周无销量")</f>
        <v>上周无销量</v>
      </c>
    </row>
    <row r="78" spans="1:46">
      <c r="A78" t="s">
        <v>1066</v>
      </c>
      <c r="B78" s="6">
        <f>SUMIF('库存（子SKU）'!$C:$C,$A78,'库存（子SKU）'!D:D)</f>
        <v>2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>
        <v>16.99</v>
      </c>
      <c r="G78">
        <f>SUMIF('库存（子SKU）'!$C:$C,$A78,'库存（子SKU）'!I:I)</f>
        <v>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6</v>
      </c>
      <c r="L78">
        <f>SUMIF('库存（子SKU）'!$C:$C,$A78,'库存（子SKU）'!N:N)</f>
        <v>1</v>
      </c>
      <c r="M78">
        <f>SUMIF('库存（子SKU）'!$C:$C,$A78,'库存（子SKU）'!O:O)</f>
        <v>4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>
        <f t="shared" si="20"/>
        <v>0</v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9</v>
      </c>
      <c r="AI78">
        <f>SUMIF('库存（子SKU）'!$C:$C,$A78,'库存（子SKU）'!AK:AK)</f>
        <v>9</v>
      </c>
      <c r="AJ78">
        <f>SUMIF('库存（子SKU）'!$C:$C,$A78,'库存（子SKU）'!AL:AL)</f>
        <v>9</v>
      </c>
      <c r="AK78">
        <f>SUMIF('库存（子SKU）'!$C:$C,$A78,'库存（子SKU）'!AM:AM)</f>
        <v>5</v>
      </c>
      <c r="AL78" s="23">
        <f t="shared" si="24"/>
        <v>0.222222222222222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0.285714285714286</v>
      </c>
      <c r="AQ78" s="8">
        <f t="shared" si="29"/>
        <v>17.1428571428571</v>
      </c>
      <c r="AR78" s="8">
        <f t="shared" si="30"/>
        <v>-11.1428571428571</v>
      </c>
      <c r="AS78">
        <f t="shared" si="31"/>
        <v>21</v>
      </c>
      <c r="AT78" s="25">
        <f>IFERROR(时间!$B$4+AS78,"上周无销量")</f>
        <v>43311</v>
      </c>
    </row>
    <row r="79" spans="1:46">
      <c r="A79" t="s">
        <v>1081</v>
      </c>
      <c r="B79" s="6">
        <f>SUMIF('库存（子SKU）'!$C:$C,$A79,'库存（子SKU）'!D:D)</f>
        <v>1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>
        <v>14.9</v>
      </c>
      <c r="G79">
        <f>SUMIF('库存（子SKU）'!$C:$C,$A79,'库存（子SKU）'!I:I)</f>
        <v>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</v>
      </c>
      <c r="L79">
        <f>SUMIF('库存（子SKU）'!$C:$C,$A79,'库存（子SKU）'!N:N)</f>
        <v>0</v>
      </c>
      <c r="M79">
        <f>SUMIF('库存（子SKU）'!$C:$C,$A79,'库存（子SKU）'!O:O)</f>
        <v>2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>
        <f t="shared" si="20"/>
        <v>0</v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4</v>
      </c>
      <c r="AI79">
        <f>SUMIF('库存（子SKU）'!$C:$C,$A79,'库存（子SKU）'!AK:AK)</f>
        <v>1</v>
      </c>
      <c r="AJ79">
        <f>SUMIF('库存（子SKU）'!$C:$C,$A79,'库存（子SKU）'!AL:AL)</f>
        <v>1</v>
      </c>
      <c r="AK79">
        <f>SUMIF('库存（子SKU）'!$C:$C,$A79,'库存（子SKU）'!AM:AM)</f>
        <v>0</v>
      </c>
      <c r="AL79" s="23">
        <f t="shared" si="24"/>
        <v>0.25</v>
      </c>
      <c r="AM79" s="23">
        <f t="shared" si="25"/>
        <v>0</v>
      </c>
      <c r="AN79" s="23">
        <f t="shared" si="26"/>
        <v>0</v>
      </c>
      <c r="AO79" s="23" t="str">
        <f t="shared" si="27"/>
        <v/>
      </c>
      <c r="AP79" s="8">
        <f t="shared" si="28"/>
        <v>0.142857142857143</v>
      </c>
      <c r="AQ79" s="8">
        <f t="shared" si="29"/>
        <v>8.57142857142857</v>
      </c>
      <c r="AR79" s="8">
        <f t="shared" si="30"/>
        <v>-7.57142857142857</v>
      </c>
      <c r="AS79">
        <f t="shared" si="31"/>
        <v>7</v>
      </c>
      <c r="AT79" s="25">
        <f>IFERROR(时间!$B$4+AS79,"上周无销量")</f>
        <v>43297</v>
      </c>
    </row>
    <row r="80" spans="1:46">
      <c r="A80" t="s">
        <v>1088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27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27</v>
      </c>
      <c r="L80">
        <f>SUMIF('库存（子SKU）'!$C:$C,$A80,'库存（子SKU）'!N:N)</f>
        <v>0</v>
      </c>
      <c r="M80">
        <f>SUMIF('库存（子SKU）'!$C:$C,$A80,'库存（子SKU）'!O:O)</f>
        <v>25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29</v>
      </c>
      <c r="AI80">
        <f>SUMIF('库存（子SKU）'!$C:$C,$A80,'库存（子SKU）'!AK:AK)</f>
        <v>7</v>
      </c>
      <c r="AJ80">
        <f>SUMIF('库存（子SKU）'!$C:$C,$A80,'库存（子SKU）'!AL:AL)</f>
        <v>7</v>
      </c>
      <c r="AK80">
        <f>SUMIF('库存（子SKU）'!$C:$C,$A80,'库存（子SKU）'!AM:AM)</f>
        <v>5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27</v>
      </c>
      <c r="AS80" t="str">
        <f t="shared" si="31"/>
        <v>库存为27</v>
      </c>
      <c r="AT80" s="25" t="str">
        <f>IFERROR(时间!$B$4+AS80,"上周无销量")</f>
        <v>上周无销量</v>
      </c>
    </row>
    <row r="81" spans="1:46">
      <c r="A81" t="s">
        <v>1105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5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</v>
      </c>
      <c r="L81">
        <f>SUMIF('库存（子SKU）'!$C:$C,$A81,'库存（子SKU）'!N:N)</f>
        <v>0</v>
      </c>
      <c r="M81">
        <f>SUMIF('库存（子SKU）'!$C:$C,$A81,'库存（子SKU）'!O:O)</f>
        <v>5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5</v>
      </c>
      <c r="AI81">
        <f>SUMIF('库存（子SKU）'!$C:$C,$A81,'库存（子SKU）'!AK:AK)</f>
        <v>3</v>
      </c>
      <c r="AJ81">
        <f>SUMIF('库存（子SKU）'!$C:$C,$A81,'库存（子SKU）'!AL:AL)</f>
        <v>3</v>
      </c>
      <c r="AK81">
        <f>SUMIF('库存（子SKU）'!$C:$C,$A81,'库存（子SKU）'!AM:AM)</f>
        <v>7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5</v>
      </c>
      <c r="AS81" t="str">
        <f t="shared" si="31"/>
        <v>库存为5</v>
      </c>
      <c r="AT81" s="25" t="str">
        <f>IFERROR(时间!$B$4+AS81,"上周无销量")</f>
        <v>上周无销量</v>
      </c>
    </row>
    <row r="82" spans="1:46">
      <c r="A82" t="s">
        <v>1110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16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16</v>
      </c>
      <c r="L82">
        <f>SUMIF('库存（子SKU）'!$C:$C,$A82,'库存（子SKU）'!N:N)</f>
        <v>1</v>
      </c>
      <c r="M82">
        <f>SUMIF('库存（子SKU）'!$C:$C,$A82,'库存（子SKU）'!O:O)</f>
        <v>16</v>
      </c>
      <c r="N82">
        <f>SUMIF('库存（子SKU）'!$C:$C,$A82,'库存（子SKU）'!P:P)</f>
        <v>68</v>
      </c>
      <c r="O82">
        <f>SUMIF('库存（子SKU）'!$C:$C,$A82,'库存（子SKU）'!Q:Q)</f>
        <v>156</v>
      </c>
      <c r="P82">
        <f>SUMIF('库存（子SKU）'!$C:$C,$A82,'库存（子SKU）'!R:R)</f>
        <v>1624</v>
      </c>
      <c r="Q82">
        <f>SUMIF('库存（子SKU）'!$C:$C,$A82,'库存（子SKU）'!S:S)</f>
        <v>3503</v>
      </c>
      <c r="R82">
        <f>SUMIF('库存（子SKU）'!$C:$C,$A82,'库存（子SKU）'!T:T)</f>
        <v>0</v>
      </c>
      <c r="S82">
        <f>SUMIF('库存（子SKU）'!$C:$C,$A82,'库存（子SKU）'!U:U)</f>
        <v>2</v>
      </c>
      <c r="T82">
        <f>SUMIF('库存（子SKU）'!$C:$C,$A82,'库存（子SKU）'!V:V)</f>
        <v>17</v>
      </c>
      <c r="U82">
        <f>SUMIF('库存（子SKU）'!$C:$C,$A82,'库存（子SKU）'!W:W)</f>
        <v>18</v>
      </c>
      <c r="V82" s="23">
        <f t="shared" si="32"/>
        <v>0</v>
      </c>
      <c r="W82" s="23">
        <f t="shared" si="33"/>
        <v>0.0128205128205128</v>
      </c>
      <c r="X82" s="23">
        <f t="shared" si="34"/>
        <v>0.0104679802955665</v>
      </c>
      <c r="Y82" s="23">
        <f t="shared" si="35"/>
        <v>0.00513845275478162</v>
      </c>
      <c r="Z82">
        <f>SUMIF('库存（子SKU）'!$C:$C,$A82,'库存（子SKU）'!AB:AB)</f>
        <v>0</v>
      </c>
      <c r="AA82">
        <f>SUMIF('库存（子SKU）'!$C:$C,$A82,'库存（子SKU）'!AC:AC)</f>
        <v>0.15</v>
      </c>
      <c r="AB82">
        <f>SUMIF('库存（子SKU）'!$C:$C,$A82,'库存（子SKU）'!AD:AD)</f>
        <v>4.34</v>
      </c>
      <c r="AC82">
        <f>SUMIF('库存（子SKU）'!$C:$C,$A82,'库存（子SKU）'!AE:AE)</f>
        <v>3.94</v>
      </c>
      <c r="AD82" s="23" t="str">
        <f t="shared" si="20"/>
        <v/>
      </c>
      <c r="AE82" s="23" t="str">
        <f t="shared" si="21"/>
        <v>无销量广告费为0.15</v>
      </c>
      <c r="AF82" s="23" t="str">
        <f t="shared" si="22"/>
        <v>无销量广告费为4.34</v>
      </c>
      <c r="AG82" s="23" t="str">
        <f t="shared" si="23"/>
        <v>无销量广告费为3.94</v>
      </c>
      <c r="AH82">
        <f>SUMIF('库存（子SKU）'!$C:$C,$A82,'库存（子SKU）'!AJ:AJ)</f>
        <v>4</v>
      </c>
      <c r="AI82">
        <f>SUMIF('库存（子SKU）'!$C:$C,$A82,'库存（子SKU）'!AK:AK)</f>
        <v>6</v>
      </c>
      <c r="AJ82">
        <f>SUMIF('库存（子SKU）'!$C:$C,$A82,'库存（子SKU）'!AL:AL)</f>
        <v>6</v>
      </c>
      <c r="AK82">
        <f>SUMIF('库存（子SKU）'!$C:$C,$A82,'库存（子SKU）'!AM:AM)</f>
        <v>13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16</v>
      </c>
      <c r="AS82" t="str">
        <f t="shared" si="31"/>
        <v>库存为16</v>
      </c>
      <c r="AT82" s="25" t="str">
        <f>IFERROR(时间!$B$4+AS82,"上周无销量")</f>
        <v>上周无销量</v>
      </c>
    </row>
    <row r="83" spans="1:46">
      <c r="A83" t="s">
        <v>1115</v>
      </c>
      <c r="B83" s="6">
        <f>SUMIF('库存（子SKU）'!$C:$C,$A83,'库存（子SKU）'!D:D)</f>
        <v>3</v>
      </c>
      <c r="C83" s="6">
        <f>SUMIF('库存（子SKU）'!$C:$C,$A83,'库存（子SKU）'!E:E)</f>
        <v>6</v>
      </c>
      <c r="D83" s="6">
        <f>SUMIF('库存（子SKU）'!$C:$C,$A83,'库存（子SKU）'!F:F)</f>
        <v>2</v>
      </c>
      <c r="E83" s="6">
        <f>SUMIF('库存（子SKU）'!$C:$C,$A83,'库存（子SKU）'!G:G)</f>
        <v>1</v>
      </c>
      <c r="F83" s="7">
        <v>16.99</v>
      </c>
      <c r="G83">
        <f>SUMIF('库存（子SKU）'!$C:$C,$A83,'库存（子SKU）'!I:I)</f>
        <v>100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100</v>
      </c>
      <c r="L83">
        <f>SUMIF('库存（子SKU）'!$C:$C,$A83,'库存（子SKU）'!N:N)</f>
        <v>6</v>
      </c>
      <c r="M83">
        <f>SUMIF('库存（子SKU）'!$C:$C,$A83,'库存（子SKU）'!O:O)</f>
        <v>88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</v>
      </c>
      <c r="AE83" s="23">
        <f t="shared" si="21"/>
        <v>0</v>
      </c>
      <c r="AF83" s="23">
        <f t="shared" si="22"/>
        <v>0</v>
      </c>
      <c r="AG83" s="23">
        <f t="shared" si="23"/>
        <v>0</v>
      </c>
      <c r="AH83">
        <f>SUMIF('库存（子SKU）'!$C:$C,$A83,'库存（子SKU）'!AJ:AJ)</f>
        <v>32</v>
      </c>
      <c r="AI83">
        <f>SUMIF('库存（子SKU）'!$C:$C,$A83,'库存（子SKU）'!AK:AK)</f>
        <v>25</v>
      </c>
      <c r="AJ83">
        <f>SUMIF('库存（子SKU）'!$C:$C,$A83,'库存（子SKU）'!AL:AL)</f>
        <v>25</v>
      </c>
      <c r="AK83">
        <f>SUMIF('库存（子SKU）'!$C:$C,$A83,'库存（子SKU）'!AM:AM)</f>
        <v>17</v>
      </c>
      <c r="AL83" s="23">
        <f t="shared" si="24"/>
        <v>0.09375</v>
      </c>
      <c r="AM83" s="23">
        <f t="shared" si="25"/>
        <v>0.24</v>
      </c>
      <c r="AN83" s="23">
        <f t="shared" si="26"/>
        <v>0.08</v>
      </c>
      <c r="AO83" s="23">
        <f t="shared" si="27"/>
        <v>0.0588235294117647</v>
      </c>
      <c r="AP83" s="8">
        <f t="shared" si="28"/>
        <v>0.428571428571429</v>
      </c>
      <c r="AQ83" s="8">
        <f t="shared" si="29"/>
        <v>25.7142857142857</v>
      </c>
      <c r="AR83" s="8">
        <f t="shared" si="30"/>
        <v>74.2857142857143</v>
      </c>
      <c r="AS83">
        <f t="shared" si="31"/>
        <v>233</v>
      </c>
      <c r="AT83" s="25">
        <f>IFERROR(时间!$B$4+AS83,"上周无销量")</f>
        <v>43523</v>
      </c>
    </row>
    <row r="84" spans="1:46">
      <c r="A84" t="s">
        <v>1130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4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</v>
      </c>
      <c r="L84">
        <f>SUMIF('库存（子SKU）'!$C:$C,$A84,'库存（子SKU）'!N:N)</f>
        <v>0</v>
      </c>
      <c r="M84">
        <f>SUMIF('库存（子SKU）'!$C:$C,$A84,'库存（子SKU）'!O:O)</f>
        <v>4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3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2</v>
      </c>
      <c r="AL84" s="23">
        <f t="shared" si="24"/>
        <v>0</v>
      </c>
      <c r="AM84" s="23" t="str">
        <f t="shared" si="25"/>
        <v/>
      </c>
      <c r="AN84" s="23" t="str">
        <f t="shared" si="26"/>
        <v/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4</v>
      </c>
      <c r="AS84" t="str">
        <f t="shared" si="31"/>
        <v>库存为4</v>
      </c>
      <c r="AT84" s="25" t="str">
        <f>IFERROR(时间!$B$4+AS84,"上周无销量")</f>
        <v>上周无销量</v>
      </c>
    </row>
    <row r="85" spans="1:46">
      <c r="A85" t="s">
        <v>1135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45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45</v>
      </c>
      <c r="L85">
        <f>SUMIF('库存（子SKU）'!$C:$C,$A85,'库存（子SKU）'!N:N)</f>
        <v>0</v>
      </c>
      <c r="M85">
        <f>SUMIF('库存（子SKU）'!$C:$C,$A85,'库存（子SKU）'!O:O)</f>
        <v>45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52</v>
      </c>
      <c r="AI85">
        <f>SUMIF('库存（子SKU）'!$C:$C,$A85,'库存（子SKU）'!AK:AK)</f>
        <v>12</v>
      </c>
      <c r="AJ85">
        <f>SUMIF('库存（子SKU）'!$C:$C,$A85,'库存（子SKU）'!AL:AL)</f>
        <v>12</v>
      </c>
      <c r="AK85">
        <f>SUMIF('库存（子SKU）'!$C:$C,$A85,'库存（子SKU）'!AM:AM)</f>
        <v>16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45</v>
      </c>
      <c r="AS85" t="str">
        <f t="shared" si="31"/>
        <v>库存为45</v>
      </c>
      <c r="AT85" s="25" t="str">
        <f>IFERROR(时间!$B$4+AS85,"上周无销量")</f>
        <v>上周无销量</v>
      </c>
    </row>
    <row r="86" spans="1:46">
      <c r="A86" t="s">
        <v>1172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7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7</v>
      </c>
      <c r="L86">
        <f>SUMIF('库存（子SKU）'!$C:$C,$A86,'库存（子SKU）'!N:N)</f>
        <v>0</v>
      </c>
      <c r="M86">
        <f>SUMIF('库存（子SKU）'!$C:$C,$A86,'库存（子SKU）'!O:O)</f>
        <v>7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6</v>
      </c>
      <c r="AI86">
        <f>SUMIF('库存（子SKU）'!$C:$C,$A86,'库存（子SKU）'!AK:AK)</f>
        <v>1</v>
      </c>
      <c r="AJ86">
        <f>SUMIF('库存（子SKU）'!$C:$C,$A86,'库存（子SKU）'!AL:AL)</f>
        <v>1</v>
      </c>
      <c r="AK86">
        <f>SUMIF('库存（子SKU）'!$C:$C,$A86,'库存（子SKU）'!AM:AM)</f>
        <v>1</v>
      </c>
      <c r="AL86" s="23">
        <f t="shared" si="24"/>
        <v>0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7</v>
      </c>
      <c r="AS86" t="str">
        <f t="shared" si="31"/>
        <v>库存为7</v>
      </c>
      <c r="AT86" s="25" t="str">
        <f>IFERROR(时间!$B$4+AS86,"上周无销量")</f>
        <v>上周无销量</v>
      </c>
    </row>
    <row r="87" spans="1:46">
      <c r="A87" t="s">
        <v>1179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5" t="str">
        <f>IFERROR(时间!$B$4+AS87,"上周无销量")</f>
        <v>上周无销量</v>
      </c>
    </row>
    <row r="88" spans="1:46">
      <c r="A88" t="s">
        <v>1182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3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3</v>
      </c>
      <c r="L88">
        <f>SUMIF('库存（子SKU）'!$C:$C,$A88,'库存（子SKU）'!N:N)</f>
        <v>0</v>
      </c>
      <c r="M88">
        <f>SUMIF('库存（子SKU）'!$C:$C,$A88,'库存（子SKU）'!O:O)</f>
        <v>3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4</v>
      </c>
      <c r="AI88">
        <f>SUMIF('库存（子SKU）'!$C:$C,$A88,'库存（子SKU）'!AK:AK)</f>
        <v>2</v>
      </c>
      <c r="AJ88">
        <f>SUMIF('库存（子SKU）'!$C:$C,$A88,'库存（子SKU）'!AL:AL)</f>
        <v>2</v>
      </c>
      <c r="AK88">
        <f>SUMIF('库存（子SKU）'!$C:$C,$A88,'库存（子SKU）'!AM:AM)</f>
        <v>2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</v>
      </c>
      <c r="AP88" s="8">
        <f t="shared" si="28"/>
        <v>0</v>
      </c>
      <c r="AQ88" s="8">
        <f t="shared" si="29"/>
        <v>0</v>
      </c>
      <c r="AR88" s="8">
        <f t="shared" si="30"/>
        <v>3</v>
      </c>
      <c r="AS88" t="str">
        <f t="shared" si="31"/>
        <v>库存为3</v>
      </c>
      <c r="AT88" s="25" t="str">
        <f>IFERROR(时间!$B$4+AS88,"上周无销量")</f>
        <v>上周无销量</v>
      </c>
    </row>
    <row r="89" spans="1:46">
      <c r="A89" t="s">
        <v>1187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2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2</v>
      </c>
      <c r="L89">
        <f>SUMIF('库存（子SKU）'!$C:$C,$A89,'库存（子SKU）'!N:N)</f>
        <v>0</v>
      </c>
      <c r="M89">
        <f>SUMIF('库存（子SKU）'!$C:$C,$A89,'库存（子SKU）'!O:O)</f>
        <v>2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1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1</v>
      </c>
      <c r="AL89" s="23">
        <f t="shared" si="24"/>
        <v>0</v>
      </c>
      <c r="AM89" s="23" t="str">
        <f t="shared" si="25"/>
        <v/>
      </c>
      <c r="AN89" s="23" t="str">
        <f t="shared" si="26"/>
        <v/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2</v>
      </c>
      <c r="AS89" t="str">
        <f t="shared" si="31"/>
        <v>库存为2</v>
      </c>
      <c r="AT89" s="25" t="str">
        <f>IFERROR(时间!$B$4+AS89,"上周无销量")</f>
        <v>上周无销量</v>
      </c>
    </row>
    <row r="90" spans="1:46">
      <c r="A90" t="s">
        <v>1190</v>
      </c>
      <c r="B90" s="6">
        <f>SUMIF('库存（子SKU）'!$C:$C,$A90,'库存（子SKU）'!D:D)</f>
        <v>1</v>
      </c>
      <c r="C90" s="6">
        <f>SUMIF('库存（子SKU）'!$C:$C,$A90,'库存（子SKU）'!E:E)</f>
        <v>2</v>
      </c>
      <c r="D90" s="6">
        <f>SUMIF('库存（子SKU）'!$C:$C,$A90,'库存（子SKU）'!F:F)</f>
        <v>2</v>
      </c>
      <c r="E90" s="6">
        <f>SUMIF('库存（子SKU）'!$C:$C,$A90,'库存（子SKU）'!G:G)</f>
        <v>13</v>
      </c>
      <c r="F90" s="7">
        <v>18.6466666666667</v>
      </c>
      <c r="G90">
        <f>SUMIF('库存（子SKU）'!$C:$C,$A90,'库存（子SKU）'!I:I)</f>
        <v>37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37</v>
      </c>
      <c r="L90">
        <f>SUMIF('库存（子SKU）'!$C:$C,$A90,'库存（子SKU）'!N:N)</f>
        <v>2</v>
      </c>
      <c r="M90">
        <f>SUMIF('库存（子SKU）'!$C:$C,$A90,'库存（子SKU）'!O:O)</f>
        <v>35</v>
      </c>
      <c r="N90">
        <f>SUMIF('库存（子SKU）'!$C:$C,$A90,'库存（子SKU）'!P:P)</f>
        <v>0</v>
      </c>
      <c r="O90">
        <f>SUMIF('库存（子SKU）'!$C:$C,$A90,'库存（子SKU）'!Q:Q)</f>
        <v>3741</v>
      </c>
      <c r="P90">
        <f>SUMIF('库存（子SKU）'!$C:$C,$A90,'库存（子SKU）'!R:R)</f>
        <v>22753</v>
      </c>
      <c r="Q90">
        <f>SUMIF('库存（子SKU）'!$C:$C,$A90,'库存（子SKU）'!S:S)</f>
        <v>21420</v>
      </c>
      <c r="R90">
        <f>SUMIF('库存（子SKU）'!$C:$C,$A90,'库存（子SKU）'!T:T)</f>
        <v>0</v>
      </c>
      <c r="S90">
        <f>SUMIF('库存（子SKU）'!$C:$C,$A90,'库存（子SKU）'!U:U)</f>
        <v>31</v>
      </c>
      <c r="T90">
        <f>SUMIF('库存（子SKU）'!$C:$C,$A90,'库存（子SKU）'!V:V)</f>
        <v>193</v>
      </c>
      <c r="U90">
        <f>SUMIF('库存（子SKU）'!$C:$C,$A90,'库存（子SKU）'!W:W)</f>
        <v>207</v>
      </c>
      <c r="V90" s="23" t="str">
        <f t="shared" si="32"/>
        <v/>
      </c>
      <c r="W90" s="23">
        <f t="shared" si="33"/>
        <v>0.00828655439721999</v>
      </c>
      <c r="X90" s="23">
        <f t="shared" si="34"/>
        <v>0.00848239792554828</v>
      </c>
      <c r="Y90" s="23">
        <f t="shared" si="35"/>
        <v>0.00966386554621849</v>
      </c>
      <c r="Z90">
        <f>SUMIF('库存（子SKU）'!$C:$C,$A90,'库存（子SKU）'!AB:AB)</f>
        <v>0</v>
      </c>
      <c r="AA90">
        <f>SUMIF('库存（子SKU）'!$C:$C,$A90,'库存（子SKU）'!AC:AC)</f>
        <v>10.32</v>
      </c>
      <c r="AB90">
        <f>SUMIF('库存（子SKU）'!$C:$C,$A90,'库存（子SKU）'!AD:AD)</f>
        <v>61.19</v>
      </c>
      <c r="AC90">
        <f>SUMIF('库存（子SKU）'!$C:$C,$A90,'库存（子SKU）'!AE:AE)</f>
        <v>71.58</v>
      </c>
      <c r="AD90" s="23">
        <f t="shared" si="20"/>
        <v>0</v>
      </c>
      <c r="AE90" s="23">
        <f t="shared" si="21"/>
        <v>0.276725062567036</v>
      </c>
      <c r="AF90" s="23">
        <f t="shared" si="22"/>
        <v>1.64077583124777</v>
      </c>
      <c r="AG90" s="23">
        <f t="shared" si="23"/>
        <v>0.295288908445862</v>
      </c>
      <c r="AH90">
        <f>SUMIF('库存（子SKU）'!$C:$C,$A90,'库存（子SKU）'!AJ:AJ)</f>
        <v>31</v>
      </c>
      <c r="AI90">
        <f>SUMIF('库存（子SKU）'!$C:$C,$A90,'库存（子SKU）'!AK:AK)</f>
        <v>20</v>
      </c>
      <c r="AJ90">
        <f>SUMIF('库存（子SKU）'!$C:$C,$A90,'库存（子SKU）'!AL:AL)</f>
        <v>20</v>
      </c>
      <c r="AK90">
        <f>SUMIF('库存（子SKU）'!$C:$C,$A90,'库存（子SKU）'!AM:AM)</f>
        <v>78</v>
      </c>
      <c r="AL90" s="23">
        <f t="shared" si="24"/>
        <v>0.032258064516129</v>
      </c>
      <c r="AM90" s="23">
        <f t="shared" si="25"/>
        <v>0.1</v>
      </c>
      <c r="AN90" s="23">
        <f t="shared" si="26"/>
        <v>0.1</v>
      </c>
      <c r="AO90" s="23">
        <f t="shared" si="27"/>
        <v>0.166666666666667</v>
      </c>
      <c r="AP90" s="8">
        <f t="shared" si="28"/>
        <v>0.142857142857143</v>
      </c>
      <c r="AQ90" s="8">
        <f t="shared" si="29"/>
        <v>8.57142857142857</v>
      </c>
      <c r="AR90" s="8">
        <f t="shared" si="30"/>
        <v>28.4285714285714</v>
      </c>
      <c r="AS90">
        <f t="shared" si="31"/>
        <v>259</v>
      </c>
      <c r="AT90" s="25">
        <f>IFERROR(时间!$B$4+AS90,"上周无销量")</f>
        <v>43549</v>
      </c>
    </row>
    <row r="91" spans="1:46">
      <c r="A91" t="s">
        <v>1199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5" t="str">
        <f>IFERROR(时间!$B$4+AS91,"上周无销量")</f>
        <v>上周无销量</v>
      </c>
    </row>
    <row r="92" spans="1:46">
      <c r="A92" t="s">
        <v>1208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5" t="str">
        <f>IFERROR(时间!$B$4+AS92,"上周无销量")</f>
        <v>上周无销量</v>
      </c>
    </row>
    <row r="93" spans="1:46">
      <c r="A93" t="s">
        <v>1211</v>
      </c>
      <c r="B93" s="6">
        <f>SUMIF('库存（子SKU）'!$C:$C,$A93,'库存（子SKU）'!D:D)</f>
        <v>1</v>
      </c>
      <c r="C93" s="6">
        <f>SUMIF('库存（子SKU）'!$C:$C,$A93,'库存（子SKU）'!E:E)</f>
        <v>2</v>
      </c>
      <c r="D93" s="6">
        <f>SUMIF('库存（子SKU）'!$C:$C,$A93,'库存（子SKU）'!F:F)</f>
        <v>1</v>
      </c>
      <c r="E93" s="6">
        <f>SUMIF('库存（子SKU）'!$C:$C,$A93,'库存（子SKU）'!G:G)</f>
        <v>1</v>
      </c>
      <c r="F93" s="7">
        <v>18.98</v>
      </c>
      <c r="G93">
        <f>SUMIF('库存（子SKU）'!$C:$C,$A93,'库存（子SKU）'!I:I)</f>
        <v>15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15</v>
      </c>
      <c r="L93">
        <f>SUMIF('库存（子SKU）'!$C:$C,$A93,'库存（子SKU）'!N:N)</f>
        <v>0</v>
      </c>
      <c r="M93">
        <f>SUMIF('库存（子SKU）'!$C:$C,$A93,'库存（子SKU）'!O:O)</f>
        <v>12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>
        <f t="shared" si="20"/>
        <v>0</v>
      </c>
      <c r="AE93" s="23">
        <f t="shared" si="21"/>
        <v>0</v>
      </c>
      <c r="AF93" s="23">
        <f t="shared" si="22"/>
        <v>0</v>
      </c>
      <c r="AG93" s="23">
        <f t="shared" si="23"/>
        <v>0</v>
      </c>
      <c r="AH93">
        <f>SUMIF('库存（子SKU）'!$C:$C,$A93,'库存（子SKU）'!AJ:AJ)</f>
        <v>11</v>
      </c>
      <c r="AI93">
        <f>SUMIF('库存（子SKU）'!$C:$C,$A93,'库存（子SKU）'!AK:AK)</f>
        <v>3</v>
      </c>
      <c r="AJ93">
        <f>SUMIF('库存（子SKU）'!$C:$C,$A93,'库存（子SKU）'!AL:AL)</f>
        <v>3</v>
      </c>
      <c r="AK93">
        <f>SUMIF('库存（子SKU）'!$C:$C,$A93,'库存（子SKU）'!AM:AM)</f>
        <v>3</v>
      </c>
      <c r="AL93" s="23">
        <f t="shared" si="24"/>
        <v>0.0909090909090909</v>
      </c>
      <c r="AM93" s="23">
        <f t="shared" si="25"/>
        <v>0.666666666666667</v>
      </c>
      <c r="AN93" s="23">
        <f t="shared" si="26"/>
        <v>0.333333333333333</v>
      </c>
      <c r="AO93" s="23">
        <f t="shared" si="27"/>
        <v>0.333333333333333</v>
      </c>
      <c r="AP93" s="8">
        <f t="shared" si="28"/>
        <v>0.142857142857143</v>
      </c>
      <c r="AQ93" s="8">
        <f t="shared" si="29"/>
        <v>8.57142857142857</v>
      </c>
      <c r="AR93" s="8">
        <f t="shared" si="30"/>
        <v>6.42857142857143</v>
      </c>
      <c r="AS93">
        <f t="shared" si="31"/>
        <v>105</v>
      </c>
      <c r="AT93" s="25">
        <f>IFERROR(时间!$B$4+AS93,"上周无销量")</f>
        <v>43395</v>
      </c>
    </row>
    <row r="94" spans="1:46">
      <c r="A94" t="s">
        <v>1222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2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2</v>
      </c>
      <c r="L94">
        <f>SUMIF('库存（子SKU）'!$C:$C,$A94,'库存（子SKU）'!N:N)</f>
        <v>0</v>
      </c>
      <c r="M94">
        <f>SUMIF('库存（子SKU）'!$C:$C,$A94,'库存（子SKU）'!O:O)</f>
        <v>2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7</v>
      </c>
      <c r="AI94">
        <f>SUMIF('库存（子SKU）'!$C:$C,$A94,'库存（子SKU）'!AK:AK)</f>
        <v>2</v>
      </c>
      <c r="AJ94">
        <f>SUMIF('库存（子SKU）'!$C:$C,$A94,'库存（子SKU）'!AL:AL)</f>
        <v>2</v>
      </c>
      <c r="AK94">
        <f>SUMIF('库存（子SKU）'!$C:$C,$A94,'库存（子SKU）'!AM:AM)</f>
        <v>2</v>
      </c>
      <c r="AL94" s="23">
        <f t="shared" si="24"/>
        <v>0</v>
      </c>
      <c r="AM94" s="23">
        <f t="shared" si="25"/>
        <v>0</v>
      </c>
      <c r="AN94" s="23">
        <f t="shared" si="26"/>
        <v>0</v>
      </c>
      <c r="AO94" s="23">
        <f t="shared" si="27"/>
        <v>0</v>
      </c>
      <c r="AP94" s="8">
        <f t="shared" si="28"/>
        <v>0</v>
      </c>
      <c r="AQ94" s="8">
        <f t="shared" si="29"/>
        <v>0</v>
      </c>
      <c r="AR94" s="8">
        <f t="shared" si="30"/>
        <v>2</v>
      </c>
      <c r="AS94" t="str">
        <f t="shared" si="31"/>
        <v>库存为2</v>
      </c>
      <c r="AT94" s="25" t="str">
        <f>IFERROR(时间!$B$4+AS94,"上周无销量")</f>
        <v>上周无销量</v>
      </c>
    </row>
    <row r="95" spans="1:46">
      <c r="A95" t="s">
        <v>1229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5" t="str">
        <f>IFERROR(时间!$B$4+AS95,"上周无销量")</f>
        <v>上周无销量</v>
      </c>
    </row>
    <row r="96" spans="1:46">
      <c r="A96" t="s">
        <v>1234</v>
      </c>
      <c r="B96" s="6">
        <f>SUMIF('库存（子SKU）'!$C:$C,$A96,'库存（子SKU）'!D:D)</f>
        <v>1</v>
      </c>
      <c r="C96" s="6">
        <f>SUMIF('库存（子SKU）'!$C:$C,$A96,'库存（子SKU）'!E:E)</f>
        <v>1</v>
      </c>
      <c r="D96" s="6">
        <f>SUMIF('库存（子SKU）'!$C:$C,$A96,'库存（子SKU）'!F:F)</f>
        <v>4</v>
      </c>
      <c r="E96" s="6">
        <f>SUMIF('库存（子SKU）'!$C:$C,$A96,'库存（子SKU）'!G:G)</f>
        <v>0</v>
      </c>
      <c r="F96" s="7">
        <v>15.09</v>
      </c>
      <c r="G96">
        <f>SUMIF('库存（子SKU）'!$C:$C,$A96,'库存（子SKU）'!I:I)</f>
        <v>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7</v>
      </c>
      <c r="L96">
        <f>SUMIF('库存（子SKU）'!$C:$C,$A96,'库存（子SKU）'!N:N)</f>
        <v>0</v>
      </c>
      <c r="M96">
        <f>SUMIF('库存（子SKU）'!$C:$C,$A96,'库存（子SKU）'!O:O)</f>
        <v>6</v>
      </c>
      <c r="N96">
        <f>SUMIF('库存（子SKU）'!$C:$C,$A96,'库存（子SKU）'!P:P)</f>
        <v>0</v>
      </c>
      <c r="O96">
        <f>SUMIF('库存（子SKU）'!$C:$C,$A96,'库存（子SKU）'!Q:Q)</f>
        <v>1</v>
      </c>
      <c r="P96">
        <f>SUMIF('库存（子SKU）'!$C:$C,$A96,'库存（子SKU）'!R:R)</f>
        <v>1</v>
      </c>
      <c r="Q96">
        <f>SUMIF('库存（子SKU）'!$C:$C,$A96,'库存（子SKU）'!S:S)</f>
        <v>3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>
        <f t="shared" si="33"/>
        <v>0</v>
      </c>
      <c r="X96" s="23">
        <f t="shared" si="34"/>
        <v>0</v>
      </c>
      <c r="Y96" s="23">
        <f t="shared" si="35"/>
        <v>0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</v>
      </c>
      <c r="AE96" s="23">
        <f t="shared" si="21"/>
        <v>0</v>
      </c>
      <c r="AF96" s="23">
        <f t="shared" si="22"/>
        <v>0</v>
      </c>
      <c r="AG96" s="23" t="str">
        <f t="shared" si="23"/>
        <v/>
      </c>
      <c r="AH96">
        <f>SUMIF('库存（子SKU）'!$C:$C,$A96,'库存（子SKU）'!AJ:AJ)</f>
        <v>23</v>
      </c>
      <c r="AI96">
        <f>SUMIF('库存（子SKU）'!$C:$C,$A96,'库存（子SKU）'!AK:AK)</f>
        <v>17</v>
      </c>
      <c r="AJ96">
        <f>SUMIF('库存（子SKU）'!$C:$C,$A96,'库存（子SKU）'!AL:AL)</f>
        <v>17</v>
      </c>
      <c r="AK96">
        <f>SUMIF('库存（子SKU）'!$C:$C,$A96,'库存（子SKU）'!AM:AM)</f>
        <v>10</v>
      </c>
      <c r="AL96" s="23">
        <f t="shared" si="24"/>
        <v>0.0434782608695652</v>
      </c>
      <c r="AM96" s="23">
        <f t="shared" si="25"/>
        <v>0.0588235294117647</v>
      </c>
      <c r="AN96" s="23">
        <f t="shared" si="26"/>
        <v>0.235294117647059</v>
      </c>
      <c r="AO96" s="23">
        <f t="shared" si="27"/>
        <v>0</v>
      </c>
      <c r="AP96" s="8">
        <f t="shared" si="28"/>
        <v>0.142857142857143</v>
      </c>
      <c r="AQ96" s="8">
        <f t="shared" si="29"/>
        <v>8.57142857142857</v>
      </c>
      <c r="AR96" s="8">
        <f t="shared" si="30"/>
        <v>-1.57142857142857</v>
      </c>
      <c r="AS96">
        <f t="shared" si="31"/>
        <v>49</v>
      </c>
      <c r="AT96" s="25">
        <f>IFERROR(时间!$B$4+AS96,"上周无销量")</f>
        <v>43339</v>
      </c>
    </row>
    <row r="97" spans="1:46">
      <c r="A97" t="s">
        <v>1239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5" t="str">
        <f>IFERROR(时间!$B$4+AS97,"上周无销量")</f>
        <v>上周无销量</v>
      </c>
    </row>
    <row r="98" spans="1:46">
      <c r="A98" t="s">
        <v>1246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1263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1270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5" t="str">
        <f>IFERROR(时间!$B$4+AS100,"上周无销量")</f>
        <v>上周无销量</v>
      </c>
    </row>
    <row r="101" spans="1:46">
      <c r="A101" t="s">
        <v>1273</v>
      </c>
      <c r="B101" s="6">
        <f>SUMIF('库存（子SKU）'!$C:$C,$A101,'库存（子SKU）'!D:D)</f>
        <v>23</v>
      </c>
      <c r="C101" s="6">
        <f>SUMIF('库存（子SKU）'!$C:$C,$A101,'库存（子SKU）'!E:E)</f>
        <v>11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>
        <v>19.99</v>
      </c>
      <c r="G101">
        <f>SUMIF('库存（子SKU）'!$C:$C,$A101,'库存（子SKU）'!I:I)</f>
        <v>238</v>
      </c>
      <c r="H101">
        <f>SUMIF('库存（子SKU）'!$C:$C,$A101,'库存（子SKU）'!J:J)</f>
        <v>1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239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>
        <f t="shared" si="20"/>
        <v>0</v>
      </c>
      <c r="AE101" s="23">
        <f t="shared" si="21"/>
        <v>0</v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109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>
        <f t="shared" si="24"/>
        <v>0.211009174311927</v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3.28571428571429</v>
      </c>
      <c r="AQ101" s="8">
        <f t="shared" si="29"/>
        <v>197.142857142857</v>
      </c>
      <c r="AR101" s="8">
        <f t="shared" si="30"/>
        <v>41.8571428571429</v>
      </c>
      <c r="AS101">
        <f t="shared" si="31"/>
        <v>72</v>
      </c>
      <c r="AT101" s="25">
        <f>IFERROR(时间!$B$4+AS101,"上周无销量")</f>
        <v>43362</v>
      </c>
    </row>
    <row r="102" spans="1:46">
      <c r="A102" t="s">
        <v>1304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5" t="str">
        <f>IFERROR(时间!$B$4+AS102,"上周无销量")</f>
        <v>上周无销量</v>
      </c>
    </row>
    <row r="103" spans="1:46">
      <c r="A103" t="s">
        <v>1315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5" t="str">
        <f>IFERROR(时间!$B$4+AS103,"上周无销量")</f>
        <v>上周无销量</v>
      </c>
    </row>
    <row r="104" spans="1:46">
      <c r="A104" t="s">
        <v>1328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5" t="str">
        <f>IFERROR(时间!$B$4+AS104,"上周无销量")</f>
        <v>上周无销量</v>
      </c>
    </row>
    <row r="105" spans="1:46">
      <c r="A105" t="s">
        <v>1335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5" t="str">
        <f>IFERROR(时间!$B$4+AS105,"上周无销量")</f>
        <v>上周无销量</v>
      </c>
    </row>
    <row r="106" spans="1:46">
      <c r="A106" t="s">
        <v>1360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5" t="str">
        <f>IFERROR(时间!$B$4+AS106,"上周无销量")</f>
        <v>上周无销量</v>
      </c>
    </row>
    <row r="107" spans="1:46">
      <c r="A107" t="s">
        <v>1385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5" t="str">
        <f>IFERROR(时间!$B$4+AS107,"上周无销量")</f>
        <v>上周无销量</v>
      </c>
    </row>
    <row r="108" spans="1:46">
      <c r="A108" t="s">
        <v>1434</v>
      </c>
      <c r="B108" s="6">
        <f>SUMIF('库存（子SKU）'!$C:$C,$A108,'库存（子SKU）'!D:D)</f>
        <v>1</v>
      </c>
      <c r="C108" s="6">
        <f>SUMIF('库存（子SKU）'!$C:$C,$A108,'库存（子SKU）'!E:E)</f>
        <v>3</v>
      </c>
      <c r="D108" s="6">
        <f>SUMIF('库存（子SKU）'!$C:$C,$A108,'库存（子SKU）'!F:F)</f>
        <v>1</v>
      </c>
      <c r="E108" s="6">
        <f>SUMIF('库存（子SKU）'!$C:$C,$A108,'库存（子SKU）'!G:G)</f>
        <v>0</v>
      </c>
      <c r="F108" s="7">
        <v>19.99</v>
      </c>
      <c r="G108">
        <f>SUMIF('库存（子SKU）'!$C:$C,$A108,'库存（子SKU）'!I:I)</f>
        <v>7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7</v>
      </c>
      <c r="L108">
        <f>SUMIF('库存（子SKU）'!$C:$C,$A108,'库存（子SKU）'!N:N)</f>
        <v>1</v>
      </c>
      <c r="M108">
        <f>SUMIF('库存（子SKU）'!$C:$C,$A108,'库存（子SKU）'!O:O)</f>
        <v>0</v>
      </c>
      <c r="N108">
        <f>SUMIF('库存（子SKU）'!$C:$C,$A108,'库存（子SKU）'!P:P)</f>
        <v>8125</v>
      </c>
      <c r="O108">
        <f>SUMIF('库存（子SKU）'!$C:$C,$A108,'库存（子SKU）'!Q:Q)</f>
        <v>58355</v>
      </c>
      <c r="P108">
        <f>SUMIF('库存（子SKU）'!$C:$C,$A108,'库存（子SKU）'!R:R)</f>
        <v>181</v>
      </c>
      <c r="Q108">
        <f>SUMIF('库存（子SKU）'!$C:$C,$A108,'库存（子SKU）'!S:S)</f>
        <v>372</v>
      </c>
      <c r="R108">
        <f>SUMIF('库存（子SKU）'!$C:$C,$A108,'库存（子SKU）'!T:T)</f>
        <v>68</v>
      </c>
      <c r="S108">
        <f>SUMIF('库存（子SKU）'!$C:$C,$A108,'库存（子SKU）'!U:U)</f>
        <v>185</v>
      </c>
      <c r="T108">
        <f>SUMIF('库存（子SKU）'!$C:$C,$A108,'库存（子SKU）'!V:V)</f>
        <v>3</v>
      </c>
      <c r="U108">
        <f>SUMIF('库存（子SKU）'!$C:$C,$A108,'库存（子SKU）'!W:W)</f>
        <v>9</v>
      </c>
      <c r="V108" s="23">
        <f t="shared" si="32"/>
        <v>0.00836923076923077</v>
      </c>
      <c r="W108" s="23">
        <f t="shared" si="33"/>
        <v>0.00317025104961014</v>
      </c>
      <c r="X108" s="23">
        <f t="shared" si="34"/>
        <v>0.0165745856353591</v>
      </c>
      <c r="Y108" s="23">
        <f t="shared" si="35"/>
        <v>0.0241935483870968</v>
      </c>
      <c r="Z108">
        <f>SUMIF('库存（子SKU）'!$C:$C,$A108,'库存（子SKU）'!AB:AB)</f>
        <v>24.39</v>
      </c>
      <c r="AA108">
        <f>SUMIF('库存（子SKU）'!$C:$C,$A108,'库存（子SKU）'!AC:AC)</f>
        <v>53.35</v>
      </c>
      <c r="AB108">
        <f>SUMIF('库存（子SKU）'!$C:$C,$A108,'库存（子SKU）'!AD:AD)</f>
        <v>0.91</v>
      </c>
      <c r="AC108">
        <f>SUMIF('库存（子SKU）'!$C:$C,$A108,'库存（子SKU）'!AE:AE)</f>
        <v>2.19</v>
      </c>
      <c r="AD108" s="23">
        <f t="shared" si="20"/>
        <v>1.22011005502751</v>
      </c>
      <c r="AE108" s="23">
        <f t="shared" si="21"/>
        <v>0.889611472402868</v>
      </c>
      <c r="AF108" s="23">
        <f t="shared" si="22"/>
        <v>0.0455227613806903</v>
      </c>
      <c r="AG108" s="23" t="str">
        <f t="shared" si="23"/>
        <v>无销量广告费为2.19</v>
      </c>
      <c r="AH108">
        <f>SUMIF('库存（子SKU）'!$C:$C,$A108,'库存（子SKU）'!AJ:AJ)</f>
        <v>31</v>
      </c>
      <c r="AI108">
        <f>SUMIF('库存（子SKU）'!$C:$C,$A108,'库存（子SKU）'!AK:AK)</f>
        <v>117</v>
      </c>
      <c r="AJ108">
        <f>SUMIF('库存（子SKU）'!$C:$C,$A108,'库存（子SKU）'!AL:AL)</f>
        <v>117</v>
      </c>
      <c r="AK108">
        <f>SUMIF('库存（子SKU）'!$C:$C,$A108,'库存（子SKU）'!AM:AM)</f>
        <v>2</v>
      </c>
      <c r="AL108" s="23">
        <f t="shared" si="24"/>
        <v>0.032258064516129</v>
      </c>
      <c r="AM108" s="23">
        <f t="shared" si="25"/>
        <v>0.0256410256410256</v>
      </c>
      <c r="AN108" s="23">
        <f t="shared" si="26"/>
        <v>0.00854700854700855</v>
      </c>
      <c r="AO108" s="23">
        <f t="shared" si="27"/>
        <v>0</v>
      </c>
      <c r="AP108" s="8">
        <f t="shared" si="28"/>
        <v>0.142857142857143</v>
      </c>
      <c r="AQ108" s="8">
        <f t="shared" si="29"/>
        <v>8.57142857142857</v>
      </c>
      <c r="AR108" s="8">
        <f t="shared" si="30"/>
        <v>-1.57142857142857</v>
      </c>
      <c r="AS108">
        <f t="shared" si="31"/>
        <v>49</v>
      </c>
      <c r="AT108" s="25">
        <f>IFERROR(时间!$B$4+AS108,"上周无销量")</f>
        <v>43339</v>
      </c>
    </row>
    <row r="109" spans="1:46">
      <c r="A109" t="s">
        <v>1451</v>
      </c>
      <c r="B109" s="6">
        <f>SUMIF('库存（子SKU）'!$C:$C,$A109,'库存（子SKU）'!D:D)</f>
        <v>40</v>
      </c>
      <c r="C109" s="6">
        <f>SUMIF('库存（子SKU）'!$C:$C,$A109,'库存（子SKU）'!E:E)</f>
        <v>97</v>
      </c>
      <c r="D109" s="6">
        <f>SUMIF('库存（子SKU）'!$C:$C,$A109,'库存（子SKU）'!F:F)</f>
        <v>76</v>
      </c>
      <c r="E109" s="6">
        <f>SUMIF('库存（子SKU）'!$C:$C,$A109,'库存（子SKU）'!G:G)</f>
        <v>37</v>
      </c>
      <c r="F109" s="7">
        <v>19.918</v>
      </c>
      <c r="G109">
        <f>SUMIF('库存（子SKU）'!$C:$C,$A109,'库存（子SKU）'!I:I)</f>
        <v>48</v>
      </c>
      <c r="H109">
        <f>SUMIF('库存（子SKU）'!$C:$C,$A109,'库存（子SKU）'!J:J)</f>
        <v>5</v>
      </c>
      <c r="I109">
        <f>SUMIF('库存（子SKU）'!$C:$C,$A109,'库存（子SKU）'!K:K)</f>
        <v>0</v>
      </c>
      <c r="J109">
        <f>SUMIF('库存（子SKU）'!$C:$C,$A109,'库存（子SKU）'!L:L)</f>
        <v>2</v>
      </c>
      <c r="K109">
        <f t="shared" si="19"/>
        <v>55</v>
      </c>
      <c r="L109">
        <f>SUMIF('库存（子SKU）'!$C:$C,$A109,'库存（子SKU）'!N:N)</f>
        <v>25</v>
      </c>
      <c r="M109">
        <f>SUMIF('库存（子SKU）'!$C:$C,$A109,'库存（子SKU）'!O:O)</f>
        <v>0</v>
      </c>
      <c r="N109">
        <f>SUMIF('库存（子SKU）'!$C:$C,$A109,'库存（子SKU）'!P:P)</f>
        <v>13506</v>
      </c>
      <c r="O109">
        <f>SUMIF('库存（子SKU）'!$C:$C,$A109,'库存（子SKU）'!Q:Q)</f>
        <v>41221</v>
      </c>
      <c r="P109">
        <f>SUMIF('库存（子SKU）'!$C:$C,$A109,'库存（子SKU）'!R:R)</f>
        <v>50768</v>
      </c>
      <c r="Q109">
        <f>SUMIF('库存（子SKU）'!$C:$C,$A109,'库存（子SKU）'!S:S)</f>
        <v>4933</v>
      </c>
      <c r="R109">
        <f>SUMIF('库存（子SKU）'!$C:$C,$A109,'库存（子SKU）'!T:T)</f>
        <v>132</v>
      </c>
      <c r="S109">
        <f>SUMIF('库存（子SKU）'!$C:$C,$A109,'库存（子SKU）'!U:U)</f>
        <v>325</v>
      </c>
      <c r="T109">
        <f>SUMIF('库存（子SKU）'!$C:$C,$A109,'库存（子SKU）'!V:V)</f>
        <v>376</v>
      </c>
      <c r="U109">
        <f>SUMIF('库存（子SKU）'!$C:$C,$A109,'库存（子SKU）'!W:W)</f>
        <v>42</v>
      </c>
      <c r="V109" s="23">
        <f t="shared" si="32"/>
        <v>0.0097734340293203</v>
      </c>
      <c r="W109" s="23">
        <f t="shared" si="33"/>
        <v>0.00788433080226098</v>
      </c>
      <c r="X109" s="23">
        <f t="shared" si="34"/>
        <v>0.00740624015127639</v>
      </c>
      <c r="Y109" s="23">
        <f t="shared" si="35"/>
        <v>0.00851408878978309</v>
      </c>
      <c r="Z109">
        <f>SUMIF('库存（子SKU）'!$C:$C,$A109,'库存（子SKU）'!AB:AB)</f>
        <v>32.41</v>
      </c>
      <c r="AA109">
        <f>SUMIF('库存（子SKU）'!$C:$C,$A109,'库存（子SKU）'!AC:AC)</f>
        <v>83.91</v>
      </c>
      <c r="AB109">
        <f>SUMIF('库存（子SKU）'!$C:$C,$A109,'库存（子SKU）'!AD:AD)</f>
        <v>97.82</v>
      </c>
      <c r="AC109">
        <f>SUMIF('库存（子SKU）'!$C:$C,$A109,'库存（子SKU）'!AE:AE)</f>
        <v>11.63</v>
      </c>
      <c r="AD109" s="23">
        <f t="shared" si="20"/>
        <v>0.040679285068782</v>
      </c>
      <c r="AE109" s="23">
        <f t="shared" si="21"/>
        <v>0.043430642955706</v>
      </c>
      <c r="AF109" s="23">
        <f t="shared" si="22"/>
        <v>0.064620206002505</v>
      </c>
      <c r="AG109" s="23">
        <f t="shared" si="23"/>
        <v>0.0157809179799339</v>
      </c>
      <c r="AH109">
        <f>SUMIF('库存（子SKU）'!$C:$C,$A109,'库存（子SKU）'!AJ:AJ)</f>
        <v>384</v>
      </c>
      <c r="AI109">
        <f>SUMIF('库存（子SKU）'!$C:$C,$A109,'库存（子SKU）'!AK:AK)</f>
        <v>473</v>
      </c>
      <c r="AJ109">
        <f>SUMIF('库存（子SKU）'!$C:$C,$A109,'库存（子SKU）'!AL:AL)</f>
        <v>473</v>
      </c>
      <c r="AK109">
        <f>SUMIF('库存（子SKU）'!$C:$C,$A109,'库存（子SKU）'!AM:AM)</f>
        <v>261</v>
      </c>
      <c r="AL109" s="23">
        <f t="shared" si="24"/>
        <v>0.104166666666667</v>
      </c>
      <c r="AM109" s="23">
        <f t="shared" si="25"/>
        <v>0.20507399577167</v>
      </c>
      <c r="AN109" s="23">
        <f t="shared" si="26"/>
        <v>0.160676532769556</v>
      </c>
      <c r="AO109" s="23">
        <f t="shared" si="27"/>
        <v>0.14176245210728</v>
      </c>
      <c r="AP109" s="8">
        <f t="shared" si="28"/>
        <v>5.71428571428571</v>
      </c>
      <c r="AQ109" s="8">
        <f t="shared" si="29"/>
        <v>342.857142857143</v>
      </c>
      <c r="AR109" s="8">
        <f t="shared" si="30"/>
        <v>-287.857142857143</v>
      </c>
      <c r="AS109">
        <f t="shared" si="31"/>
        <v>9</v>
      </c>
      <c r="AT109" s="25">
        <f>IFERROR(时间!$B$4+AS109,"上周无销量")</f>
        <v>43299</v>
      </c>
    </row>
    <row r="110" spans="1:46">
      <c r="A110" t="s">
        <v>1472</v>
      </c>
      <c r="B110" s="6">
        <f>SUMIF('库存（子SKU）'!$C:$C,$A110,'库存（子SKU）'!D:D)</f>
        <v>1</v>
      </c>
      <c r="C110" s="6">
        <f>SUMIF('库存（子SKU）'!$C:$C,$A110,'库存（子SKU）'!E:E)</f>
        <v>1</v>
      </c>
      <c r="D110" s="6">
        <f>SUMIF('库存（子SKU）'!$C:$C,$A110,'库存（子SKU）'!F:F)</f>
        <v>2</v>
      </c>
      <c r="E110" s="6">
        <f>SUMIF('库存（子SKU）'!$C:$C,$A110,'库存（子SKU）'!G:G)</f>
        <v>4</v>
      </c>
      <c r="F110" s="7">
        <v>19.99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4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12481</v>
      </c>
      <c r="Q110">
        <f>SUMIF('库存（子SKU）'!$C:$C,$A110,'库存（子SKU）'!S:S)</f>
        <v>21448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62</v>
      </c>
      <c r="U110">
        <f>SUMIF('库存（子SKU）'!$C:$C,$A110,'库存（子SKU）'!W:W)</f>
        <v>103</v>
      </c>
      <c r="V110" s="23" t="str">
        <f t="shared" si="32"/>
        <v/>
      </c>
      <c r="W110" s="23" t="str">
        <f t="shared" si="33"/>
        <v/>
      </c>
      <c r="X110" s="23">
        <f t="shared" si="34"/>
        <v>0.00496755067702908</v>
      </c>
      <c r="Y110" s="23">
        <f t="shared" si="35"/>
        <v>0.00480231256993659</v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17.85</v>
      </c>
      <c r="AC110">
        <f>SUMIF('库存（子SKU）'!$C:$C,$A110,'库存（子SKU）'!AE:AE)</f>
        <v>31.1</v>
      </c>
      <c r="AD110" s="23">
        <f t="shared" si="20"/>
        <v>0</v>
      </c>
      <c r="AE110" s="23">
        <f t="shared" si="21"/>
        <v>0</v>
      </c>
      <c r="AF110" s="23">
        <f t="shared" si="22"/>
        <v>0.446473236618309</v>
      </c>
      <c r="AG110" s="23">
        <f t="shared" si="23"/>
        <v>0.388944472236118</v>
      </c>
      <c r="AH110">
        <f>SUMIF('库存（子SKU）'!$C:$C,$A110,'库存（子SKU）'!AJ:AJ)</f>
        <v>17</v>
      </c>
      <c r="AI110">
        <f>SUMIF('库存（子SKU）'!$C:$C,$A110,'库存（子SKU）'!AK:AK)</f>
        <v>10</v>
      </c>
      <c r="AJ110">
        <f>SUMIF('库存（子SKU）'!$C:$C,$A110,'库存（子SKU）'!AL:AL)</f>
        <v>10</v>
      </c>
      <c r="AK110">
        <f>SUMIF('库存（子SKU）'!$C:$C,$A110,'库存（子SKU）'!AM:AM)</f>
        <v>56</v>
      </c>
      <c r="AL110" s="23">
        <f t="shared" si="24"/>
        <v>0.0588235294117647</v>
      </c>
      <c r="AM110" s="23">
        <f t="shared" si="25"/>
        <v>0.1</v>
      </c>
      <c r="AN110" s="23">
        <f t="shared" si="26"/>
        <v>0.2</v>
      </c>
      <c r="AO110" s="23">
        <f t="shared" si="27"/>
        <v>0.0714285714285714</v>
      </c>
      <c r="AP110" s="8">
        <f t="shared" si="28"/>
        <v>0.142857142857143</v>
      </c>
      <c r="AQ110" s="8">
        <f t="shared" si="29"/>
        <v>8.57142857142857</v>
      </c>
      <c r="AR110" s="8">
        <f t="shared" si="30"/>
        <v>-8.57142857142857</v>
      </c>
      <c r="AS110">
        <f t="shared" si="31"/>
        <v>0</v>
      </c>
      <c r="AT110" s="25">
        <f>IFERROR(时间!$B$4+AS110,"上周无销量")</f>
        <v>43290</v>
      </c>
    </row>
    <row r="111" spans="1:46">
      <c r="A111" t="s">
        <v>1483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5" t="str">
        <f>IFERROR(时间!$B$4+AS111,"上周无销量")</f>
        <v>上周无销量</v>
      </c>
    </row>
    <row r="112" spans="1:46">
      <c r="A112" t="s">
        <v>1532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1</v>
      </c>
      <c r="E112" s="6">
        <f>SUMIF('库存（子SKU）'!$C:$C,$A112,'库存（子SKU）'!G:G)</f>
        <v>2</v>
      </c>
      <c r="F112" s="7">
        <v>19.99</v>
      </c>
      <c r="G112">
        <f>SUMIF('库存（子SKU）'!$C:$C,$A112,'库存（子SKU）'!I:I)</f>
        <v>12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12</v>
      </c>
      <c r="L112">
        <f>SUMIF('库存（子SKU）'!$C:$C,$A112,'库存（子SKU）'!N:N)</f>
        <v>1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>
        <f t="shared" si="22"/>
        <v>0</v>
      </c>
      <c r="AG112" s="23">
        <f t="shared" si="23"/>
        <v>0</v>
      </c>
      <c r="AH112">
        <f>SUMIF('库存（子SKU）'!$C:$C,$A112,'库存（子SKU）'!AJ:AJ)</f>
        <v>13</v>
      </c>
      <c r="AI112">
        <f>SUMIF('库存（子SKU）'!$C:$C,$A112,'库存（子SKU）'!AK:AK)</f>
        <v>3</v>
      </c>
      <c r="AJ112">
        <f>SUMIF('库存（子SKU）'!$C:$C,$A112,'库存（子SKU）'!AL:AL)</f>
        <v>3</v>
      </c>
      <c r="AK112">
        <f>SUMIF('库存（子SKU）'!$C:$C,$A112,'库存（子SKU）'!AM:AM)</f>
        <v>11</v>
      </c>
      <c r="AL112" s="23">
        <f t="shared" si="24"/>
        <v>0</v>
      </c>
      <c r="AM112" s="23">
        <f t="shared" si="25"/>
        <v>0</v>
      </c>
      <c r="AN112" s="23">
        <f t="shared" si="26"/>
        <v>0.333333333333333</v>
      </c>
      <c r="AO112" s="23">
        <f t="shared" si="27"/>
        <v>0.181818181818182</v>
      </c>
      <c r="AP112" s="8">
        <f t="shared" si="28"/>
        <v>0</v>
      </c>
      <c r="AQ112" s="8">
        <f t="shared" si="29"/>
        <v>0</v>
      </c>
      <c r="AR112" s="8">
        <f t="shared" si="30"/>
        <v>12</v>
      </c>
      <c r="AS112" t="str">
        <f t="shared" si="31"/>
        <v>库存为12</v>
      </c>
      <c r="AT112" s="25" t="str">
        <f>IFERROR(时间!$B$4+AS112,"上周无销量")</f>
        <v>上周无销量</v>
      </c>
    </row>
    <row r="113" spans="1:46">
      <c r="A113" t="s">
        <v>1545</v>
      </c>
      <c r="B113" s="6">
        <f>SUMIF('库存（子SKU）'!$C:$C,$A113,'库存（子SKU）'!D:D)</f>
        <v>13</v>
      </c>
      <c r="C113" s="6">
        <f>SUMIF('库存（子SKU）'!$C:$C,$A113,'库存（子SKU）'!E:E)</f>
        <v>30</v>
      </c>
      <c r="D113" s="6">
        <f>SUMIF('库存（子SKU）'!$C:$C,$A113,'库存（子SKU）'!F:F)</f>
        <v>28</v>
      </c>
      <c r="E113" s="6">
        <f>SUMIF('库存（子SKU）'!$C:$C,$A113,'库存（子SKU）'!G:G)</f>
        <v>27</v>
      </c>
      <c r="F113" s="7">
        <v>19.724693877551</v>
      </c>
      <c r="G113">
        <f>SUMIF('库存（子SKU）'!$C:$C,$A113,'库存（子SKU）'!I:I)</f>
        <v>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3</v>
      </c>
      <c r="L113">
        <f>SUMIF('库存（子SKU）'!$C:$C,$A113,'库存（子SKU）'!N:N)</f>
        <v>15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727</v>
      </c>
      <c r="Q113">
        <f>SUMIF('库存（子SKU）'!$C:$C,$A113,'库存（子SKU）'!S:S)</f>
        <v>77292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6</v>
      </c>
      <c r="U113">
        <f>SUMIF('库存（子SKU）'!$C:$C,$A113,'库存（子SKU）'!W:W)</f>
        <v>320</v>
      </c>
      <c r="V113" s="23" t="str">
        <f t="shared" si="32"/>
        <v/>
      </c>
      <c r="W113" s="23" t="str">
        <f t="shared" si="33"/>
        <v/>
      </c>
      <c r="X113" s="23">
        <f t="shared" si="34"/>
        <v>0.00825309491059147</v>
      </c>
      <c r="Y113" s="23">
        <f t="shared" si="35"/>
        <v>0.00414014386999948</v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1.46</v>
      </c>
      <c r="AC113">
        <f>SUMIF('库存（子SKU）'!$C:$C,$A113,'库存（子SKU）'!AE:AE)</f>
        <v>92.72</v>
      </c>
      <c r="AD113" s="23">
        <f t="shared" si="20"/>
        <v>0</v>
      </c>
      <c r="AE113" s="23">
        <f t="shared" si="21"/>
        <v>0</v>
      </c>
      <c r="AF113" s="23">
        <f t="shared" si="22"/>
        <v>0.00264353188275341</v>
      </c>
      <c r="AG113" s="23">
        <f t="shared" si="23"/>
        <v>0.174100246898252</v>
      </c>
      <c r="AH113">
        <f>SUMIF('库存（子SKU）'!$C:$C,$A113,'库存（子SKU）'!AJ:AJ)</f>
        <v>100</v>
      </c>
      <c r="AI113">
        <f>SUMIF('库存（子SKU）'!$C:$C,$A113,'库存（子SKU）'!AK:AK)</f>
        <v>107</v>
      </c>
      <c r="AJ113">
        <f>SUMIF('库存（子SKU）'!$C:$C,$A113,'库存（子SKU）'!AL:AL)</f>
        <v>107</v>
      </c>
      <c r="AK113">
        <f>SUMIF('库存（子SKU）'!$C:$C,$A113,'库存（子SKU）'!AM:AM)</f>
        <v>107</v>
      </c>
      <c r="AL113" s="23">
        <f t="shared" si="24"/>
        <v>0.13</v>
      </c>
      <c r="AM113" s="23">
        <f t="shared" si="25"/>
        <v>0.280373831775701</v>
      </c>
      <c r="AN113" s="23">
        <f t="shared" si="26"/>
        <v>0.261682242990654</v>
      </c>
      <c r="AO113" s="23">
        <f t="shared" si="27"/>
        <v>0.252336448598131</v>
      </c>
      <c r="AP113" s="8">
        <f t="shared" si="28"/>
        <v>1.85714285714286</v>
      </c>
      <c r="AQ113" s="8">
        <f t="shared" si="29"/>
        <v>111.428571428571</v>
      </c>
      <c r="AR113" s="8">
        <f t="shared" si="30"/>
        <v>-108.428571428571</v>
      </c>
      <c r="AS113">
        <f t="shared" si="31"/>
        <v>1</v>
      </c>
      <c r="AT113" s="25">
        <f>IFERROR(时间!$B$4+AS113,"上周无销量")</f>
        <v>43291</v>
      </c>
    </row>
    <row r="114" spans="1:46">
      <c r="A114" t="s">
        <v>1582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5" t="str">
        <f>IFERROR(时间!$B$4+AS114,"上周无销量")</f>
        <v>上周无销量</v>
      </c>
    </row>
    <row r="115" spans="1:46">
      <c r="A115" t="s">
        <v>1587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1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5" t="str">
        <f>IFERROR(时间!$B$4+AS115,"上周无销量")</f>
        <v>上周无销量</v>
      </c>
    </row>
    <row r="116" spans="1:46">
      <c r="A116" t="s">
        <v>1590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6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6</v>
      </c>
      <c r="L116">
        <f>SUMIF('库存（子SKU）'!$C:$C,$A116,'库存（子SKU）'!N:N)</f>
        <v>0</v>
      </c>
      <c r="M116">
        <f>SUMIF('库存（子SKU）'!$C:$C,$A116,'库存（子SKU）'!O:O)</f>
        <v>5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14</v>
      </c>
      <c r="AI116">
        <f>SUMIF('库存（子SKU）'!$C:$C,$A116,'库存（子SKU）'!AK:AK)</f>
        <v>5</v>
      </c>
      <c r="AJ116">
        <f>SUMIF('库存（子SKU）'!$C:$C,$A116,'库存（子SKU）'!AL:AL)</f>
        <v>5</v>
      </c>
      <c r="AK116">
        <f>SUMIF('库存（子SKU）'!$C:$C,$A116,'库存（子SKU）'!AM:AM)</f>
        <v>0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6</v>
      </c>
      <c r="AS116" t="str">
        <f t="shared" si="31"/>
        <v>库存为6</v>
      </c>
      <c r="AT116" s="25" t="str">
        <f>IFERROR(时间!$B$4+AS116,"上周无销量")</f>
        <v>上周无销量</v>
      </c>
    </row>
    <row r="117" spans="1:46">
      <c r="A117" t="s">
        <v>1601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1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</v>
      </c>
      <c r="L117">
        <f>SUMIF('库存（子SKU）'!$C:$C,$A117,'库存（子SKU）'!N:N)</f>
        <v>1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3</v>
      </c>
      <c r="AI117">
        <f>SUMIF('库存（子SKU）'!$C:$C,$A117,'库存（子SKU）'!AK:AK)</f>
        <v>1</v>
      </c>
      <c r="AJ117">
        <f>SUMIF('库存（子SKU）'!$C:$C,$A117,'库存（子SKU）'!AL:AL)</f>
        <v>1</v>
      </c>
      <c r="AK117">
        <f>SUMIF('库存（子SKU）'!$C:$C,$A117,'库存（子SKU）'!AM:AM)</f>
        <v>0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1</v>
      </c>
      <c r="AS117" t="str">
        <f t="shared" si="31"/>
        <v>库存为1</v>
      </c>
      <c r="AT117" s="25" t="str">
        <f>IFERROR(时间!$B$4+AS117,"上周无销量")</f>
        <v>上周无销量</v>
      </c>
    </row>
    <row r="118" spans="1:46">
      <c r="A118" t="s">
        <v>1604</v>
      </c>
      <c r="B118" s="6">
        <f>SUMIF('库存（子SKU）'!$C:$C,$A118,'库存（子SKU）'!D:D)</f>
        <v>4</v>
      </c>
      <c r="C118" s="6">
        <f>SUMIF('库存（子SKU）'!$C:$C,$A118,'库存（子SKU）'!E:E)</f>
        <v>1</v>
      </c>
      <c r="D118" s="6">
        <f>SUMIF('库存（子SKU）'!$C:$C,$A118,'库存（子SKU）'!F:F)</f>
        <v>3</v>
      </c>
      <c r="E118" s="6">
        <f>SUMIF('库存（子SKU）'!$C:$C,$A118,'库存（子SKU）'!G:G)</f>
        <v>2</v>
      </c>
      <c r="F118" s="7">
        <v>14.99</v>
      </c>
      <c r="G118">
        <f>SUMIF('库存（子SKU）'!$C:$C,$A118,'库存（子SKU）'!I:I)</f>
        <v>22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22</v>
      </c>
      <c r="L118">
        <f>SUMIF('库存（子SKU）'!$C:$C,$A118,'库存（子SKU）'!N:N)</f>
        <v>3</v>
      </c>
      <c r="M118">
        <f>SUMIF('库存（子SKU）'!$C:$C,$A118,'库存（子SKU）'!O:O)</f>
        <v>12</v>
      </c>
      <c r="N118">
        <f>SUMIF('库存（子SKU）'!$C:$C,$A118,'库存（子SKU）'!P:P)</f>
        <v>484</v>
      </c>
      <c r="O118">
        <f>SUMIF('库存（子SKU）'!$C:$C,$A118,'库存（子SKU）'!Q:Q)</f>
        <v>2883</v>
      </c>
      <c r="P118">
        <f>SUMIF('库存（子SKU）'!$C:$C,$A118,'库存（子SKU）'!R:R)</f>
        <v>9196</v>
      </c>
      <c r="Q118">
        <f>SUMIF('库存（子SKU）'!$C:$C,$A118,'库存（子SKU）'!S:S)</f>
        <v>9956</v>
      </c>
      <c r="R118">
        <f>SUMIF('库存（子SKU）'!$C:$C,$A118,'库存（子SKU）'!T:T)</f>
        <v>5</v>
      </c>
      <c r="S118">
        <f>SUMIF('库存（子SKU）'!$C:$C,$A118,'库存（子SKU）'!U:U)</f>
        <v>43</v>
      </c>
      <c r="T118">
        <f>SUMIF('库存（子SKU）'!$C:$C,$A118,'库存（子SKU）'!V:V)</f>
        <v>56</v>
      </c>
      <c r="U118">
        <f>SUMIF('库存（子SKU）'!$C:$C,$A118,'库存（子SKU）'!W:W)</f>
        <v>43</v>
      </c>
      <c r="V118" s="23">
        <f t="shared" si="32"/>
        <v>0.0103305785123967</v>
      </c>
      <c r="W118" s="23">
        <f t="shared" si="33"/>
        <v>0.01491501907735</v>
      </c>
      <c r="X118" s="23">
        <f t="shared" si="34"/>
        <v>0.00608960417572858</v>
      </c>
      <c r="Y118" s="23">
        <f t="shared" si="35"/>
        <v>0.00431900361591</v>
      </c>
      <c r="Z118">
        <f>SUMIF('库存（子SKU）'!$C:$C,$A118,'库存（子SKU）'!AB:AB)</f>
        <v>0.68</v>
      </c>
      <c r="AA118">
        <f>SUMIF('库存（子SKU）'!$C:$C,$A118,'库存（子SKU）'!AC:AC)</f>
        <v>7.66</v>
      </c>
      <c r="AB118">
        <f>SUMIF('库存（子SKU）'!$C:$C,$A118,'库存（子SKU）'!AD:AD)</f>
        <v>10.4</v>
      </c>
      <c r="AC118">
        <f>SUMIF('库存（子SKU）'!$C:$C,$A118,'库存（子SKU）'!AE:AE)</f>
        <v>8.51</v>
      </c>
      <c r="AD118" s="23">
        <f t="shared" si="20"/>
        <v>0.0113408939292862</v>
      </c>
      <c r="AE118" s="23">
        <f t="shared" si="21"/>
        <v>0.511007338225484</v>
      </c>
      <c r="AF118" s="23">
        <f t="shared" si="22"/>
        <v>0.231265287969758</v>
      </c>
      <c r="AG118" s="23">
        <f t="shared" si="23"/>
        <v>0.283855903935957</v>
      </c>
      <c r="AH118">
        <f>SUMIF('库存（子SKU）'!$C:$C,$A118,'库存（子SKU）'!AJ:AJ)</f>
        <v>16</v>
      </c>
      <c r="AI118">
        <f>SUMIF('库存（子SKU）'!$C:$C,$A118,'库存（子SKU）'!AK:AK)</f>
        <v>33</v>
      </c>
      <c r="AJ118">
        <f>SUMIF('库存（子SKU）'!$C:$C,$A118,'库存（子SKU）'!AL:AL)</f>
        <v>33</v>
      </c>
      <c r="AK118">
        <f>SUMIF('库存（子SKU）'!$C:$C,$A118,'库存（子SKU）'!AM:AM)</f>
        <v>56</v>
      </c>
      <c r="AL118" s="23">
        <f t="shared" si="24"/>
        <v>0.25</v>
      </c>
      <c r="AM118" s="23">
        <f t="shared" si="25"/>
        <v>0.0303030303030303</v>
      </c>
      <c r="AN118" s="23">
        <f t="shared" si="26"/>
        <v>0.0909090909090909</v>
      </c>
      <c r="AO118" s="23">
        <f t="shared" si="27"/>
        <v>0.0357142857142857</v>
      </c>
      <c r="AP118" s="8">
        <f t="shared" si="28"/>
        <v>0.571428571428571</v>
      </c>
      <c r="AQ118" s="8">
        <f t="shared" si="29"/>
        <v>34.2857142857143</v>
      </c>
      <c r="AR118" s="8">
        <f t="shared" si="30"/>
        <v>-12.2857142857143</v>
      </c>
      <c r="AS118">
        <f t="shared" si="31"/>
        <v>38</v>
      </c>
      <c r="AT118" s="25">
        <f>IFERROR(时间!$B$4+AS118,"上周无销量")</f>
        <v>43328</v>
      </c>
    </row>
    <row r="119" spans="1:46">
      <c r="A119" t="s">
        <v>1611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2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</v>
      </c>
      <c r="L119">
        <f>SUMIF('库存（子SKU）'!$C:$C,$A119,'库存（子SKU）'!N:N)</f>
        <v>1</v>
      </c>
      <c r="M119">
        <f>SUMIF('库存（子SKU）'!$C:$C,$A119,'库存（子SKU）'!O:O)</f>
        <v>2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3</v>
      </c>
      <c r="AI119">
        <f>SUMIF('库存（子SKU）'!$C:$C,$A119,'库存（子SKU）'!AK:AK)</f>
        <v>10</v>
      </c>
      <c r="AJ119">
        <f>SUMIF('库存（子SKU）'!$C:$C,$A119,'库存（子SKU）'!AL:AL)</f>
        <v>10</v>
      </c>
      <c r="AK119">
        <f>SUMIF('库存（子SKU）'!$C:$C,$A119,'库存（子SKU）'!AM:AM)</f>
        <v>4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8">
        <f t="shared" si="28"/>
        <v>0</v>
      </c>
      <c r="AQ119" s="8">
        <f t="shared" si="29"/>
        <v>0</v>
      </c>
      <c r="AR119" s="8">
        <f t="shared" si="30"/>
        <v>2</v>
      </c>
      <c r="AS119" t="str">
        <f t="shared" si="31"/>
        <v>库存为2</v>
      </c>
      <c r="AT119" s="25" t="str">
        <f>IFERROR(时间!$B$4+AS119,"上周无销量")</f>
        <v>上周无销量</v>
      </c>
    </row>
    <row r="120" spans="1:46">
      <c r="A120" t="s">
        <v>1618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5" t="str">
        <f>IFERROR(时间!$B$4+AS120,"上周无销量")</f>
        <v>上周无销量</v>
      </c>
    </row>
    <row r="121" spans="1:46">
      <c r="A121" t="s">
        <v>1621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</v>
      </c>
      <c r="L121">
        <f>SUMIF('库存（子SKU）'!$C:$C,$A121,'库存（子SKU）'!N:N)</f>
        <v>0</v>
      </c>
      <c r="M121">
        <f>SUMIF('库存（子SKU）'!$C:$C,$A121,'库存（子SKU）'!O:O)</f>
        <v>1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6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3</v>
      </c>
      <c r="AL121" s="23">
        <f t="shared" si="24"/>
        <v>0</v>
      </c>
      <c r="AM121" s="23" t="str">
        <f t="shared" si="25"/>
        <v/>
      </c>
      <c r="AN121" s="23" t="str">
        <f t="shared" si="26"/>
        <v/>
      </c>
      <c r="AO121" s="23">
        <f t="shared" si="27"/>
        <v>0</v>
      </c>
      <c r="AP121" s="8">
        <f t="shared" si="28"/>
        <v>0</v>
      </c>
      <c r="AQ121" s="8">
        <f t="shared" si="29"/>
        <v>0</v>
      </c>
      <c r="AR121" s="8">
        <f t="shared" si="30"/>
        <v>1</v>
      </c>
      <c r="AS121" t="str">
        <f t="shared" si="31"/>
        <v>库存为1</v>
      </c>
      <c r="AT121" s="25" t="str">
        <f>IFERROR(时间!$B$4+AS121,"上周无销量")</f>
        <v>上周无销量</v>
      </c>
    </row>
    <row r="122" spans="1:46">
      <c r="A122" t="s">
        <v>1624</v>
      </c>
      <c r="B122" s="6">
        <f>SUMIF('库存（子SKU）'!$C:$C,$A122,'库存（子SKU）'!D:D)</f>
        <v>0</v>
      </c>
      <c r="C122" s="6">
        <f>SUMIF('库存（子SKU）'!$C:$C,$A122,'库存（子SKU）'!E:E)</f>
        <v>1</v>
      </c>
      <c r="D122" s="6">
        <f>SUMIF('库存（子SKU）'!$C:$C,$A122,'库存（子SKU）'!F:F)</f>
        <v>2</v>
      </c>
      <c r="E122" s="6">
        <f>SUMIF('库存（子SKU）'!$C:$C,$A122,'库存（子SKU）'!G:G)</f>
        <v>0</v>
      </c>
      <c r="F122" s="7">
        <v>19.99</v>
      </c>
      <c r="G122">
        <f>SUMIF('库存（子SKU）'!$C:$C,$A122,'库存（子SKU）'!I:I)</f>
        <v>29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29</v>
      </c>
      <c r="L122">
        <f>SUMIF('库存（子SKU）'!$C:$C,$A122,'库存（子SKU）'!N:N)</f>
        <v>0</v>
      </c>
      <c r="M122">
        <f>SUMIF('库存（子SKU）'!$C:$C,$A122,'库存（子SKU）'!O:O)</f>
        <v>27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>
        <f t="shared" si="21"/>
        <v>0</v>
      </c>
      <c r="AF122" s="23">
        <f t="shared" si="22"/>
        <v>0</v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6</v>
      </c>
      <c r="AJ122">
        <f>SUMIF('库存（子SKU）'!$C:$C,$A122,'库存（子SKU）'!AL:AL)</f>
        <v>6</v>
      </c>
      <c r="AK122">
        <f>SUMIF('库存（子SKU）'!$C:$C,$A122,'库存（子SKU）'!AM:AM)</f>
        <v>6</v>
      </c>
      <c r="AL122" s="23" t="str">
        <f t="shared" si="24"/>
        <v/>
      </c>
      <c r="AM122" s="23">
        <f t="shared" si="25"/>
        <v>0.166666666666667</v>
      </c>
      <c r="AN122" s="23">
        <f t="shared" si="26"/>
        <v>0.333333333333333</v>
      </c>
      <c r="AO122" s="23">
        <f t="shared" si="27"/>
        <v>0</v>
      </c>
      <c r="AP122" s="8">
        <f t="shared" si="28"/>
        <v>0</v>
      </c>
      <c r="AQ122" s="8">
        <f t="shared" si="29"/>
        <v>0</v>
      </c>
      <c r="AR122" s="8">
        <f t="shared" si="30"/>
        <v>29</v>
      </c>
      <c r="AS122" t="str">
        <f t="shared" si="31"/>
        <v>库存为29</v>
      </c>
      <c r="AT122" s="25" t="str">
        <f>IFERROR(时间!$B$4+AS122,"上周无销量")</f>
        <v>上周无销量</v>
      </c>
    </row>
    <row r="123" spans="1:46">
      <c r="A123" t="s">
        <v>1639</v>
      </c>
      <c r="B123" s="6">
        <f>SUMIF('库存（子SKU）'!$C:$C,$A123,'库存（子SKU）'!D:D)</f>
        <v>84</v>
      </c>
      <c r="C123" s="6">
        <f>SUMIF('库存（子SKU）'!$C:$C,$A123,'库存（子SKU）'!E:E)</f>
        <v>88</v>
      </c>
      <c r="D123" s="6">
        <f>SUMIF('库存（子SKU）'!$C:$C,$A123,'库存（子SKU）'!F:F)</f>
        <v>55</v>
      </c>
      <c r="E123" s="6">
        <f>SUMIF('库存（子SKU）'!$C:$C,$A123,'库存（子SKU）'!G:G)</f>
        <v>56</v>
      </c>
      <c r="F123" s="7">
        <v>19.4548056537102</v>
      </c>
      <c r="G123">
        <f>SUMIF('库存（子SKU）'!$C:$C,$A123,'库存（子SKU）'!I:I)</f>
        <v>227</v>
      </c>
      <c r="H123">
        <f>SUMIF('库存（子SKU）'!$C:$C,$A123,'库存（子SKU）'!J:J)</f>
        <v>103</v>
      </c>
      <c r="I123">
        <f>SUMIF('库存（子SKU）'!$C:$C,$A123,'库存（子SKU）'!K:K)</f>
        <v>12</v>
      </c>
      <c r="J123">
        <f>SUMIF('库存（子SKU）'!$C:$C,$A123,'库存（子SKU）'!L:L)</f>
        <v>7</v>
      </c>
      <c r="K123">
        <f t="shared" si="19"/>
        <v>349</v>
      </c>
      <c r="L123">
        <f>SUMIF('库存（子SKU）'!$C:$C,$A123,'库存（子SKU）'!N:N)</f>
        <v>38</v>
      </c>
      <c r="M123">
        <f>SUMIF('库存（子SKU）'!$C:$C,$A123,'库存（子SKU）'!O:O)</f>
        <v>84</v>
      </c>
      <c r="N123">
        <f>SUMIF('库存（子SKU）'!$C:$C,$A123,'库存（子SKU）'!P:P)</f>
        <v>74665</v>
      </c>
      <c r="O123">
        <f>SUMIF('库存（子SKU）'!$C:$C,$A123,'库存（子SKU）'!Q:Q)</f>
        <v>60477</v>
      </c>
      <c r="P123">
        <f>SUMIF('库存（子SKU）'!$C:$C,$A123,'库存（子SKU）'!R:R)</f>
        <v>52632</v>
      </c>
      <c r="Q123">
        <f>SUMIF('库存（子SKU）'!$C:$C,$A123,'库存（子SKU）'!S:S)</f>
        <v>115918</v>
      </c>
      <c r="R123">
        <f>SUMIF('库存（子SKU）'!$C:$C,$A123,'库存（子SKU）'!T:T)</f>
        <v>318</v>
      </c>
      <c r="S123">
        <f>SUMIF('库存（子SKU）'!$C:$C,$A123,'库存（子SKU）'!U:U)</f>
        <v>239</v>
      </c>
      <c r="T123">
        <f>SUMIF('库存（子SKU）'!$C:$C,$A123,'库存（子SKU）'!V:V)</f>
        <v>162</v>
      </c>
      <c r="U123">
        <f>SUMIF('库存（子SKU）'!$C:$C,$A123,'库存（子SKU）'!W:W)</f>
        <v>197</v>
      </c>
      <c r="V123" s="23">
        <f t="shared" si="32"/>
        <v>0.00425902363892051</v>
      </c>
      <c r="W123" s="23">
        <f t="shared" si="33"/>
        <v>0.00395191560427931</v>
      </c>
      <c r="X123" s="23">
        <f t="shared" si="34"/>
        <v>0.00307797537619699</v>
      </c>
      <c r="Y123" s="23">
        <f t="shared" si="35"/>
        <v>0.00169947721665315</v>
      </c>
      <c r="Z123">
        <f>SUMIF('库存（子SKU）'!$C:$C,$A123,'库存（子SKU）'!AB:AB)</f>
        <v>87.1</v>
      </c>
      <c r="AA123">
        <f>SUMIF('库存（子SKU）'!$C:$C,$A123,'库存（子SKU）'!AC:AC)</f>
        <v>69.02</v>
      </c>
      <c r="AB123">
        <f>SUMIF('库存（子SKU）'!$C:$C,$A123,'库存（子SKU）'!AD:AD)</f>
        <v>54.86</v>
      </c>
      <c r="AC123">
        <f>SUMIF('库存（子SKU）'!$C:$C,$A123,'库存（子SKU）'!AE:AE)</f>
        <v>66.46</v>
      </c>
      <c r="AD123" s="23">
        <f t="shared" si="20"/>
        <v>0.0532981300538982</v>
      </c>
      <c r="AE123" s="23">
        <f t="shared" si="21"/>
        <v>0.0403148813603596</v>
      </c>
      <c r="AF123" s="23">
        <f t="shared" si="22"/>
        <v>0.0512703423107349</v>
      </c>
      <c r="AG123" s="23">
        <f t="shared" si="23"/>
        <v>0.0610021881179461</v>
      </c>
      <c r="AH123">
        <f>SUMIF('库存（子SKU）'!$C:$C,$A123,'库存（子SKU）'!AJ:AJ)</f>
        <v>556</v>
      </c>
      <c r="AI123">
        <f>SUMIF('库存（子SKU）'!$C:$C,$A123,'库存（子SKU）'!AK:AK)</f>
        <v>544</v>
      </c>
      <c r="AJ123">
        <f>SUMIF('库存（子SKU）'!$C:$C,$A123,'库存（子SKU）'!AL:AL)</f>
        <v>544</v>
      </c>
      <c r="AK123">
        <f>SUMIF('库存（子SKU）'!$C:$C,$A123,'库存（子SKU）'!AM:AM)</f>
        <v>321</v>
      </c>
      <c r="AL123" s="23">
        <f t="shared" si="24"/>
        <v>0.151079136690647</v>
      </c>
      <c r="AM123" s="23">
        <f t="shared" si="25"/>
        <v>0.161764705882353</v>
      </c>
      <c r="AN123" s="23">
        <f t="shared" si="26"/>
        <v>0.101102941176471</v>
      </c>
      <c r="AO123" s="23">
        <f t="shared" si="27"/>
        <v>0.174454828660436</v>
      </c>
      <c r="AP123" s="8">
        <f t="shared" si="28"/>
        <v>12</v>
      </c>
      <c r="AQ123" s="8">
        <f t="shared" si="29"/>
        <v>720</v>
      </c>
      <c r="AR123" s="8">
        <f t="shared" si="30"/>
        <v>-371</v>
      </c>
      <c r="AS123">
        <f t="shared" si="31"/>
        <v>29</v>
      </c>
      <c r="AT123" s="25">
        <f>IFERROR(时间!$B$4+AS123,"上周无销量")</f>
        <v>43319</v>
      </c>
    </row>
    <row r="124" spans="1:46">
      <c r="A124" t="s">
        <v>1730</v>
      </c>
      <c r="B124" s="6">
        <f>SUMIF('库存（子SKU）'!$C:$C,$A124,'库存（子SKU）'!D:D)</f>
        <v>2</v>
      </c>
      <c r="C124" s="6">
        <f>SUMIF('库存（子SKU）'!$C:$C,$A124,'库存（子SKU）'!E:E)</f>
        <v>7</v>
      </c>
      <c r="D124" s="6">
        <f>SUMIF('库存（子SKU）'!$C:$C,$A124,'库存（子SKU）'!F:F)</f>
        <v>11</v>
      </c>
      <c r="E124" s="6">
        <f>SUMIF('库存（子SKU）'!$C:$C,$A124,'库存（子SKU）'!G:G)</f>
        <v>6</v>
      </c>
      <c r="F124" s="7">
        <v>20.69</v>
      </c>
      <c r="G124">
        <f>SUMIF('库存（子SKU）'!$C:$C,$A124,'库存（子SKU）'!I:I)</f>
        <v>184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1</v>
      </c>
      <c r="K124">
        <f t="shared" si="19"/>
        <v>185</v>
      </c>
      <c r="L124">
        <f>SUMIF('库存（子SKU）'!$C:$C,$A124,'库存（子SKU）'!N:N)</f>
        <v>6</v>
      </c>
      <c r="M124">
        <f>SUMIF('库存（子SKU）'!$C:$C,$A124,'库存（子SKU）'!O:O)</f>
        <v>152</v>
      </c>
      <c r="N124">
        <f>SUMIF('库存（子SKU）'!$C:$C,$A124,'库存（子SKU）'!P:P)</f>
        <v>73</v>
      </c>
      <c r="O124">
        <f>SUMIF('库存（子SKU）'!$C:$C,$A124,'库存（子SKU）'!Q:Q)</f>
        <v>115</v>
      </c>
      <c r="P124">
        <f>SUMIF('库存（子SKU）'!$C:$C,$A124,'库存（子SKU）'!R:R)</f>
        <v>129</v>
      </c>
      <c r="Q124">
        <f>SUMIF('库存（子SKU）'!$C:$C,$A124,'库存（子SKU）'!S:S)</f>
        <v>218</v>
      </c>
      <c r="R124">
        <f>SUMIF('库存（子SKU）'!$C:$C,$A124,'库存（子SKU）'!T:T)</f>
        <v>0</v>
      </c>
      <c r="S124">
        <f>SUMIF('库存（子SKU）'!$C:$C,$A124,'库存（子SKU）'!U:U)</f>
        <v>3</v>
      </c>
      <c r="T124">
        <f>SUMIF('库存（子SKU）'!$C:$C,$A124,'库存（子SKU）'!V:V)</f>
        <v>2</v>
      </c>
      <c r="U124">
        <f>SUMIF('库存（子SKU）'!$C:$C,$A124,'库存（子SKU）'!W:W)</f>
        <v>6</v>
      </c>
      <c r="V124" s="23">
        <f t="shared" si="32"/>
        <v>0</v>
      </c>
      <c r="W124" s="23">
        <f t="shared" si="33"/>
        <v>0.0260869565217391</v>
      </c>
      <c r="X124" s="23">
        <f t="shared" si="34"/>
        <v>0.0155038759689922</v>
      </c>
      <c r="Y124" s="23">
        <f t="shared" si="35"/>
        <v>0.0275229357798165</v>
      </c>
      <c r="Z124">
        <f>SUMIF('库存（子SKU）'!$C:$C,$A124,'库存（子SKU）'!AB:AB)</f>
        <v>0</v>
      </c>
      <c r="AA124">
        <f>SUMIF('库存（子SKU）'!$C:$C,$A124,'库存（子SKU）'!AC:AC)</f>
        <v>0.3</v>
      </c>
      <c r="AB124">
        <f>SUMIF('库存（子SKU）'!$C:$C,$A124,'库存（子SKU）'!AD:AD)</f>
        <v>0.2</v>
      </c>
      <c r="AC124">
        <f>SUMIF('库存（子SKU）'!$C:$C,$A124,'库存（子SKU）'!AE:AE)</f>
        <v>0.5</v>
      </c>
      <c r="AD124" s="23">
        <f t="shared" si="20"/>
        <v>0</v>
      </c>
      <c r="AE124" s="23">
        <f t="shared" si="21"/>
        <v>0.00207139404819443</v>
      </c>
      <c r="AF124" s="23">
        <f t="shared" si="22"/>
        <v>0.000878773232567336</v>
      </c>
      <c r="AG124" s="23">
        <f t="shared" si="23"/>
        <v>0.00402771064926696</v>
      </c>
      <c r="AH124">
        <f>SUMIF('库存（子SKU）'!$C:$C,$A124,'库存（子SKU）'!AJ:AJ)</f>
        <v>78</v>
      </c>
      <c r="AI124">
        <f>SUMIF('库存（子SKU）'!$C:$C,$A124,'库存（子SKU）'!AK:AK)</f>
        <v>81</v>
      </c>
      <c r="AJ124">
        <f>SUMIF('库存（子SKU）'!$C:$C,$A124,'库存（子SKU）'!AL:AL)</f>
        <v>81</v>
      </c>
      <c r="AK124">
        <f>SUMIF('库存（子SKU）'!$C:$C,$A124,'库存（子SKU）'!AM:AM)</f>
        <v>81</v>
      </c>
      <c r="AL124" s="23">
        <f t="shared" si="24"/>
        <v>0.0256410256410256</v>
      </c>
      <c r="AM124" s="23">
        <f t="shared" si="25"/>
        <v>0.0864197530864197</v>
      </c>
      <c r="AN124" s="23">
        <f t="shared" si="26"/>
        <v>0.135802469135802</v>
      </c>
      <c r="AO124" s="23">
        <f t="shared" si="27"/>
        <v>0.0740740740740741</v>
      </c>
      <c r="AP124" s="8">
        <f t="shared" si="28"/>
        <v>0.285714285714286</v>
      </c>
      <c r="AQ124" s="8">
        <f t="shared" si="29"/>
        <v>17.1428571428571</v>
      </c>
      <c r="AR124" s="8">
        <f t="shared" si="30"/>
        <v>167.857142857143</v>
      </c>
      <c r="AS124">
        <f t="shared" si="31"/>
        <v>647</v>
      </c>
      <c r="AT124" s="25">
        <f>IFERROR(时间!$B$4+AS124,"上周无销量")</f>
        <v>43937</v>
      </c>
    </row>
    <row r="125" spans="1:46">
      <c r="A125" t="s">
        <v>1793</v>
      </c>
      <c r="B125" s="6">
        <f>SUMIF('库存（子SKU）'!$C:$C,$A125,'库存（子SKU）'!D:D)</f>
        <v>5</v>
      </c>
      <c r="C125" s="6">
        <f>SUMIF('库存（子SKU）'!$C:$C,$A125,'库存（子SKU）'!E:E)</f>
        <v>1</v>
      </c>
      <c r="D125" s="6">
        <f>SUMIF('库存（子SKU）'!$C:$C,$A125,'库存（子SKU）'!F:F)</f>
        <v>2</v>
      </c>
      <c r="E125" s="6">
        <f>SUMIF('库存（子SKU）'!$C:$C,$A125,'库存（子SKU）'!G:G)</f>
        <v>1</v>
      </c>
      <c r="F125" s="7">
        <v>19.99</v>
      </c>
      <c r="G125">
        <f>SUMIF('库存（子SKU）'!$C:$C,$A125,'库存（子SKU）'!I:I)</f>
        <v>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</v>
      </c>
      <c r="L125">
        <f>SUMIF('库存（子SKU）'!$C:$C,$A125,'库存（子SKU）'!N:N)</f>
        <v>3</v>
      </c>
      <c r="M125">
        <f>SUMIF('库存（子SKU）'!$C:$C,$A125,'库存（子SKU）'!O:O)</f>
        <v>1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>
        <f t="shared" si="20"/>
        <v>0</v>
      </c>
      <c r="AE125" s="23">
        <f t="shared" si="21"/>
        <v>0</v>
      </c>
      <c r="AF125" s="23">
        <f t="shared" si="22"/>
        <v>0</v>
      </c>
      <c r="AG125" s="23">
        <f t="shared" si="23"/>
        <v>0</v>
      </c>
      <c r="AH125">
        <f>SUMIF('库存（子SKU）'!$C:$C,$A125,'库存（子SKU）'!AJ:AJ)</f>
        <v>32</v>
      </c>
      <c r="AI125">
        <f>SUMIF('库存（子SKU）'!$C:$C,$A125,'库存（子SKU）'!AK:AK)</f>
        <v>41</v>
      </c>
      <c r="AJ125">
        <f>SUMIF('库存（子SKU）'!$C:$C,$A125,'库存（子SKU）'!AL:AL)</f>
        <v>41</v>
      </c>
      <c r="AK125">
        <f>SUMIF('库存（子SKU）'!$C:$C,$A125,'库存（子SKU）'!AM:AM)</f>
        <v>43</v>
      </c>
      <c r="AL125" s="23">
        <f t="shared" si="24"/>
        <v>0.15625</v>
      </c>
      <c r="AM125" s="23">
        <f t="shared" si="25"/>
        <v>0.024390243902439</v>
      </c>
      <c r="AN125" s="23">
        <f t="shared" si="26"/>
        <v>0.0487804878048781</v>
      </c>
      <c r="AO125" s="23">
        <f t="shared" si="27"/>
        <v>0.0232558139534884</v>
      </c>
      <c r="AP125" s="8">
        <f t="shared" si="28"/>
        <v>0.714285714285714</v>
      </c>
      <c r="AQ125" s="8">
        <f t="shared" si="29"/>
        <v>42.8571428571429</v>
      </c>
      <c r="AR125" s="8">
        <f t="shared" si="30"/>
        <v>-41.8571428571429</v>
      </c>
      <c r="AS125">
        <f t="shared" si="31"/>
        <v>1</v>
      </c>
      <c r="AT125" s="25">
        <f>IFERROR(时间!$B$4+AS125,"上周无销量")</f>
        <v>43291</v>
      </c>
    </row>
    <row r="126" spans="1:46">
      <c r="A126" t="s">
        <v>1824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20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20</v>
      </c>
      <c r="L126">
        <f>SUMIF('库存（子SKU）'!$C:$C,$A126,'库存（子SKU）'!N:N)</f>
        <v>1</v>
      </c>
      <c r="M126">
        <f>SUMIF('库存（子SKU）'!$C:$C,$A126,'库存（子SKU）'!O:O)</f>
        <v>20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22</v>
      </c>
      <c r="AI126">
        <f>SUMIF('库存（子SKU）'!$C:$C,$A126,'库存（子SKU）'!AK:AK)</f>
        <v>3</v>
      </c>
      <c r="AJ126">
        <f>SUMIF('库存（子SKU）'!$C:$C,$A126,'库存（子SKU）'!AL:AL)</f>
        <v>3</v>
      </c>
      <c r="AK126">
        <f>SUMIF('库存（子SKU）'!$C:$C,$A126,'库存（子SKU）'!AM:AM)</f>
        <v>6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8">
        <f t="shared" si="28"/>
        <v>0</v>
      </c>
      <c r="AQ126" s="8">
        <f t="shared" si="29"/>
        <v>0</v>
      </c>
      <c r="AR126" s="8">
        <f t="shared" si="30"/>
        <v>20</v>
      </c>
      <c r="AS126" t="str">
        <f t="shared" si="31"/>
        <v>库存为20</v>
      </c>
      <c r="AT126" s="25" t="str">
        <f>IFERROR(时间!$B$4+AS126,"上周无销量")</f>
        <v>上周无销量</v>
      </c>
    </row>
    <row r="127" spans="1:46">
      <c r="A127" t="s">
        <v>1849</v>
      </c>
      <c r="B127" s="6">
        <f>SUMIF('库存（子SKU）'!$C:$C,$A127,'库存（子SKU）'!D:D)</f>
        <v>2</v>
      </c>
      <c r="C127" s="6">
        <f>SUMIF('库存（子SKU）'!$C:$C,$A127,'库存（子SKU）'!E:E)</f>
        <v>1</v>
      </c>
      <c r="D127" s="6">
        <f>SUMIF('库存（子SKU）'!$C:$C,$A127,'库存（子SKU）'!F:F)</f>
        <v>0</v>
      </c>
      <c r="E127" s="6">
        <f>SUMIF('库存（子SKU）'!$C:$C,$A127,'库存（子SKU）'!G:G)</f>
        <v>1</v>
      </c>
      <c r="F127" s="7">
        <v>25.24</v>
      </c>
      <c r="G127">
        <f>SUMIF('库存（子SKU）'!$C:$C,$A127,'库存（子SKU）'!I:I)</f>
        <v>2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2</v>
      </c>
      <c r="L127">
        <f>SUMIF('库存（子SKU）'!$C:$C,$A127,'库存（子SKU）'!N:N)</f>
        <v>0</v>
      </c>
      <c r="M127">
        <f>SUMIF('库存（子SKU）'!$C:$C,$A127,'库存（子SKU）'!O:O)</f>
        <v>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>
        <f t="shared" si="20"/>
        <v>0</v>
      </c>
      <c r="AE127" s="23">
        <f t="shared" si="21"/>
        <v>0</v>
      </c>
      <c r="AF127" s="23" t="str">
        <f t="shared" si="22"/>
        <v/>
      </c>
      <c r="AG127" s="23">
        <f t="shared" si="23"/>
        <v>0</v>
      </c>
      <c r="AH127">
        <f>SUMIF('库存（子SKU）'!$C:$C,$A127,'库存（子SKU）'!AJ:AJ)</f>
        <v>9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7</v>
      </c>
      <c r="AL127" s="23">
        <f t="shared" si="24"/>
        <v>0.222222222222222</v>
      </c>
      <c r="AM127" s="23" t="str">
        <f t="shared" si="25"/>
        <v/>
      </c>
      <c r="AN127" s="23" t="str">
        <f t="shared" si="26"/>
        <v/>
      </c>
      <c r="AO127" s="23">
        <f t="shared" si="27"/>
        <v>0.142857142857143</v>
      </c>
      <c r="AP127" s="8">
        <f t="shared" si="28"/>
        <v>0.285714285714286</v>
      </c>
      <c r="AQ127" s="8">
        <f t="shared" si="29"/>
        <v>17.1428571428571</v>
      </c>
      <c r="AR127" s="8">
        <f t="shared" si="30"/>
        <v>-15.1428571428571</v>
      </c>
      <c r="AS127">
        <f t="shared" si="31"/>
        <v>7</v>
      </c>
      <c r="AT127" s="25">
        <f>IFERROR(时间!$B$4+AS127,"上周无销量")</f>
        <v>43297</v>
      </c>
    </row>
    <row r="128" spans="1:46">
      <c r="A128" t="s">
        <v>1858</v>
      </c>
      <c r="B128" s="6">
        <f>SUMIF('库存（子SKU）'!$C:$C,$A128,'库存（子SKU）'!D:D)</f>
        <v>1</v>
      </c>
      <c r="C128" s="6">
        <f>SUMIF('库存（子SKU）'!$C:$C,$A128,'库存（子SKU）'!E:E)</f>
        <v>0</v>
      </c>
      <c r="D128" s="6">
        <f>SUMIF('库存（子SKU）'!$C:$C,$A128,'库存（子SKU）'!F:F)</f>
        <v>2</v>
      </c>
      <c r="E128" s="6">
        <f>SUMIF('库存（子SKU）'!$C:$C,$A128,'库存（子SKU）'!G:G)</f>
        <v>1</v>
      </c>
      <c r="F128" s="7">
        <v>14.49</v>
      </c>
      <c r="G128">
        <f>SUMIF('库存（子SKU）'!$C:$C,$A128,'库存（子SKU）'!I:I)</f>
        <v>7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7</v>
      </c>
      <c r="L128">
        <f>SUMIF('库存（子SKU）'!$C:$C,$A128,'库存（子SKU）'!N:N)</f>
        <v>1</v>
      </c>
      <c r="M128">
        <f>SUMIF('库存（子SKU）'!$C:$C,$A128,'库存（子SKU）'!O:O)</f>
        <v>6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>
        <f t="shared" si="20"/>
        <v>0</v>
      </c>
      <c r="AE128" s="23" t="str">
        <f t="shared" si="21"/>
        <v/>
      </c>
      <c r="AF128" s="23">
        <f t="shared" si="22"/>
        <v>0</v>
      </c>
      <c r="AG128" s="23">
        <f t="shared" si="23"/>
        <v>0</v>
      </c>
      <c r="AH128">
        <f>SUMIF('库存（子SKU）'!$C:$C,$A128,'库存（子SKU）'!AJ:AJ)</f>
        <v>13</v>
      </c>
      <c r="AI128">
        <f>SUMIF('库存（子SKU）'!$C:$C,$A128,'库存（子SKU）'!AK:AK)</f>
        <v>3</v>
      </c>
      <c r="AJ128">
        <f>SUMIF('库存（子SKU）'!$C:$C,$A128,'库存（子SKU）'!AL:AL)</f>
        <v>3</v>
      </c>
      <c r="AK128">
        <f>SUMIF('库存（子SKU）'!$C:$C,$A128,'库存（子SKU）'!AM:AM)</f>
        <v>5</v>
      </c>
      <c r="AL128" s="23">
        <f t="shared" si="24"/>
        <v>0.0769230769230769</v>
      </c>
      <c r="AM128" s="23">
        <f t="shared" si="25"/>
        <v>0</v>
      </c>
      <c r="AN128" s="23">
        <f t="shared" si="26"/>
        <v>0.666666666666667</v>
      </c>
      <c r="AO128" s="23">
        <f t="shared" si="27"/>
        <v>0.2</v>
      </c>
      <c r="AP128" s="8">
        <f t="shared" si="28"/>
        <v>0.142857142857143</v>
      </c>
      <c r="AQ128" s="8">
        <f t="shared" si="29"/>
        <v>8.57142857142857</v>
      </c>
      <c r="AR128" s="8">
        <f t="shared" si="30"/>
        <v>-1.57142857142857</v>
      </c>
      <c r="AS128">
        <f t="shared" si="31"/>
        <v>49</v>
      </c>
      <c r="AT128" s="25">
        <f>IFERROR(时间!$B$4+AS128,"上周无销量")</f>
        <v>43339</v>
      </c>
    </row>
    <row r="129" spans="1:46">
      <c r="A129" t="s">
        <v>1885</v>
      </c>
      <c r="B129" s="6">
        <f>SUMIF('库存（子SKU）'!$C:$C,$A129,'库存（子SKU）'!D:D)</f>
        <v>0</v>
      </c>
      <c r="C129" s="6">
        <f>SUMIF('库存（子SKU）'!$C:$C,$A129,'库存（子SKU）'!E:E)</f>
        <v>1</v>
      </c>
      <c r="D129" s="6">
        <f>SUMIF('库存（子SKU）'!$C:$C,$A129,'库存（子SKU）'!F:F)</f>
        <v>1</v>
      </c>
      <c r="E129" s="6">
        <f>SUMIF('库存（子SKU）'!$C:$C,$A129,'库存（子SKU）'!G:G)</f>
        <v>2</v>
      </c>
      <c r="F129" s="7">
        <v>17.99</v>
      </c>
      <c r="G129">
        <f>SUMIF('库存（子SKU）'!$C:$C,$A129,'库存（子SKU）'!I:I)</f>
        <v>34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34</v>
      </c>
      <c r="L129">
        <f>SUMIF('库存（子SKU）'!$C:$C,$A129,'库存（子SKU）'!N:N)</f>
        <v>0</v>
      </c>
      <c r="M129">
        <f>SUMIF('库存（子SKU）'!$C:$C,$A129,'库存（子SKU）'!O:O)</f>
        <v>35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>
        <f t="shared" si="21"/>
        <v>0</v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18</v>
      </c>
      <c r="AI129">
        <f>SUMIF('库存（子SKU）'!$C:$C,$A129,'库存（子SKU）'!AK:AK)</f>
        <v>13</v>
      </c>
      <c r="AJ129">
        <f>SUMIF('库存（子SKU）'!$C:$C,$A129,'库存（子SKU）'!AL:AL)</f>
        <v>13</v>
      </c>
      <c r="AK129">
        <f>SUMIF('库存（子SKU）'!$C:$C,$A129,'库存（子SKU）'!AM:AM)</f>
        <v>6</v>
      </c>
      <c r="AL129" s="23">
        <f t="shared" si="24"/>
        <v>0</v>
      </c>
      <c r="AM129" s="23">
        <f t="shared" si="25"/>
        <v>0.0769230769230769</v>
      </c>
      <c r="AN129" s="23">
        <f t="shared" si="26"/>
        <v>0.0769230769230769</v>
      </c>
      <c r="AO129" s="23">
        <f t="shared" si="27"/>
        <v>0.333333333333333</v>
      </c>
      <c r="AP129" s="8">
        <f t="shared" si="28"/>
        <v>0</v>
      </c>
      <c r="AQ129" s="8">
        <f t="shared" si="29"/>
        <v>0</v>
      </c>
      <c r="AR129" s="8">
        <f t="shared" si="30"/>
        <v>34</v>
      </c>
      <c r="AS129" t="str">
        <f t="shared" si="31"/>
        <v>库存为34</v>
      </c>
      <c r="AT129" s="25" t="str">
        <f>IFERROR(时间!$B$4+AS129,"上周无销量")</f>
        <v>上周无销量</v>
      </c>
    </row>
    <row r="130" spans="1:46">
      <c r="A130" t="s">
        <v>1898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2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5" t="str">
        <f>IFERROR(时间!$B$4+AS130,"上周无销量")</f>
        <v>上周无销量</v>
      </c>
    </row>
    <row r="131" spans="1:46">
      <c r="A131" t="s">
        <v>1909</v>
      </c>
      <c r="B131" s="6">
        <f>SUMIF('库存（子SKU）'!$C:$C,$A131,'库存（子SKU）'!D:D)</f>
        <v>0</v>
      </c>
      <c r="C131" s="6">
        <f>SUMIF('库存（子SKU）'!$C:$C,$A131,'库存（子SKU）'!E:E)</f>
        <v>1</v>
      </c>
      <c r="D131" s="6">
        <f>SUMIF('库存（子SKU）'!$C:$C,$A131,'库存（子SKU）'!F:F)</f>
        <v>1</v>
      </c>
      <c r="E131" s="6">
        <f>SUMIF('库存（子SKU）'!$C:$C,$A131,'库存（子SKU）'!G:G)</f>
        <v>0</v>
      </c>
      <c r="F131" s="7">
        <v>15.9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>
        <f t="shared" si="21"/>
        <v>0</v>
      </c>
      <c r="AF131" s="23">
        <f t="shared" si="22"/>
        <v>0</v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6</v>
      </c>
      <c r="AJ131">
        <f>SUMIF('库存（子SKU）'!$C:$C,$A131,'库存（子SKU）'!AL:AL)</f>
        <v>6</v>
      </c>
      <c r="AK131">
        <f>SUMIF('库存（子SKU）'!$C:$C,$A131,'库存（子SKU）'!AM:AM)</f>
        <v>2</v>
      </c>
      <c r="AL131" s="23" t="str">
        <f t="shared" si="24"/>
        <v/>
      </c>
      <c r="AM131" s="23">
        <f t="shared" si="25"/>
        <v>0.166666666666667</v>
      </c>
      <c r="AN131" s="23">
        <f t="shared" si="26"/>
        <v>0.166666666666667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1912</v>
      </c>
      <c r="B132" s="6">
        <f>SUMIF('库存（子SKU）'!$C:$C,$A132,'库存（子SKU）'!D:D)</f>
        <v>0</v>
      </c>
      <c r="C132" s="6">
        <f>SUMIF('库存（子SKU）'!$C:$C,$A132,'库存（子SKU）'!E:E)</f>
        <v>2</v>
      </c>
      <c r="D132" s="6">
        <f>SUMIF('库存（子SKU）'!$C:$C,$A132,'库存（子SKU）'!F:F)</f>
        <v>1</v>
      </c>
      <c r="E132" s="6">
        <f>SUMIF('库存（子SKU）'!$C:$C,$A132,'库存（子SKU）'!G:G)</f>
        <v>0</v>
      </c>
      <c r="F132" s="7">
        <v>17.3233333333333</v>
      </c>
      <c r="G132">
        <f>SUMIF('库存（子SKU）'!$C:$C,$A132,'库存（子SKU）'!I:I)</f>
        <v>3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3</v>
      </c>
      <c r="L132">
        <f>SUMIF('库存（子SKU）'!$C:$C,$A132,'库存（子SKU）'!N:N)</f>
        <v>0</v>
      </c>
      <c r="M132">
        <f>SUMIF('库存（子SKU）'!$C:$C,$A132,'库存（子SKU）'!O:O)</f>
        <v>2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>
        <f t="shared" si="21"/>
        <v>0</v>
      </c>
      <c r="AF132" s="23">
        <f t="shared" si="22"/>
        <v>0</v>
      </c>
      <c r="AG132" s="23" t="str">
        <f t="shared" si="23"/>
        <v/>
      </c>
      <c r="AH132">
        <f>SUMIF('库存（子SKU）'!$C:$C,$A132,'库存（子SKU）'!AJ:AJ)</f>
        <v>13</v>
      </c>
      <c r="AI132">
        <f>SUMIF('库存（子SKU）'!$C:$C,$A132,'库存（子SKU）'!AK:AK)</f>
        <v>11</v>
      </c>
      <c r="AJ132">
        <f>SUMIF('库存（子SKU）'!$C:$C,$A132,'库存（子SKU）'!AL:AL)</f>
        <v>11</v>
      </c>
      <c r="AK132">
        <f>SUMIF('库存（子SKU）'!$C:$C,$A132,'库存（子SKU）'!AM:AM)</f>
        <v>3</v>
      </c>
      <c r="AL132" s="23">
        <f t="shared" si="24"/>
        <v>0</v>
      </c>
      <c r="AM132" s="23">
        <f t="shared" si="25"/>
        <v>0.181818181818182</v>
      </c>
      <c r="AN132" s="23">
        <f t="shared" si="26"/>
        <v>0.0909090909090909</v>
      </c>
      <c r="AO132" s="23">
        <f t="shared" si="27"/>
        <v>0</v>
      </c>
      <c r="AP132" s="8">
        <f t="shared" si="28"/>
        <v>0</v>
      </c>
      <c r="AQ132" s="8">
        <f t="shared" si="29"/>
        <v>0</v>
      </c>
      <c r="AR132" s="8">
        <f t="shared" si="30"/>
        <v>3</v>
      </c>
      <c r="AS132" t="str">
        <f t="shared" si="31"/>
        <v>库存为3</v>
      </c>
      <c r="AT132" s="25" t="str">
        <f>IFERROR(时间!$B$4+AS132,"上周无销量")</f>
        <v>上周无销量</v>
      </c>
    </row>
    <row r="133" spans="1:46">
      <c r="A133" t="s">
        <v>1926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1</v>
      </c>
      <c r="F133" s="7">
        <v>17.73</v>
      </c>
      <c r="G133">
        <f>SUMIF('库存（子SKU）'!$C:$C,$A133,'库存（子SKU）'!I:I)</f>
        <v>7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68" si="36">SUM(G133:J133)</f>
        <v>7</v>
      </c>
      <c r="L133">
        <f>SUMIF('库存（子SKU）'!$C:$C,$A133,'库存（子SKU）'!N:N)</f>
        <v>2</v>
      </c>
      <c r="M133">
        <f>SUMIF('库存（子SKU）'!$C:$C,$A133,'库存（子SKU）'!O:O)</f>
        <v>6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68" si="37">IF(AND(Z133&gt;0,B133=0),"无销量广告费为"&amp;Z133,IFERROR(Z133/(B133*$F133),""))</f>
        <v/>
      </c>
      <c r="AE133" s="23" t="str">
        <f t="shared" ref="AE133:AE168" si="38">IF(AND(AA133&gt;0,C133=0),"无销量广告费为"&amp;AA133,IFERROR(AA133/(C133*$F133),""))</f>
        <v/>
      </c>
      <c r="AF133" s="23" t="str">
        <f t="shared" ref="AF133:AF168" si="39">IF(AND(AB133&gt;0,D133=0),"无销量广告费为"&amp;AB133,IFERROR(AB133/(D133*$F133),""))</f>
        <v/>
      </c>
      <c r="AG133" s="23">
        <f t="shared" ref="AG133:AG168" si="40">IF(AND(AC133&gt;0,E133=0),"无销量广告费为"&amp;AC133,IFERROR(AC133/(E133*$F133),""))</f>
        <v>0</v>
      </c>
      <c r="AH133">
        <f>SUMIF('库存（子SKU）'!$C:$C,$A133,'库存（子SKU）'!AJ:AJ)</f>
        <v>18</v>
      </c>
      <c r="AI133">
        <f>SUMIF('库存（子SKU）'!$C:$C,$A133,'库存（子SKU）'!AK:AK)</f>
        <v>9</v>
      </c>
      <c r="AJ133">
        <f>SUMIF('库存（子SKU）'!$C:$C,$A133,'库存（子SKU）'!AL:AL)</f>
        <v>9</v>
      </c>
      <c r="AK133">
        <f>SUMIF('库存（子SKU）'!$C:$C,$A133,'库存（子SKU）'!AM:AM)</f>
        <v>5</v>
      </c>
      <c r="AL133" s="23">
        <f t="shared" ref="AL133:AL168" si="41">IFERROR(B133/AH133,"")</f>
        <v>0</v>
      </c>
      <c r="AM133" s="23">
        <f t="shared" ref="AM133:AM168" si="42">IFERROR(C133/AI133,"")</f>
        <v>0</v>
      </c>
      <c r="AN133" s="23">
        <f t="shared" ref="AN133:AN168" si="43">IFERROR(D133/AJ133,"")</f>
        <v>0</v>
      </c>
      <c r="AO133" s="23">
        <f t="shared" ref="AO133:AO168" si="44">IFERROR(E133/AK133,"")</f>
        <v>0.2</v>
      </c>
      <c r="AP133" s="8">
        <f t="shared" ref="AP133:AP168" si="45">B133/7</f>
        <v>0</v>
      </c>
      <c r="AQ133" s="8">
        <f t="shared" ref="AQ133:AQ168" si="46">AP133*60</f>
        <v>0</v>
      </c>
      <c r="AR133" s="8">
        <f t="shared" ref="AR133:AR168" si="47">K133-AQ133</f>
        <v>7</v>
      </c>
      <c r="AS133" t="str">
        <f t="shared" ref="AS133:AS168" si="48">IF(AP133=0,"库存为"&amp;K133,INT(K133/AP133))</f>
        <v>库存为7</v>
      </c>
      <c r="AT133" s="25" t="str">
        <f>IFERROR(时间!$B$4+AS133,"上周无销量")</f>
        <v>上周无销量</v>
      </c>
    </row>
    <row r="134" spans="1:46">
      <c r="A134" t="s">
        <v>1955</v>
      </c>
      <c r="B134" s="6">
        <f>SUMIF('库存（子SKU）'!$C:$C,$A134,'库存（子SKU）'!D:D)</f>
        <v>0</v>
      </c>
      <c r="C134" s="6">
        <f>SUMIF('库存（子SKU）'!$C:$C,$A134,'库存（子SKU）'!E:E)</f>
        <v>2</v>
      </c>
      <c r="D134" s="6">
        <f>SUMIF('库存（子SKU）'!$C:$C,$A134,'库存（子SKU）'!F:F)</f>
        <v>1</v>
      </c>
      <c r="E134" s="6">
        <f>SUMIF('库存（子SKU）'!$C:$C,$A134,'库存（子SKU）'!G:G)</f>
        <v>0</v>
      </c>
      <c r="F134" s="7">
        <v>18.99</v>
      </c>
      <c r="G134">
        <f>SUMIF('库存（子SKU）'!$C:$C,$A134,'库存（子SKU）'!I:I)</f>
        <v>1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</v>
      </c>
      <c r="L134">
        <f>SUMIF('库存（子SKU）'!$C:$C,$A134,'库存（子SKU）'!N:N)</f>
        <v>1</v>
      </c>
      <c r="M134">
        <f>SUMIF('库存（子SKU）'!$C:$C,$A134,'库存（子SKU）'!O:O)</f>
        <v>1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68" si="49">IFERROR(R134/N134,"")</f>
        <v/>
      </c>
      <c r="W134" s="23" t="str">
        <f t="shared" ref="W134:W168" si="50">IFERROR(S134/O134,"")</f>
        <v/>
      </c>
      <c r="X134" s="23" t="str">
        <f t="shared" ref="X134:X168" si="51">IFERROR(T134/P134,"")</f>
        <v/>
      </c>
      <c r="Y134" s="23" t="str">
        <f t="shared" ref="Y134:Y168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>
        <f t="shared" si="38"/>
        <v>0</v>
      </c>
      <c r="AF134" s="23">
        <f t="shared" si="39"/>
        <v>0</v>
      </c>
      <c r="AG134" s="23" t="str">
        <f t="shared" si="40"/>
        <v/>
      </c>
      <c r="AH134">
        <f>SUMIF('库存（子SKU）'!$C:$C,$A134,'库存（子SKU）'!AJ:AJ)</f>
        <v>41</v>
      </c>
      <c r="AI134">
        <f>SUMIF('库存（子SKU）'!$C:$C,$A134,'库存（子SKU）'!AK:AK)</f>
        <v>23</v>
      </c>
      <c r="AJ134">
        <f>SUMIF('库存（子SKU）'!$C:$C,$A134,'库存（子SKU）'!AL:AL)</f>
        <v>23</v>
      </c>
      <c r="AK134">
        <f>SUMIF('库存（子SKU）'!$C:$C,$A134,'库存（子SKU）'!AM:AM)</f>
        <v>17</v>
      </c>
      <c r="AL134" s="23">
        <f t="shared" si="41"/>
        <v>0</v>
      </c>
      <c r="AM134" s="23">
        <f t="shared" si="42"/>
        <v>0.0869565217391304</v>
      </c>
      <c r="AN134" s="23">
        <f t="shared" si="43"/>
        <v>0.0434782608695652</v>
      </c>
      <c r="AO134" s="23">
        <f t="shared" si="44"/>
        <v>0</v>
      </c>
      <c r="AP134" s="8">
        <f t="shared" si="45"/>
        <v>0</v>
      </c>
      <c r="AQ134" s="8">
        <f t="shared" si="46"/>
        <v>0</v>
      </c>
      <c r="AR134" s="8">
        <f t="shared" si="47"/>
        <v>1</v>
      </c>
      <c r="AS134" t="str">
        <f t="shared" si="48"/>
        <v>库存为1</v>
      </c>
      <c r="AT134" s="25" t="str">
        <f>IFERROR(时间!$B$4+AS134,"上周无销量")</f>
        <v>上周无销量</v>
      </c>
    </row>
    <row r="135" spans="1:46">
      <c r="A135" t="s">
        <v>1966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5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5</v>
      </c>
      <c r="L135">
        <f>SUMIF('库存（子SKU）'!$C:$C,$A135,'库存（子SKU）'!N:N)</f>
        <v>0</v>
      </c>
      <c r="M135">
        <f>SUMIF('库存（子SKU）'!$C:$C,$A135,'库存（子SKU）'!O:O)</f>
        <v>5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10</v>
      </c>
      <c r="AI135">
        <f>SUMIF('库存（子SKU）'!$C:$C,$A135,'库存（子SKU）'!AK:AK)</f>
        <v>3</v>
      </c>
      <c r="AJ135">
        <f>SUMIF('库存（子SKU）'!$C:$C,$A135,'库存（子SKU）'!AL:AL)</f>
        <v>3</v>
      </c>
      <c r="AK135">
        <f>SUMIF('库存（子SKU）'!$C:$C,$A135,'库存（子SKU）'!AM:AM)</f>
        <v>2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</v>
      </c>
      <c r="AP135" s="8">
        <f t="shared" si="45"/>
        <v>0</v>
      </c>
      <c r="AQ135" s="8">
        <f t="shared" si="46"/>
        <v>0</v>
      </c>
      <c r="AR135" s="8">
        <f t="shared" si="47"/>
        <v>5</v>
      </c>
      <c r="AS135" t="str">
        <f t="shared" si="48"/>
        <v>库存为5</v>
      </c>
      <c r="AT135" s="25" t="str">
        <f>IFERROR(时间!$B$4+AS135,"上周无销量")</f>
        <v>上周无销量</v>
      </c>
    </row>
    <row r="136" spans="1:46">
      <c r="A136" t="s">
        <v>1973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1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1</v>
      </c>
      <c r="L136">
        <f>SUMIF('库存（子SKU）'!$C:$C,$A136,'库存（子SKU）'!N:N)</f>
        <v>0</v>
      </c>
      <c r="M136">
        <f>SUMIF('库存（子SKU）'!$C:$C,$A136,'库存（子SKU）'!O:O)</f>
        <v>1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5</v>
      </c>
      <c r="AI136">
        <f>SUMIF('库存（子SKU）'!$C:$C,$A136,'库存（子SKU）'!AK:AK)</f>
        <v>1</v>
      </c>
      <c r="AJ136">
        <f>SUMIF('库存（子SKU）'!$C:$C,$A136,'库存（子SKU）'!AL:AL)</f>
        <v>1</v>
      </c>
      <c r="AK136">
        <f>SUMIF('库存（子SKU）'!$C:$C,$A136,'库存（子SKU）'!AM:AM)</f>
        <v>0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1</v>
      </c>
      <c r="AS136" t="str">
        <f t="shared" si="48"/>
        <v>库存为1</v>
      </c>
      <c r="AT136" s="25" t="str">
        <f>IFERROR(时间!$B$4+AS136,"上周无销量")</f>
        <v>上周无销量</v>
      </c>
    </row>
    <row r="137" spans="1:46">
      <c r="A137" t="s">
        <v>1978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1</v>
      </c>
      <c r="F137" s="7">
        <v>16.99</v>
      </c>
      <c r="G137">
        <f>SUMIF('库存（子SKU）'!$C:$C,$A137,'库存（子SKU）'!I:I)</f>
        <v>3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3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>
        <f t="shared" si="40"/>
        <v>0</v>
      </c>
      <c r="AH137">
        <f>SUMIF('库存（子SKU）'!$C:$C,$A137,'库存（子SKU）'!AJ:AJ)</f>
        <v>6</v>
      </c>
      <c r="AI137">
        <f>SUMIF('库存（子SKU）'!$C:$C,$A137,'库存（子SKU）'!AK:AK)</f>
        <v>1</v>
      </c>
      <c r="AJ137">
        <f>SUMIF('库存（子SKU）'!$C:$C,$A137,'库存（子SKU）'!AL:AL)</f>
        <v>1</v>
      </c>
      <c r="AK137">
        <f>SUMIF('库存（子SKU）'!$C:$C,$A137,'库存（子SKU）'!AM:AM)</f>
        <v>0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3</v>
      </c>
      <c r="AS137" t="str">
        <f t="shared" si="48"/>
        <v>库存为3</v>
      </c>
      <c r="AT137" s="25" t="str">
        <f>IFERROR(时间!$B$4+AS137,"上周无销量")</f>
        <v>上周无销量</v>
      </c>
    </row>
    <row r="138" spans="1:46">
      <c r="A138" t="s">
        <v>1985</v>
      </c>
      <c r="B138" s="6">
        <f>SUMIF('库存（子SKU）'!$C:$C,$A138,'库存（子SKU）'!D:D)</f>
        <v>2</v>
      </c>
      <c r="C138" s="6">
        <f>SUMIF('库存（子SKU）'!$C:$C,$A138,'库存（子SKU）'!E:E)</f>
        <v>0</v>
      </c>
      <c r="D138" s="6">
        <f>SUMIF('库存（子SKU）'!$C:$C,$A138,'库存（子SKU）'!F:F)</f>
        <v>1</v>
      </c>
      <c r="E138" s="6">
        <f>SUMIF('库存（子SKU）'!$C:$C,$A138,'库存（子SKU）'!G:G)</f>
        <v>0</v>
      </c>
      <c r="F138" s="7">
        <v>19.99</v>
      </c>
      <c r="G138">
        <f>SUMIF('库存（子SKU）'!$C:$C,$A138,'库存（子SKU）'!I:I)</f>
        <v>12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12</v>
      </c>
      <c r="L138">
        <f>SUMIF('库存（子SKU）'!$C:$C,$A138,'库存（子SKU）'!N:N)</f>
        <v>1</v>
      </c>
      <c r="M138">
        <f>SUMIF('库存（子SKU）'!$C:$C,$A138,'库存（子SKU）'!O:O)</f>
        <v>10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>
        <f t="shared" si="37"/>
        <v>0</v>
      </c>
      <c r="AE138" s="23" t="str">
        <f t="shared" si="38"/>
        <v/>
      </c>
      <c r="AF138" s="23">
        <f t="shared" si="39"/>
        <v>0</v>
      </c>
      <c r="AG138" s="23" t="str">
        <f t="shared" si="40"/>
        <v/>
      </c>
      <c r="AH138">
        <f>SUMIF('库存（子SKU）'!$C:$C,$A138,'库存（子SKU）'!AJ:AJ)</f>
        <v>29</v>
      </c>
      <c r="AI138">
        <f>SUMIF('库存（子SKU）'!$C:$C,$A138,'库存（子SKU）'!AK:AK)</f>
        <v>30</v>
      </c>
      <c r="AJ138">
        <f>SUMIF('库存（子SKU）'!$C:$C,$A138,'库存（子SKU）'!AL:AL)</f>
        <v>30</v>
      </c>
      <c r="AK138">
        <f>SUMIF('库存（子SKU）'!$C:$C,$A138,'库存（子SKU）'!AM:AM)</f>
        <v>48</v>
      </c>
      <c r="AL138" s="23">
        <f t="shared" si="41"/>
        <v>0.0689655172413793</v>
      </c>
      <c r="AM138" s="23">
        <f t="shared" si="42"/>
        <v>0</v>
      </c>
      <c r="AN138" s="23">
        <f t="shared" si="43"/>
        <v>0.0333333333333333</v>
      </c>
      <c r="AO138" s="23">
        <f t="shared" si="44"/>
        <v>0</v>
      </c>
      <c r="AP138" s="8">
        <f t="shared" si="45"/>
        <v>0.285714285714286</v>
      </c>
      <c r="AQ138" s="8">
        <f t="shared" si="46"/>
        <v>17.1428571428571</v>
      </c>
      <c r="AR138" s="8">
        <f t="shared" si="47"/>
        <v>-5.14285714285714</v>
      </c>
      <c r="AS138">
        <f t="shared" si="48"/>
        <v>42</v>
      </c>
      <c r="AT138" s="25">
        <f>IFERROR(时间!$B$4+AS138,"上周无销量")</f>
        <v>43332</v>
      </c>
    </row>
    <row r="139" spans="1:46">
      <c r="A139" t="s">
        <v>1998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5" t="str">
        <f>IFERROR(时间!$B$4+AS139,"上周无销量")</f>
        <v>上周无销量</v>
      </c>
    </row>
    <row r="140" spans="1:46">
      <c r="A140" t="s">
        <v>2005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24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24</v>
      </c>
      <c r="L140">
        <f>SUMIF('库存（子SKU）'!$C:$C,$A140,'库存（子SKU）'!N:N)</f>
        <v>1</v>
      </c>
      <c r="M140">
        <f>SUMIF('库存（子SKU）'!$C:$C,$A140,'库存（子SKU）'!O:O)</f>
        <v>22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27</v>
      </c>
      <c r="AI140">
        <f>SUMIF('库存（子SKU）'!$C:$C,$A140,'库存（子SKU）'!AK:AK)</f>
        <v>6</v>
      </c>
      <c r="AJ140">
        <f>SUMIF('库存（子SKU）'!$C:$C,$A140,'库存（子SKU）'!AL:AL)</f>
        <v>6</v>
      </c>
      <c r="AK140">
        <f>SUMIF('库存（子SKU）'!$C:$C,$A140,'库存（子SKU）'!AM:AM)</f>
        <v>13</v>
      </c>
      <c r="AL140" s="23">
        <f t="shared" si="41"/>
        <v>0</v>
      </c>
      <c r="AM140" s="23">
        <f t="shared" si="42"/>
        <v>0</v>
      </c>
      <c r="AN140" s="23">
        <f t="shared" si="43"/>
        <v>0</v>
      </c>
      <c r="AO140" s="23">
        <f t="shared" si="44"/>
        <v>0</v>
      </c>
      <c r="AP140" s="8">
        <f t="shared" si="45"/>
        <v>0</v>
      </c>
      <c r="AQ140" s="8">
        <f t="shared" si="46"/>
        <v>0</v>
      </c>
      <c r="AR140" s="8">
        <f t="shared" si="47"/>
        <v>24</v>
      </c>
      <c r="AS140" t="str">
        <f t="shared" si="48"/>
        <v>库存为24</v>
      </c>
      <c r="AT140" s="25" t="str">
        <f>IFERROR(时间!$B$4+AS140,"上周无销量")</f>
        <v>上周无销量</v>
      </c>
    </row>
    <row r="141" spans="1:46">
      <c r="A141" t="s">
        <v>2020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24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24</v>
      </c>
      <c r="L141">
        <f>SUMIF('库存（子SKU）'!$C:$C,$A141,'库存（子SKU）'!N:N)</f>
        <v>1</v>
      </c>
      <c r="M141">
        <f>SUMIF('库存（子SKU）'!$C:$C,$A141,'库存（子SKU）'!O:O)</f>
        <v>12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24</v>
      </c>
      <c r="AS141" t="str">
        <f t="shared" si="48"/>
        <v>库存为24</v>
      </c>
      <c r="AT141" s="25" t="str">
        <f>IFERROR(时间!$B$4+AS141,"上周无销量")</f>
        <v>上周无销量</v>
      </c>
    </row>
    <row r="142" spans="1:46">
      <c r="A142" t="s">
        <v>2029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1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5" t="str">
        <f>IFERROR(时间!$B$4+AS142,"上周无销量")</f>
        <v>上周无销量</v>
      </c>
    </row>
    <row r="143" spans="1:46">
      <c r="A143" t="s">
        <v>2032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5" t="str">
        <f>IFERROR(时间!$B$4+AS143,"上周无销量")</f>
        <v>上周无销量</v>
      </c>
    </row>
    <row r="144" spans="1:46">
      <c r="A144" t="s">
        <v>2037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2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2</v>
      </c>
      <c r="L144">
        <f>SUMIF('库存（子SKU）'!$C:$C,$A144,'库存（子SKU）'!N:N)</f>
        <v>1</v>
      </c>
      <c r="M144">
        <f>SUMIF('库存（子SKU）'!$C:$C,$A144,'库存（子SKU）'!O:O)</f>
        <v>2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7</v>
      </c>
      <c r="AI144">
        <f>SUMIF('库存（子SKU）'!$C:$C,$A144,'库存（子SKU）'!AK:AK)</f>
        <v>4</v>
      </c>
      <c r="AJ144">
        <f>SUMIF('库存（子SKU）'!$C:$C,$A144,'库存（子SKU）'!AL:AL)</f>
        <v>4</v>
      </c>
      <c r="AK144">
        <f>SUMIF('库存（子SKU）'!$C:$C,$A144,'库存（子SKU）'!AM:AM)</f>
        <v>1</v>
      </c>
      <c r="AL144" s="23">
        <f t="shared" si="41"/>
        <v>0</v>
      </c>
      <c r="AM144" s="23">
        <f t="shared" si="42"/>
        <v>0</v>
      </c>
      <c r="AN144" s="23">
        <f t="shared" si="43"/>
        <v>0</v>
      </c>
      <c r="AO144" s="23">
        <f t="shared" si="44"/>
        <v>0</v>
      </c>
      <c r="AP144" s="8">
        <f t="shared" si="45"/>
        <v>0</v>
      </c>
      <c r="AQ144" s="8">
        <f t="shared" si="46"/>
        <v>0</v>
      </c>
      <c r="AR144" s="8">
        <f t="shared" si="47"/>
        <v>2</v>
      </c>
      <c r="AS144" t="str">
        <f t="shared" si="48"/>
        <v>库存为2</v>
      </c>
      <c r="AT144" s="25" t="str">
        <f>IFERROR(时间!$B$4+AS144,"上周无销量")</f>
        <v>上周无销量</v>
      </c>
    </row>
    <row r="145" spans="1:46">
      <c r="A145" t="s">
        <v>2044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8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8</v>
      </c>
      <c r="L145">
        <f>SUMIF('库存（子SKU）'!$C:$C,$A145,'库存（子SKU）'!N:N)</f>
        <v>0</v>
      </c>
      <c r="M145">
        <f>SUMIF('库存（子SKU）'!$C:$C,$A145,'库存（子SKU）'!O:O)</f>
        <v>7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6</v>
      </c>
      <c r="AI145">
        <f>SUMIF('库存（子SKU）'!$C:$C,$A145,'库存（子SKU）'!AK:AK)</f>
        <v>2</v>
      </c>
      <c r="AJ145">
        <f>SUMIF('库存（子SKU）'!$C:$C,$A145,'库存（子SKU）'!AL:AL)</f>
        <v>2</v>
      </c>
      <c r="AK145">
        <f>SUMIF('库存（子SKU）'!$C:$C,$A145,'库存（子SKU）'!AM:AM)</f>
        <v>3</v>
      </c>
      <c r="AL145" s="23">
        <f t="shared" si="41"/>
        <v>0</v>
      </c>
      <c r="AM145" s="23">
        <f t="shared" si="42"/>
        <v>0</v>
      </c>
      <c r="AN145" s="23">
        <f t="shared" si="43"/>
        <v>0</v>
      </c>
      <c r="AO145" s="23">
        <f t="shared" si="44"/>
        <v>0</v>
      </c>
      <c r="AP145" s="8">
        <f t="shared" si="45"/>
        <v>0</v>
      </c>
      <c r="AQ145" s="8">
        <f t="shared" si="46"/>
        <v>0</v>
      </c>
      <c r="AR145" s="8">
        <f t="shared" si="47"/>
        <v>8</v>
      </c>
      <c r="AS145" t="str">
        <f t="shared" si="48"/>
        <v>库存为8</v>
      </c>
      <c r="AT145" s="25" t="str">
        <f>IFERROR(时间!$B$4+AS145,"上周无销量")</f>
        <v>上周无销量</v>
      </c>
    </row>
    <row r="146" spans="1:46">
      <c r="A146" t="s">
        <v>2049</v>
      </c>
      <c r="B146" s="6">
        <f>SUMIF('库存（子SKU）'!$C:$C,$A146,'库存（子SKU）'!D:D)</f>
        <v>0</v>
      </c>
      <c r="C146" s="6">
        <f>SUMIF('库存（子SKU）'!$C:$C,$A146,'库存（子SKU）'!E:E)</f>
        <v>1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>
        <v>19.99</v>
      </c>
      <c r="G146">
        <f>SUMIF('库存（子SKU）'!$C:$C,$A146,'库存（子SKU）'!I:I)</f>
        <v>46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46</v>
      </c>
      <c r="L146">
        <f>SUMIF('库存（子SKU）'!$C:$C,$A146,'库存（子SKU）'!N:N)</f>
        <v>0</v>
      </c>
      <c r="M146">
        <f>SUMIF('库存（子SKU）'!$C:$C,$A146,'库存（子SKU）'!O:O)</f>
        <v>45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>
        <f t="shared" si="38"/>
        <v>0</v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35</v>
      </c>
      <c r="AI146">
        <f>SUMIF('库存（子SKU）'!$C:$C,$A146,'库存（子SKU）'!AK:AK)</f>
        <v>11</v>
      </c>
      <c r="AJ146">
        <f>SUMIF('库存（子SKU）'!$C:$C,$A146,'库存（子SKU）'!AL:AL)</f>
        <v>11</v>
      </c>
      <c r="AK146">
        <f>SUMIF('库存（子SKU）'!$C:$C,$A146,'库存（子SKU）'!AM:AM)</f>
        <v>6</v>
      </c>
      <c r="AL146" s="23">
        <f t="shared" si="41"/>
        <v>0</v>
      </c>
      <c r="AM146" s="23">
        <f t="shared" si="42"/>
        <v>0.0909090909090909</v>
      </c>
      <c r="AN146" s="23">
        <f t="shared" si="43"/>
        <v>0</v>
      </c>
      <c r="AO146" s="23">
        <f t="shared" si="44"/>
        <v>0</v>
      </c>
      <c r="AP146" s="8">
        <f t="shared" si="45"/>
        <v>0</v>
      </c>
      <c r="AQ146" s="8">
        <f t="shared" si="46"/>
        <v>0</v>
      </c>
      <c r="AR146" s="8">
        <f t="shared" si="47"/>
        <v>46</v>
      </c>
      <c r="AS146" t="str">
        <f t="shared" si="48"/>
        <v>库存为46</v>
      </c>
      <c r="AT146" s="25" t="str">
        <f>IFERROR(时间!$B$4+AS146,"上周无销量")</f>
        <v>上周无销量</v>
      </c>
    </row>
    <row r="147" spans="1:46">
      <c r="A147" t="s">
        <v>2082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5" t="str">
        <f>IFERROR(时间!$B$4+AS147,"上周无销量")</f>
        <v>上周无销量</v>
      </c>
    </row>
    <row r="148" spans="1:46">
      <c r="A148" t="s">
        <v>2087</v>
      </c>
      <c r="B148" s="6">
        <f>SUMIF('库存（子SKU）'!$C:$C,$A148,'库存（子SKU）'!D:D)</f>
        <v>1</v>
      </c>
      <c r="C148" s="6">
        <f>SUMIF('库存（子SKU）'!$C:$C,$A148,'库存（子SKU）'!E:E)</f>
        <v>1</v>
      </c>
      <c r="D148" s="6">
        <f>SUMIF('库存（子SKU）'!$C:$C,$A148,'库存（子SKU）'!F:F)</f>
        <v>1</v>
      </c>
      <c r="E148" s="6">
        <f>SUMIF('库存（子SKU）'!$C:$C,$A148,'库存（子SKU）'!G:G)</f>
        <v>2</v>
      </c>
      <c r="F148" s="7">
        <v>25.79</v>
      </c>
      <c r="G148">
        <f>SUMIF('库存（子SKU）'!$C:$C,$A148,'库存（子SKU）'!I:I)</f>
        <v>10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10</v>
      </c>
      <c r="L148">
        <f>SUMIF('库存（子SKU）'!$C:$C,$A148,'库存（子SKU）'!N:N)</f>
        <v>0</v>
      </c>
      <c r="M148">
        <f>SUMIF('库存（子SKU）'!$C:$C,$A148,'库存（子SKU）'!O:O)</f>
        <v>8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>
        <f t="shared" si="37"/>
        <v>0</v>
      </c>
      <c r="AE148" s="23">
        <f t="shared" si="38"/>
        <v>0</v>
      </c>
      <c r="AF148" s="23">
        <f t="shared" si="39"/>
        <v>0</v>
      </c>
      <c r="AG148" s="23">
        <f t="shared" si="40"/>
        <v>0</v>
      </c>
      <c r="AH148">
        <f>SUMIF('库存（子SKU）'!$C:$C,$A148,'库存（子SKU）'!AJ:AJ)</f>
        <v>22</v>
      </c>
      <c r="AI148">
        <f>SUMIF('库存（子SKU）'!$C:$C,$A148,'库存（子SKU）'!AK:AK)</f>
        <v>8</v>
      </c>
      <c r="AJ148">
        <f>SUMIF('库存（子SKU）'!$C:$C,$A148,'库存（子SKU）'!AL:AL)</f>
        <v>8</v>
      </c>
      <c r="AK148">
        <f>SUMIF('库存（子SKU）'!$C:$C,$A148,'库存（子SKU）'!AM:AM)</f>
        <v>9</v>
      </c>
      <c r="AL148" s="23">
        <f t="shared" si="41"/>
        <v>0.0454545454545455</v>
      </c>
      <c r="AM148" s="23">
        <f t="shared" si="42"/>
        <v>0.125</v>
      </c>
      <c r="AN148" s="23">
        <f t="shared" si="43"/>
        <v>0.125</v>
      </c>
      <c r="AO148" s="23">
        <f t="shared" si="44"/>
        <v>0.222222222222222</v>
      </c>
      <c r="AP148" s="8">
        <f t="shared" si="45"/>
        <v>0.142857142857143</v>
      </c>
      <c r="AQ148" s="8">
        <f t="shared" si="46"/>
        <v>8.57142857142857</v>
      </c>
      <c r="AR148" s="8">
        <f t="shared" si="47"/>
        <v>1.42857142857143</v>
      </c>
      <c r="AS148">
        <f t="shared" si="48"/>
        <v>70</v>
      </c>
      <c r="AT148" s="25">
        <f>IFERROR(时间!$B$4+AS148,"上周无销量")</f>
        <v>43360</v>
      </c>
    </row>
    <row r="149" spans="1:46">
      <c r="A149" t="s">
        <v>2114</v>
      </c>
      <c r="B149" s="6">
        <f>SUMIF('库存（子SKU）'!$C:$C,$A149,'库存（子SKU）'!D:D)</f>
        <v>0</v>
      </c>
      <c r="C149" s="6">
        <f>SUMIF('库存（子SKU）'!$C:$C,$A149,'库存（子SKU）'!E:E)</f>
        <v>1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>
        <v>23.99</v>
      </c>
      <c r="G149">
        <f>SUMIF('库存（子SKU）'!$C:$C,$A149,'库存（子SKU）'!I:I)</f>
        <v>6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6</v>
      </c>
      <c r="L149">
        <f>SUMIF('库存（子SKU）'!$C:$C,$A149,'库存（子SKU）'!N:N)</f>
        <v>0</v>
      </c>
      <c r="M149">
        <f>SUMIF('库存（子SKU）'!$C:$C,$A149,'库存（子SKU）'!O:O)</f>
        <v>6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>
        <f t="shared" si="38"/>
        <v>0</v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11</v>
      </c>
      <c r="AI149">
        <f>SUMIF('库存（子SKU）'!$C:$C,$A149,'库存（子SKU）'!AK:AK)</f>
        <v>4</v>
      </c>
      <c r="AJ149">
        <f>SUMIF('库存（子SKU）'!$C:$C,$A149,'库存（子SKU）'!AL:AL)</f>
        <v>4</v>
      </c>
      <c r="AK149">
        <f>SUMIF('库存（子SKU）'!$C:$C,$A149,'库存（子SKU）'!AM:AM)</f>
        <v>2</v>
      </c>
      <c r="AL149" s="23">
        <f t="shared" si="41"/>
        <v>0</v>
      </c>
      <c r="AM149" s="23">
        <f t="shared" si="42"/>
        <v>0.25</v>
      </c>
      <c r="AN149" s="23">
        <f t="shared" si="43"/>
        <v>0</v>
      </c>
      <c r="AO149" s="23">
        <f t="shared" si="44"/>
        <v>0</v>
      </c>
      <c r="AP149" s="8">
        <f t="shared" si="45"/>
        <v>0</v>
      </c>
      <c r="AQ149" s="8">
        <f t="shared" si="46"/>
        <v>0</v>
      </c>
      <c r="AR149" s="8">
        <f t="shared" si="47"/>
        <v>6</v>
      </c>
      <c r="AS149" t="str">
        <f t="shared" si="48"/>
        <v>库存为6</v>
      </c>
      <c r="AT149" s="25" t="str">
        <f>IFERROR(时间!$B$4+AS149,"上周无销量")</f>
        <v>上周无销量</v>
      </c>
    </row>
    <row r="150" spans="1:46">
      <c r="A150" t="s">
        <v>2131</v>
      </c>
      <c r="B150" s="6">
        <f>SUMIF('库存（子SKU）'!$C:$C,$A150,'库存（子SKU）'!D:D)</f>
        <v>1</v>
      </c>
      <c r="C150" s="6">
        <f>SUMIF('库存（子SKU）'!$C:$C,$A150,'库存（子SKU）'!E:E)</f>
        <v>3</v>
      </c>
      <c r="D150" s="6">
        <f>SUMIF('库存（子SKU）'!$C:$C,$A150,'库存（子SKU）'!F:F)</f>
        <v>4</v>
      </c>
      <c r="E150" s="6">
        <f>SUMIF('库存（子SKU）'!$C:$C,$A150,'库存（子SKU）'!G:G)</f>
        <v>1</v>
      </c>
      <c r="F150" s="7">
        <v>15.7677777777778</v>
      </c>
      <c r="G150">
        <f>SUMIF('库存（子SKU）'!$C:$C,$A150,'库存（子SKU）'!I:I)</f>
        <v>17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2</v>
      </c>
      <c r="K150">
        <f t="shared" si="36"/>
        <v>19</v>
      </c>
      <c r="L150">
        <f>SUMIF('库存（子SKU）'!$C:$C,$A150,'库存（子SKU）'!N:N)</f>
        <v>1</v>
      </c>
      <c r="M150">
        <f>SUMIF('库存（子SKU）'!$C:$C,$A150,'库存（子SKU）'!O:O)</f>
        <v>16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>
        <f t="shared" si="38"/>
        <v>0</v>
      </c>
      <c r="AF150" s="23">
        <f t="shared" si="39"/>
        <v>0</v>
      </c>
      <c r="AG150" s="23">
        <f t="shared" si="40"/>
        <v>0</v>
      </c>
      <c r="AH150">
        <f>SUMIF('库存（子SKU）'!$C:$C,$A150,'库存（子SKU）'!AJ:AJ)</f>
        <v>16</v>
      </c>
      <c r="AI150">
        <f>SUMIF('库存（子SKU）'!$C:$C,$A150,'库存（子SKU）'!AK:AK)</f>
        <v>24</v>
      </c>
      <c r="AJ150">
        <f>SUMIF('库存（子SKU）'!$C:$C,$A150,'库存（子SKU）'!AL:AL)</f>
        <v>24</v>
      </c>
      <c r="AK150">
        <f>SUMIF('库存（子SKU）'!$C:$C,$A150,'库存（子SKU）'!AM:AM)</f>
        <v>30</v>
      </c>
      <c r="AL150" s="23">
        <f t="shared" si="41"/>
        <v>0.0625</v>
      </c>
      <c r="AM150" s="23">
        <f t="shared" si="42"/>
        <v>0.125</v>
      </c>
      <c r="AN150" s="23">
        <f t="shared" si="43"/>
        <v>0.166666666666667</v>
      </c>
      <c r="AO150" s="23">
        <f t="shared" si="44"/>
        <v>0.0333333333333333</v>
      </c>
      <c r="AP150" s="8">
        <f t="shared" si="45"/>
        <v>0.142857142857143</v>
      </c>
      <c r="AQ150" s="8">
        <f t="shared" si="46"/>
        <v>8.57142857142857</v>
      </c>
      <c r="AR150" s="8">
        <f t="shared" si="47"/>
        <v>10.4285714285714</v>
      </c>
      <c r="AS150">
        <f t="shared" si="48"/>
        <v>133</v>
      </c>
      <c r="AT150" s="25">
        <f>IFERROR(时间!$B$4+AS150,"上周无销量")</f>
        <v>43423</v>
      </c>
    </row>
    <row r="151" spans="1:46">
      <c r="A151" t="s">
        <v>2144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20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20</v>
      </c>
      <c r="L151">
        <f>SUMIF('库存（子SKU）'!$C:$C,$A151,'库存（子SKU）'!N:N)</f>
        <v>1</v>
      </c>
      <c r="M151">
        <f>SUMIF('库存（子SKU）'!$C:$C,$A151,'库存（子SKU）'!O:O)</f>
        <v>19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11</v>
      </c>
      <c r="AI151">
        <f>SUMIF('库存（子SKU）'!$C:$C,$A151,'库存（子SKU）'!AK:AK)</f>
        <v>14</v>
      </c>
      <c r="AJ151">
        <f>SUMIF('库存（子SKU）'!$C:$C,$A151,'库存（子SKU）'!AL:AL)</f>
        <v>14</v>
      </c>
      <c r="AK151">
        <f>SUMIF('库存（子SKU）'!$C:$C,$A151,'库存（子SKU）'!AM:AM)</f>
        <v>5</v>
      </c>
      <c r="AL151" s="23">
        <f t="shared" si="41"/>
        <v>0</v>
      </c>
      <c r="AM151" s="23">
        <f t="shared" si="42"/>
        <v>0</v>
      </c>
      <c r="AN151" s="23">
        <f t="shared" si="43"/>
        <v>0</v>
      </c>
      <c r="AO151" s="23">
        <f t="shared" si="44"/>
        <v>0</v>
      </c>
      <c r="AP151" s="8">
        <f t="shared" si="45"/>
        <v>0</v>
      </c>
      <c r="AQ151" s="8">
        <f t="shared" si="46"/>
        <v>0</v>
      </c>
      <c r="AR151" s="8">
        <f t="shared" si="47"/>
        <v>20</v>
      </c>
      <c r="AS151" t="str">
        <f t="shared" si="48"/>
        <v>库存为20</v>
      </c>
      <c r="AT151" s="25" t="str">
        <f>IFERROR(时间!$B$4+AS151,"上周无销量")</f>
        <v>上周无销量</v>
      </c>
    </row>
    <row r="152" spans="1:46">
      <c r="A152" t="s">
        <v>2151</v>
      </c>
      <c r="B152" s="6">
        <f>SUMIF('库存（子SKU）'!$C:$C,$A152,'库存（子SKU）'!D:D)</f>
        <v>2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1</v>
      </c>
      <c r="F152" s="7">
        <v>13.3233333333333</v>
      </c>
      <c r="G152">
        <f>SUMIF('库存（子SKU）'!$C:$C,$A152,'库存（子SKU）'!I:I)</f>
        <v>1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</v>
      </c>
      <c r="L152">
        <f>SUMIF('库存（子SKU）'!$C:$C,$A152,'库存（子SKU）'!N:N)</f>
        <v>1</v>
      </c>
      <c r="M152">
        <f>SUMIF('库存（子SKU）'!$C:$C,$A152,'库存（子SKU）'!O:O)</f>
        <v>1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>
        <f t="shared" si="37"/>
        <v>0</v>
      </c>
      <c r="AE152" s="23" t="str">
        <f t="shared" si="38"/>
        <v/>
      </c>
      <c r="AF152" s="23" t="str">
        <f t="shared" si="39"/>
        <v/>
      </c>
      <c r="AG152" s="23">
        <f t="shared" si="40"/>
        <v>0</v>
      </c>
      <c r="AH152">
        <f>SUMIF('库存（子SKU）'!$C:$C,$A152,'库存（子SKU）'!AJ:AJ)</f>
        <v>10</v>
      </c>
      <c r="AI152">
        <f>SUMIF('库存（子SKU）'!$C:$C,$A152,'库存（子SKU）'!AK:AK)</f>
        <v>4</v>
      </c>
      <c r="AJ152">
        <f>SUMIF('库存（子SKU）'!$C:$C,$A152,'库存（子SKU）'!AL:AL)</f>
        <v>4</v>
      </c>
      <c r="AK152">
        <f>SUMIF('库存（子SKU）'!$C:$C,$A152,'库存（子SKU）'!AM:AM)</f>
        <v>3</v>
      </c>
      <c r="AL152" s="23">
        <f t="shared" si="41"/>
        <v>0.2</v>
      </c>
      <c r="AM152" s="23">
        <f t="shared" si="42"/>
        <v>0</v>
      </c>
      <c r="AN152" s="23">
        <f t="shared" si="43"/>
        <v>0</v>
      </c>
      <c r="AO152" s="23">
        <f t="shared" si="44"/>
        <v>0.333333333333333</v>
      </c>
      <c r="AP152" s="8">
        <f t="shared" si="45"/>
        <v>0.285714285714286</v>
      </c>
      <c r="AQ152" s="8">
        <f t="shared" si="46"/>
        <v>17.1428571428571</v>
      </c>
      <c r="AR152" s="8">
        <f t="shared" si="47"/>
        <v>-16.1428571428571</v>
      </c>
      <c r="AS152">
        <f t="shared" si="48"/>
        <v>3</v>
      </c>
      <c r="AT152" s="25">
        <f>IFERROR(时间!$B$4+AS152,"上周无销量")</f>
        <v>43293</v>
      </c>
    </row>
    <row r="153" spans="1:46">
      <c r="A153" t="s">
        <v>2160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8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8</v>
      </c>
      <c r="L153">
        <f>SUMIF('库存（子SKU）'!$C:$C,$A153,'库存（子SKU）'!N:N)</f>
        <v>0</v>
      </c>
      <c r="M153">
        <f>SUMIF('库存（子SKU）'!$C:$C,$A153,'库存（子SKU）'!O:O)</f>
        <v>8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1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1</v>
      </c>
      <c r="AL153" s="23">
        <f t="shared" si="41"/>
        <v>0</v>
      </c>
      <c r="AM153" s="23" t="str">
        <f t="shared" si="42"/>
        <v/>
      </c>
      <c r="AN153" s="23" t="str">
        <f t="shared" si="43"/>
        <v/>
      </c>
      <c r="AO153" s="23">
        <f t="shared" si="44"/>
        <v>0</v>
      </c>
      <c r="AP153" s="8">
        <f t="shared" si="45"/>
        <v>0</v>
      </c>
      <c r="AQ153" s="8">
        <f t="shared" si="46"/>
        <v>0</v>
      </c>
      <c r="AR153" s="8">
        <f t="shared" si="47"/>
        <v>8</v>
      </c>
      <c r="AS153" t="str">
        <f t="shared" si="48"/>
        <v>库存为8</v>
      </c>
      <c r="AT153" s="25" t="str">
        <f>IFERROR(时间!$B$4+AS153,"上周无销量")</f>
        <v>上周无销量</v>
      </c>
    </row>
    <row r="154" spans="1:46">
      <c r="A154" t="s">
        <v>2163</v>
      </c>
      <c r="B154" s="6">
        <f>SUMIF('库存（子SKU）'!$C:$C,$A154,'库存（子SKU）'!D:D)</f>
        <v>64</v>
      </c>
      <c r="C154" s="6">
        <f>SUMIF('库存（子SKU）'!$C:$C,$A154,'库存（子SKU）'!E:E)</f>
        <v>70</v>
      </c>
      <c r="D154" s="6">
        <f>SUMIF('库存（子SKU）'!$C:$C,$A154,'库存（子SKU）'!F:F)</f>
        <v>58</v>
      </c>
      <c r="E154" s="6">
        <f>SUMIF('库存（子SKU）'!$C:$C,$A154,'库存（子SKU）'!G:G)</f>
        <v>96</v>
      </c>
      <c r="F154" s="7">
        <v>20.7886111111111</v>
      </c>
      <c r="G154">
        <f>SUMIF('库存（子SKU）'!$C:$C,$A154,'库存（子SKU）'!I:I)</f>
        <v>47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6</v>
      </c>
      <c r="K154">
        <f t="shared" si="36"/>
        <v>53</v>
      </c>
      <c r="L154">
        <f>SUMIF('库存（子SKU）'!$C:$C,$A154,'库存（子SKU）'!N:N)</f>
        <v>88</v>
      </c>
      <c r="M154">
        <f>SUMIF('库存（子SKU）'!$C:$C,$A154,'库存（子SKU）'!O:O)</f>
        <v>0</v>
      </c>
      <c r="N154">
        <f>SUMIF('库存（子SKU）'!$C:$C,$A154,'库存（子SKU）'!P:P)</f>
        <v>31276</v>
      </c>
      <c r="O154">
        <f>SUMIF('库存（子SKU）'!$C:$C,$A154,'库存（子SKU）'!Q:Q)</f>
        <v>66093</v>
      </c>
      <c r="P154">
        <f>SUMIF('库存（子SKU）'!$C:$C,$A154,'库存（子SKU）'!R:R)</f>
        <v>150446</v>
      </c>
      <c r="Q154">
        <f>SUMIF('库存（子SKU）'!$C:$C,$A154,'库存（子SKU）'!S:S)</f>
        <v>181294</v>
      </c>
      <c r="R154">
        <f>SUMIF('库存（子SKU）'!$C:$C,$A154,'库存（子SKU）'!T:T)</f>
        <v>332</v>
      </c>
      <c r="S154">
        <f>SUMIF('库存（子SKU）'!$C:$C,$A154,'库存（子SKU）'!U:U)</f>
        <v>408</v>
      </c>
      <c r="T154">
        <f>SUMIF('库存（子SKU）'!$C:$C,$A154,'库存（子SKU）'!V:V)</f>
        <v>768</v>
      </c>
      <c r="U154">
        <f>SUMIF('库存（子SKU）'!$C:$C,$A154,'库存（子SKU）'!W:W)</f>
        <v>824</v>
      </c>
      <c r="V154" s="23">
        <f t="shared" si="49"/>
        <v>0.0106151681800742</v>
      </c>
      <c r="W154" s="23">
        <f t="shared" si="50"/>
        <v>0.00617311969497526</v>
      </c>
      <c r="X154" s="23">
        <f t="shared" si="51"/>
        <v>0.00510482166358694</v>
      </c>
      <c r="Y154" s="23">
        <f t="shared" si="52"/>
        <v>0.00454510353348704</v>
      </c>
      <c r="Z154">
        <f>SUMIF('库存（子SKU）'!$C:$C,$A154,'库存（子SKU）'!AB:AB)</f>
        <v>76.86</v>
      </c>
      <c r="AA154">
        <f>SUMIF('库存（子SKU）'!$C:$C,$A154,'库存（子SKU）'!AC:AC)</f>
        <v>89.72</v>
      </c>
      <c r="AB154">
        <f>SUMIF('库存（子SKU）'!$C:$C,$A154,'库存（子SKU）'!AD:AD)</f>
        <v>171.58</v>
      </c>
      <c r="AC154">
        <f>SUMIF('库存（子SKU）'!$C:$C,$A154,'库存（子SKU）'!AE:AE)</f>
        <v>183.32</v>
      </c>
      <c r="AD154" s="23">
        <f t="shared" si="37"/>
        <v>0.0577690108098719</v>
      </c>
      <c r="AE154" s="23">
        <f t="shared" si="38"/>
        <v>0.0616546376698169</v>
      </c>
      <c r="AF154" s="23">
        <f t="shared" si="39"/>
        <v>0.14230271788036</v>
      </c>
      <c r="AG154" s="23">
        <f t="shared" si="40"/>
        <v>0.0918571867609134</v>
      </c>
      <c r="AH154">
        <f>SUMIF('库存（子SKU）'!$C:$C,$A154,'库存（子SKU）'!AJ:AJ)</f>
        <v>564</v>
      </c>
      <c r="AI154">
        <f>SUMIF('库存（子SKU）'!$C:$C,$A154,'库存（子SKU）'!AK:AK)</f>
        <v>547</v>
      </c>
      <c r="AJ154">
        <f>SUMIF('库存（子SKU）'!$C:$C,$A154,'库存（子SKU）'!AL:AL)</f>
        <v>547</v>
      </c>
      <c r="AK154">
        <f>SUMIF('库存（子SKU）'!$C:$C,$A154,'库存（子SKU）'!AM:AM)</f>
        <v>714</v>
      </c>
      <c r="AL154" s="23">
        <f t="shared" si="41"/>
        <v>0.113475177304965</v>
      </c>
      <c r="AM154" s="23">
        <f t="shared" si="42"/>
        <v>0.127970749542962</v>
      </c>
      <c r="AN154" s="23">
        <f t="shared" si="43"/>
        <v>0.106032906764168</v>
      </c>
      <c r="AO154" s="23">
        <f t="shared" si="44"/>
        <v>0.134453781512605</v>
      </c>
      <c r="AP154" s="8">
        <f t="shared" si="45"/>
        <v>9.14285714285714</v>
      </c>
      <c r="AQ154" s="8">
        <f t="shared" si="46"/>
        <v>548.571428571429</v>
      </c>
      <c r="AR154" s="8">
        <f t="shared" si="47"/>
        <v>-495.571428571429</v>
      </c>
      <c r="AS154">
        <f t="shared" si="48"/>
        <v>5</v>
      </c>
      <c r="AT154" s="25">
        <f>IFERROR(时间!$B$4+AS154,"上周无销量")</f>
        <v>43295</v>
      </c>
    </row>
    <row r="155" spans="1:46">
      <c r="A155" t="s">
        <v>2200</v>
      </c>
      <c r="B155" s="6">
        <f>SUMIF('库存（子SKU）'!$C:$C,$A155,'库存（子SKU）'!D:D)</f>
        <v>8</v>
      </c>
      <c r="C155" s="6">
        <f>SUMIF('库存（子SKU）'!$C:$C,$A155,'库存（子SKU）'!E:E)</f>
        <v>7</v>
      </c>
      <c r="D155" s="6">
        <f>SUMIF('库存（子SKU）'!$C:$C,$A155,'库存（子SKU）'!F:F)</f>
        <v>13</v>
      </c>
      <c r="E155" s="6">
        <f>SUMIF('库存（子SKU）'!$C:$C,$A155,'库存（子SKU）'!G:G)</f>
        <v>5</v>
      </c>
      <c r="F155" s="7">
        <v>19.99</v>
      </c>
      <c r="G155">
        <f>SUMIF('库存（子SKU）'!$C:$C,$A155,'库存（子SKU）'!I:I)</f>
        <v>33</v>
      </c>
      <c r="H155">
        <f>SUMIF('库存（子SKU）'!$C:$C,$A155,'库存（子SKU）'!J:J)</f>
        <v>80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113</v>
      </c>
      <c r="L155">
        <f>SUMIF('库存（子SKU）'!$C:$C,$A155,'库存（子SKU）'!N:N)</f>
        <v>25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18992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59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>
        <f t="shared" si="52"/>
        <v>0.00310657118786858</v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24.19</v>
      </c>
      <c r="AD155" s="23">
        <f t="shared" si="37"/>
        <v>0</v>
      </c>
      <c r="AE155" s="23">
        <f t="shared" si="38"/>
        <v>0</v>
      </c>
      <c r="AF155" s="23">
        <f t="shared" si="39"/>
        <v>0</v>
      </c>
      <c r="AG155" s="23">
        <f t="shared" si="40"/>
        <v>0.242021010505253</v>
      </c>
      <c r="AH155">
        <f>SUMIF('库存（子SKU）'!$C:$C,$A155,'库存（子SKU）'!AJ:AJ)</f>
        <v>147</v>
      </c>
      <c r="AI155">
        <f>SUMIF('库存（子SKU）'!$C:$C,$A155,'库存（子SKU）'!AK:AK)</f>
        <v>120</v>
      </c>
      <c r="AJ155">
        <f>SUMIF('库存（子SKU）'!$C:$C,$A155,'库存（子SKU）'!AL:AL)</f>
        <v>120</v>
      </c>
      <c r="AK155">
        <f>SUMIF('库存（子SKU）'!$C:$C,$A155,'库存（子SKU）'!AM:AM)</f>
        <v>56</v>
      </c>
      <c r="AL155" s="23">
        <f t="shared" si="41"/>
        <v>0.054421768707483</v>
      </c>
      <c r="AM155" s="23">
        <f t="shared" si="42"/>
        <v>0.0583333333333333</v>
      </c>
      <c r="AN155" s="23">
        <f t="shared" si="43"/>
        <v>0.108333333333333</v>
      </c>
      <c r="AO155" s="23">
        <f t="shared" si="44"/>
        <v>0.0892857142857143</v>
      </c>
      <c r="AP155" s="8">
        <f t="shared" si="45"/>
        <v>1.14285714285714</v>
      </c>
      <c r="AQ155" s="8">
        <f t="shared" si="46"/>
        <v>68.5714285714286</v>
      </c>
      <c r="AR155" s="8">
        <f t="shared" si="47"/>
        <v>44.4285714285714</v>
      </c>
      <c r="AS155">
        <f t="shared" si="48"/>
        <v>98</v>
      </c>
      <c r="AT155" s="25">
        <f>IFERROR(时间!$B$4+AS155,"上周无销量")</f>
        <v>43388</v>
      </c>
    </row>
    <row r="156" spans="1:46">
      <c r="A156" t="s">
        <v>2233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5" t="str">
        <f>IFERROR(时间!$B$4+AS156,"上周无销量")</f>
        <v>上周无销量</v>
      </c>
    </row>
    <row r="157" spans="1:46">
      <c r="A157" t="s">
        <v>2238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1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1</v>
      </c>
      <c r="L157">
        <f>SUMIF('库存（子SKU）'!$C:$C,$A157,'库存（子SKU）'!N:N)</f>
        <v>1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7</v>
      </c>
      <c r="AI157">
        <f>SUMIF('库存（子SKU）'!$C:$C,$A157,'库存（子SKU）'!AK:AK)</f>
        <v>2</v>
      </c>
      <c r="AJ157">
        <f>SUMIF('库存（子SKU）'!$C:$C,$A157,'库存（子SKU）'!AL:AL)</f>
        <v>2</v>
      </c>
      <c r="AK157">
        <f>SUMIF('库存（子SKU）'!$C:$C,$A157,'库存（子SKU）'!AM:AM)</f>
        <v>1</v>
      </c>
      <c r="AL157" s="23">
        <f t="shared" si="41"/>
        <v>0</v>
      </c>
      <c r="AM157" s="23">
        <f t="shared" si="42"/>
        <v>0</v>
      </c>
      <c r="AN157" s="23">
        <f t="shared" si="43"/>
        <v>0</v>
      </c>
      <c r="AO157" s="23">
        <f t="shared" si="44"/>
        <v>0</v>
      </c>
      <c r="AP157" s="8">
        <f t="shared" si="45"/>
        <v>0</v>
      </c>
      <c r="AQ157" s="8">
        <f t="shared" si="46"/>
        <v>0</v>
      </c>
      <c r="AR157" s="8">
        <f t="shared" si="47"/>
        <v>1</v>
      </c>
      <c r="AS157" t="str">
        <f t="shared" si="48"/>
        <v>库存为1</v>
      </c>
      <c r="AT157" s="25" t="str">
        <f>IFERROR(时间!$B$4+AS157,"上周无销量")</f>
        <v>上周无销量</v>
      </c>
    </row>
    <row r="158" spans="1:46">
      <c r="A158" t="s">
        <v>2249</v>
      </c>
      <c r="B158" s="6">
        <f>SUMIF('库存（子SKU）'!$C:$C,$A158,'库存（子SKU）'!D:D)</f>
        <v>0</v>
      </c>
      <c r="C158" s="6">
        <f>SUMIF('库存（子SKU）'!$C:$C,$A158,'库存（子SKU）'!E:E)</f>
        <v>1</v>
      </c>
      <c r="D158" s="6">
        <f>SUMIF('库存（子SKU）'!$C:$C,$A158,'库存（子SKU）'!F:F)</f>
        <v>1</v>
      </c>
      <c r="E158" s="6">
        <f>SUMIF('库存（子SKU）'!$C:$C,$A158,'库存（子SKU）'!G:G)</f>
        <v>4</v>
      </c>
      <c r="F158" s="7">
        <v>16.99</v>
      </c>
      <c r="G158">
        <f>SUMIF('库存（子SKU）'!$C:$C,$A158,'库存（子SKU）'!I:I)</f>
        <v>8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2</v>
      </c>
      <c r="K158">
        <f t="shared" si="36"/>
        <v>10</v>
      </c>
      <c r="L158">
        <f>SUMIF('库存（子SKU）'!$C:$C,$A158,'库存（子SKU）'!N:N)</f>
        <v>2</v>
      </c>
      <c r="M158">
        <f>SUMIF('库存（子SKU）'!$C:$C,$A158,'库存（子SKU）'!O:O)</f>
        <v>4</v>
      </c>
      <c r="N158">
        <f>SUMIF('库存（子SKU）'!$C:$C,$A158,'库存（子SKU）'!P:P)</f>
        <v>927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10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>
        <f t="shared" si="49"/>
        <v>0.0107874865156419</v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2.11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>无销量广告费为2.11</v>
      </c>
      <c r="AE158" s="23">
        <f t="shared" si="38"/>
        <v>0</v>
      </c>
      <c r="AF158" s="23">
        <f t="shared" si="39"/>
        <v>0</v>
      </c>
      <c r="AG158" s="23">
        <f t="shared" si="40"/>
        <v>0</v>
      </c>
      <c r="AH158">
        <f>SUMIF('库存（子SKU）'!$C:$C,$A158,'库存（子SKU）'!AJ:AJ)</f>
        <v>5</v>
      </c>
      <c r="AI158">
        <f>SUMIF('库存（子SKU）'!$C:$C,$A158,'库存（子SKU）'!AK:AK)</f>
        <v>5</v>
      </c>
      <c r="AJ158">
        <f>SUMIF('库存（子SKU）'!$C:$C,$A158,'库存（子SKU）'!AL:AL)</f>
        <v>5</v>
      </c>
      <c r="AK158">
        <f>SUMIF('库存（子SKU）'!$C:$C,$A158,'库存（子SKU）'!AM:AM)</f>
        <v>11</v>
      </c>
      <c r="AL158" s="23">
        <f t="shared" si="41"/>
        <v>0</v>
      </c>
      <c r="AM158" s="23">
        <f t="shared" si="42"/>
        <v>0.2</v>
      </c>
      <c r="AN158" s="23">
        <f t="shared" si="43"/>
        <v>0.2</v>
      </c>
      <c r="AO158" s="23">
        <f t="shared" si="44"/>
        <v>0.363636363636364</v>
      </c>
      <c r="AP158" s="8">
        <f t="shared" si="45"/>
        <v>0</v>
      </c>
      <c r="AQ158" s="8">
        <f t="shared" si="46"/>
        <v>0</v>
      </c>
      <c r="AR158" s="8">
        <f t="shared" si="47"/>
        <v>10</v>
      </c>
      <c r="AS158" t="str">
        <f t="shared" si="48"/>
        <v>库存为10</v>
      </c>
      <c r="AT158" s="25" t="str">
        <f>IFERROR(时间!$B$4+AS158,"上周无销量")</f>
        <v>上周无销量</v>
      </c>
    </row>
    <row r="159" spans="1:46">
      <c r="A159" t="s">
        <v>2264</v>
      </c>
      <c r="B159" s="6">
        <f>SUMIF('库存（子SKU）'!$C:$C,$A159,'库存（子SKU）'!D:D)</f>
        <v>0</v>
      </c>
      <c r="C159" s="6">
        <f>SUMIF('库存（子SKU）'!$C:$C,$A159,'库存（子SKU）'!E:E)</f>
        <v>1</v>
      </c>
      <c r="D159" s="6">
        <f>SUMIF('库存（子SKU）'!$C:$C,$A159,'库存（子SKU）'!F:F)</f>
        <v>1</v>
      </c>
      <c r="E159" s="6">
        <f>SUMIF('库存（子SKU）'!$C:$C,$A159,'库存（子SKU）'!G:G)</f>
        <v>1</v>
      </c>
      <c r="F159" s="7">
        <v>19.9</v>
      </c>
      <c r="G159">
        <f>SUMIF('库存（子SKU）'!$C:$C,$A159,'库存（子SKU）'!I:I)</f>
        <v>3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3</v>
      </c>
      <c r="L159">
        <f>SUMIF('库存（子SKU）'!$C:$C,$A159,'库存（子SKU）'!N:N)</f>
        <v>0</v>
      </c>
      <c r="M159">
        <f>SUMIF('库存（子SKU）'!$C:$C,$A159,'库存（子SKU）'!O:O)</f>
        <v>3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>
        <f t="shared" si="38"/>
        <v>0</v>
      </c>
      <c r="AF159" s="23">
        <f t="shared" si="39"/>
        <v>0</v>
      </c>
      <c r="AG159" s="23">
        <f t="shared" si="40"/>
        <v>0</v>
      </c>
      <c r="AH159">
        <f>SUMIF('库存（子SKU）'!$C:$C,$A159,'库存（子SKU）'!AJ:AJ)</f>
        <v>3</v>
      </c>
      <c r="AI159">
        <f>SUMIF('库存（子SKU）'!$C:$C,$A159,'库存（子SKU）'!AK:AK)</f>
        <v>3</v>
      </c>
      <c r="AJ159">
        <f>SUMIF('库存（子SKU）'!$C:$C,$A159,'库存（子SKU）'!AL:AL)</f>
        <v>3</v>
      </c>
      <c r="AK159">
        <f>SUMIF('库存（子SKU）'!$C:$C,$A159,'库存（子SKU）'!AM:AM)</f>
        <v>4</v>
      </c>
      <c r="AL159" s="23">
        <f t="shared" si="41"/>
        <v>0</v>
      </c>
      <c r="AM159" s="23">
        <f t="shared" si="42"/>
        <v>0.333333333333333</v>
      </c>
      <c r="AN159" s="23">
        <f t="shared" si="43"/>
        <v>0.333333333333333</v>
      </c>
      <c r="AO159" s="23">
        <f t="shared" si="44"/>
        <v>0.25</v>
      </c>
      <c r="AP159" s="8">
        <f t="shared" si="45"/>
        <v>0</v>
      </c>
      <c r="AQ159" s="8">
        <f t="shared" si="46"/>
        <v>0</v>
      </c>
      <c r="AR159" s="8">
        <f t="shared" si="47"/>
        <v>3</v>
      </c>
      <c r="AS159" t="str">
        <f t="shared" si="48"/>
        <v>库存为3</v>
      </c>
      <c r="AT159" s="25" t="str">
        <f>IFERROR(时间!$B$4+AS159,"上周无销量")</f>
        <v>上周无销量</v>
      </c>
    </row>
    <row r="160" spans="1:46">
      <c r="A160" t="s">
        <v>2269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2</v>
      </c>
      <c r="E160" s="6">
        <f>SUMIF('库存（子SKU）'!$C:$C,$A160,'库存（子SKU）'!G:G)</f>
        <v>0</v>
      </c>
      <c r="F160" s="7">
        <v>16.9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2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>
        <f t="shared" si="39"/>
        <v>0</v>
      </c>
      <c r="AG160" s="23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10</v>
      </c>
      <c r="AJ160">
        <f>SUMIF('库存（子SKU）'!$C:$C,$A160,'库存（子SKU）'!AL:AL)</f>
        <v>10</v>
      </c>
      <c r="AK160">
        <f>SUMIF('库存（子SKU）'!$C:$C,$A160,'库存（子SKU）'!AM:AM)</f>
        <v>0</v>
      </c>
      <c r="AL160" s="23" t="str">
        <f t="shared" si="41"/>
        <v/>
      </c>
      <c r="AM160" s="23">
        <f t="shared" si="42"/>
        <v>0</v>
      </c>
      <c r="AN160" s="23">
        <f t="shared" si="43"/>
        <v>0.2</v>
      </c>
      <c r="AO160" s="23" t="str">
        <f t="shared" si="44"/>
        <v/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5" t="str">
        <f>IFERROR(时间!$B$4+AS160,"上周无销量")</f>
        <v>上周无销量</v>
      </c>
    </row>
    <row r="161" spans="1:46">
      <c r="A161" t="s">
        <v>2288</v>
      </c>
      <c r="B161" s="6">
        <f>SUMIF('库存（子SKU）'!$C:$C,$A161,'库存（子SKU）'!D:D)</f>
        <v>1</v>
      </c>
      <c r="C161" s="6">
        <f>SUMIF('库存（子SKU）'!$C:$C,$A161,'库存（子SKU）'!E:E)</f>
        <v>2</v>
      </c>
      <c r="D161" s="6">
        <f>SUMIF('库存（子SKU）'!$C:$C,$A161,'库存（子SKU）'!F:F)</f>
        <v>3</v>
      </c>
      <c r="E161" s="6">
        <f>SUMIF('库存（子SKU）'!$C:$C,$A161,'库存（子SKU）'!G:G)</f>
        <v>9</v>
      </c>
      <c r="F161" s="7">
        <v>19.3233333333333</v>
      </c>
      <c r="G161">
        <f>SUMIF('库存（子SKU）'!$C:$C,$A161,'库存（子SKU）'!I:I)</f>
        <v>2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1</v>
      </c>
      <c r="K161">
        <f t="shared" si="36"/>
        <v>3</v>
      </c>
      <c r="L161">
        <f>SUMIF('库存（子SKU）'!$C:$C,$A161,'库存（子SKU）'!N:N)</f>
        <v>10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>
        <f t="shared" si="37"/>
        <v>0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7</v>
      </c>
      <c r="AI161">
        <f>SUMIF('库存（子SKU）'!$C:$C,$A161,'库存（子SKU）'!AK:AK)</f>
        <v>13</v>
      </c>
      <c r="AJ161">
        <f>SUMIF('库存（子SKU）'!$C:$C,$A161,'库存（子SKU）'!AL:AL)</f>
        <v>13</v>
      </c>
      <c r="AK161">
        <f>SUMIF('库存（子SKU）'!$C:$C,$A161,'库存（子SKU）'!AM:AM)</f>
        <v>37</v>
      </c>
      <c r="AL161" s="23">
        <f t="shared" si="41"/>
        <v>0.142857142857143</v>
      </c>
      <c r="AM161" s="23">
        <f t="shared" si="42"/>
        <v>0.153846153846154</v>
      </c>
      <c r="AN161" s="23">
        <f t="shared" si="43"/>
        <v>0.230769230769231</v>
      </c>
      <c r="AO161" s="23">
        <f t="shared" si="44"/>
        <v>0.243243243243243</v>
      </c>
      <c r="AP161" s="8">
        <f t="shared" si="45"/>
        <v>0.142857142857143</v>
      </c>
      <c r="AQ161" s="8">
        <f t="shared" si="46"/>
        <v>8.57142857142857</v>
      </c>
      <c r="AR161" s="8">
        <f t="shared" si="47"/>
        <v>-5.57142857142857</v>
      </c>
      <c r="AS161">
        <f t="shared" si="48"/>
        <v>21</v>
      </c>
      <c r="AT161" s="25">
        <f>IFERROR(时间!$B$4+AS161,"上周无销量")</f>
        <v>43311</v>
      </c>
    </row>
    <row r="162" spans="1:46">
      <c r="A162" t="s">
        <v>2305</v>
      </c>
      <c r="B162" s="6">
        <f>SUMIF('库存（子SKU）'!$C:$C,$A162,'库存（子SKU）'!D:D)</f>
        <v>2</v>
      </c>
      <c r="C162" s="6">
        <f>SUMIF('库存（子SKU）'!$C:$C,$A162,'库存（子SKU）'!E:E)</f>
        <v>4</v>
      </c>
      <c r="D162" s="6">
        <f>SUMIF('库存（子SKU）'!$C:$C,$A162,'库存（子SKU）'!F:F)</f>
        <v>3</v>
      </c>
      <c r="E162" s="6">
        <f>SUMIF('库存（子SKU）'!$C:$C,$A162,'库存（子SKU）'!G:G)</f>
        <v>5</v>
      </c>
      <c r="F162" s="7">
        <v>20.7757142857143</v>
      </c>
      <c r="G162">
        <f>SUMIF('库存（子SKU）'!$C:$C,$A162,'库存（子SKU）'!I:I)</f>
        <v>3</v>
      </c>
      <c r="H162">
        <f>SUMIF('库存（子SKU）'!$C:$C,$A162,'库存（子SKU）'!J:J)</f>
        <v>0</v>
      </c>
      <c r="I162">
        <f>SUMIF('库存（子SKU）'!$C:$C,$A162,'库存（子SKU）'!K:K)</f>
        <v>1</v>
      </c>
      <c r="J162">
        <f>SUMIF('库存（子SKU）'!$C:$C,$A162,'库存（子SKU）'!L:L)</f>
        <v>1</v>
      </c>
      <c r="K162">
        <f t="shared" si="36"/>
        <v>5</v>
      </c>
      <c r="L162">
        <f>SUMIF('库存（子SKU）'!$C:$C,$A162,'库存（子SKU）'!N:N)</f>
        <v>19</v>
      </c>
      <c r="M162">
        <f>SUMIF('库存（子SKU）'!$C:$C,$A162,'库存（子SKU）'!O:O)</f>
        <v>0</v>
      </c>
      <c r="N162">
        <f>SUMIF('库存（子SKU）'!$C:$C,$A162,'库存（子SKU）'!P:P)</f>
        <v>8282</v>
      </c>
      <c r="O162">
        <f>SUMIF('库存（子SKU）'!$C:$C,$A162,'库存（子SKU）'!Q:Q)</f>
        <v>29240</v>
      </c>
      <c r="P162">
        <f>SUMIF('库存（子SKU）'!$C:$C,$A162,'库存（子SKU）'!R:R)</f>
        <v>154838</v>
      </c>
      <c r="Q162">
        <f>SUMIF('库存（子SKU）'!$C:$C,$A162,'库存（子SKU）'!S:S)</f>
        <v>49484</v>
      </c>
      <c r="R162">
        <f>SUMIF('库存（子SKU）'!$C:$C,$A162,'库存（子SKU）'!T:T)</f>
        <v>61</v>
      </c>
      <c r="S162">
        <f>SUMIF('库存（子SKU）'!$C:$C,$A162,'库存（子SKU）'!U:U)</f>
        <v>112</v>
      </c>
      <c r="T162">
        <f>SUMIF('库存（子SKU）'!$C:$C,$A162,'库存（子SKU）'!V:V)</f>
        <v>555</v>
      </c>
      <c r="U162">
        <f>SUMIF('库存（子SKU）'!$C:$C,$A162,'库存（子SKU）'!W:W)</f>
        <v>182</v>
      </c>
      <c r="V162" s="23">
        <f t="shared" si="49"/>
        <v>0.0073653706834098</v>
      </c>
      <c r="W162" s="23">
        <f t="shared" si="50"/>
        <v>0.00383036935704514</v>
      </c>
      <c r="X162" s="23">
        <f t="shared" si="51"/>
        <v>0.00358439142846071</v>
      </c>
      <c r="Y162" s="23">
        <f t="shared" si="52"/>
        <v>0.00367795651119554</v>
      </c>
      <c r="Z162">
        <f>SUMIF('库存（子SKU）'!$C:$C,$A162,'库存（子SKU）'!AB:AB)</f>
        <v>17.87</v>
      </c>
      <c r="AA162">
        <f>SUMIF('库存（子SKU）'!$C:$C,$A162,'库存（子SKU）'!AC:AC)</f>
        <v>29.34</v>
      </c>
      <c r="AB162">
        <f>SUMIF('库存（子SKU）'!$C:$C,$A162,'库存（子SKU）'!AD:AD)</f>
        <v>146.1</v>
      </c>
      <c r="AC162">
        <f>SUMIF('库存（子SKU）'!$C:$C,$A162,'库存（子SKU）'!AE:AE)</f>
        <v>48.53</v>
      </c>
      <c r="AD162" s="23">
        <f t="shared" si="37"/>
        <v>0.430069449219556</v>
      </c>
      <c r="AE162" s="23">
        <f t="shared" si="38"/>
        <v>0.35305645327649</v>
      </c>
      <c r="AF162" s="23">
        <f t="shared" si="39"/>
        <v>2.34408306401705</v>
      </c>
      <c r="AG162" s="23">
        <f t="shared" si="40"/>
        <v>0.46718008663962</v>
      </c>
      <c r="AH162">
        <f>SUMIF('库存（子SKU）'!$C:$C,$A162,'库存（子SKU）'!AJ:AJ)</f>
        <v>19</v>
      </c>
      <c r="AI162">
        <f>SUMIF('库存（子SKU）'!$C:$C,$A162,'库存（子SKU）'!AK:AK)</f>
        <v>75</v>
      </c>
      <c r="AJ162">
        <f>SUMIF('库存（子SKU）'!$C:$C,$A162,'库存（子SKU）'!AL:AL)</f>
        <v>75</v>
      </c>
      <c r="AK162">
        <f>SUMIF('库存（子SKU）'!$C:$C,$A162,'库存（子SKU）'!AM:AM)</f>
        <v>155</v>
      </c>
      <c r="AL162" s="23">
        <f t="shared" si="41"/>
        <v>0.105263157894737</v>
      </c>
      <c r="AM162" s="23">
        <f t="shared" si="42"/>
        <v>0.0533333333333333</v>
      </c>
      <c r="AN162" s="23">
        <f t="shared" si="43"/>
        <v>0.04</v>
      </c>
      <c r="AO162" s="23">
        <f t="shared" si="44"/>
        <v>0.032258064516129</v>
      </c>
      <c r="AP162" s="8">
        <f t="shared" si="45"/>
        <v>0.285714285714286</v>
      </c>
      <c r="AQ162" s="8">
        <f t="shared" si="46"/>
        <v>17.1428571428571</v>
      </c>
      <c r="AR162" s="8">
        <f t="shared" si="47"/>
        <v>-12.1428571428571</v>
      </c>
      <c r="AS162">
        <f t="shared" si="48"/>
        <v>17</v>
      </c>
      <c r="AT162" s="25">
        <f>IFERROR(时间!$B$4+AS162,"上周无销量")</f>
        <v>43307</v>
      </c>
    </row>
    <row r="163" spans="1:46">
      <c r="A163" t="s">
        <v>2322</v>
      </c>
      <c r="B163" s="6">
        <f>SUMIF('库存（子SKU）'!$C:$C,$A163,'库存（子SKU）'!D:D)</f>
        <v>0</v>
      </c>
      <c r="C163" s="6">
        <f>SUMIF('库存（子SKU）'!$C:$C,$A163,'库存（子SKU）'!E:E)</f>
        <v>1</v>
      </c>
      <c r="D163" s="6">
        <f>SUMIF('库存（子SKU）'!$C:$C,$A163,'库存（子SKU）'!F:F)</f>
        <v>2</v>
      </c>
      <c r="E163" s="6">
        <f>SUMIF('库存（子SKU）'!$C:$C,$A163,'库存（子SKU）'!G:G)</f>
        <v>0</v>
      </c>
      <c r="F163" s="7">
        <v>19.99</v>
      </c>
      <c r="G163">
        <f>SUMIF('库存（子SKU）'!$C:$C,$A163,'库存（子SKU）'!I:I)</f>
        <v>8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8</v>
      </c>
      <c r="L163">
        <f>SUMIF('库存（子SKU）'!$C:$C,$A163,'库存（子SKU）'!N:N)</f>
        <v>0</v>
      </c>
      <c r="M163">
        <f>SUMIF('库存（子SKU）'!$C:$C,$A163,'库存（子SKU）'!O:O)</f>
        <v>8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>
        <f t="shared" si="38"/>
        <v>0</v>
      </c>
      <c r="AF163" s="23">
        <f t="shared" si="39"/>
        <v>0</v>
      </c>
      <c r="AG163" s="23" t="str">
        <f t="shared" si="40"/>
        <v/>
      </c>
      <c r="AH163">
        <f>SUMIF('库存（子SKU）'!$C:$C,$A163,'库存（子SKU）'!AJ:AJ)</f>
        <v>17</v>
      </c>
      <c r="AI163">
        <f>SUMIF('库存（子SKU）'!$C:$C,$A163,'库存（子SKU）'!AK:AK)</f>
        <v>21</v>
      </c>
      <c r="AJ163">
        <f>SUMIF('库存（子SKU）'!$C:$C,$A163,'库存（子SKU）'!AL:AL)</f>
        <v>21</v>
      </c>
      <c r="AK163">
        <f>SUMIF('库存（子SKU）'!$C:$C,$A163,'库存（子SKU）'!AM:AM)</f>
        <v>14</v>
      </c>
      <c r="AL163" s="23">
        <f t="shared" si="41"/>
        <v>0</v>
      </c>
      <c r="AM163" s="23">
        <f t="shared" si="42"/>
        <v>0.0476190476190476</v>
      </c>
      <c r="AN163" s="23">
        <f t="shared" si="43"/>
        <v>0.0952380952380952</v>
      </c>
      <c r="AO163" s="23">
        <f t="shared" si="44"/>
        <v>0</v>
      </c>
      <c r="AP163" s="8">
        <f t="shared" si="45"/>
        <v>0</v>
      </c>
      <c r="AQ163" s="8">
        <f t="shared" si="46"/>
        <v>0</v>
      </c>
      <c r="AR163" s="8">
        <f t="shared" si="47"/>
        <v>8</v>
      </c>
      <c r="AS163" t="str">
        <f t="shared" si="48"/>
        <v>库存为8</v>
      </c>
      <c r="AT163" s="25" t="str">
        <f>IFERROR(时间!$B$4+AS163,"上周无销量")</f>
        <v>上周无销量</v>
      </c>
    </row>
    <row r="164" spans="1:46">
      <c r="A164" t="s">
        <v>2331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3" t="str">
        <f t="shared" si="41"/>
        <v/>
      </c>
      <c r="AM164" s="23" t="str">
        <f t="shared" si="42"/>
        <v/>
      </c>
      <c r="AN164" s="23" t="str">
        <f t="shared" si="43"/>
        <v/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5" t="str">
        <f>IFERROR(时间!$B$4+AS164,"上周无销量")</f>
        <v>上周无销量</v>
      </c>
    </row>
    <row r="165" spans="1:46">
      <c r="A165" t="s">
        <v>2336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15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15</v>
      </c>
      <c r="L165">
        <f>SUMIF('库存（子SKU）'!$C:$C,$A165,'库存（子SKU）'!N:N)</f>
        <v>0</v>
      </c>
      <c r="M165">
        <f>SUMIF('库存（子SKU）'!$C:$C,$A165,'库存（子SKU）'!O:O)</f>
        <v>15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8</v>
      </c>
      <c r="AI165">
        <f>SUMIF('库存（子SKU）'!$C:$C,$A165,'库存（子SKU）'!AK:AK)</f>
        <v>6</v>
      </c>
      <c r="AJ165">
        <f>SUMIF('库存（子SKU）'!$C:$C,$A165,'库存（子SKU）'!AL:AL)</f>
        <v>6</v>
      </c>
      <c r="AK165">
        <f>SUMIF('库存（子SKU）'!$C:$C,$A165,'库存（子SKU）'!AM:AM)</f>
        <v>6</v>
      </c>
      <c r="AL165" s="23">
        <f t="shared" si="41"/>
        <v>0</v>
      </c>
      <c r="AM165" s="23">
        <f t="shared" si="42"/>
        <v>0</v>
      </c>
      <c r="AN165" s="23">
        <f t="shared" si="43"/>
        <v>0</v>
      </c>
      <c r="AO165" s="23">
        <f t="shared" si="44"/>
        <v>0</v>
      </c>
      <c r="AP165" s="8">
        <f t="shared" si="45"/>
        <v>0</v>
      </c>
      <c r="AQ165" s="8">
        <f t="shared" si="46"/>
        <v>0</v>
      </c>
      <c r="AR165" s="8">
        <f t="shared" si="47"/>
        <v>15</v>
      </c>
      <c r="AS165" t="str">
        <f t="shared" si="48"/>
        <v>库存为15</v>
      </c>
      <c r="AT165" s="25" t="str">
        <f>IFERROR(时间!$B$4+AS165,"上周无销量")</f>
        <v>上周无销量</v>
      </c>
    </row>
    <row r="166" spans="1:46">
      <c r="A166" t="s">
        <v>2349</v>
      </c>
      <c r="B166" s="6">
        <f>SUMIF('库存（子SKU）'!$C:$C,$A166,'库存（子SKU）'!D:D)</f>
        <v>1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>
        <v>19.9</v>
      </c>
      <c r="G166">
        <f>SUMIF('库存（子SKU）'!$C:$C,$A166,'库存（子SKU）'!I:I)</f>
        <v>6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6</v>
      </c>
      <c r="L166">
        <f>SUMIF('库存（子SKU）'!$C:$C,$A166,'库存（子SKU）'!N:N)</f>
        <v>0</v>
      </c>
      <c r="M166">
        <f>SUMIF('库存（子SKU）'!$C:$C,$A166,'库存（子SKU）'!O:O)</f>
        <v>6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>
        <f t="shared" si="37"/>
        <v>0</v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5</v>
      </c>
      <c r="AI166">
        <f>SUMIF('库存（子SKU）'!$C:$C,$A166,'库存（子SKU）'!AK:AK)</f>
        <v>2</v>
      </c>
      <c r="AJ166">
        <f>SUMIF('库存（子SKU）'!$C:$C,$A166,'库存（子SKU）'!AL:AL)</f>
        <v>2</v>
      </c>
      <c r="AK166">
        <f>SUMIF('库存（子SKU）'!$C:$C,$A166,'库存（子SKU）'!AM:AM)</f>
        <v>4</v>
      </c>
      <c r="AL166" s="23">
        <f t="shared" si="41"/>
        <v>0.2</v>
      </c>
      <c r="AM166" s="23">
        <f t="shared" si="42"/>
        <v>0</v>
      </c>
      <c r="AN166" s="23">
        <f t="shared" si="43"/>
        <v>0</v>
      </c>
      <c r="AO166" s="23">
        <f t="shared" si="44"/>
        <v>0</v>
      </c>
      <c r="AP166" s="8">
        <f t="shared" si="45"/>
        <v>0.142857142857143</v>
      </c>
      <c r="AQ166" s="8">
        <f t="shared" si="46"/>
        <v>8.57142857142857</v>
      </c>
      <c r="AR166" s="8">
        <f t="shared" si="47"/>
        <v>-2.57142857142857</v>
      </c>
      <c r="AS166">
        <f t="shared" si="48"/>
        <v>42</v>
      </c>
      <c r="AT166" s="25">
        <f>IFERROR(时间!$B$4+AS166,"上周无销量")</f>
        <v>43332</v>
      </c>
    </row>
    <row r="167" spans="1:46">
      <c r="A167" t="s">
        <v>2356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12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12</v>
      </c>
      <c r="L167">
        <f>SUMIF('库存（子SKU）'!$C:$C,$A167,'库存（子SKU）'!N:N)</f>
        <v>0</v>
      </c>
      <c r="M167">
        <f>SUMIF('库存（子SKU）'!$C:$C,$A167,'库存（子SKU）'!O:O)</f>
        <v>12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2</v>
      </c>
      <c r="AI167">
        <f>SUMIF('库存（子SKU）'!$C:$C,$A167,'库存（子SKU）'!AK:AK)</f>
        <v>4</v>
      </c>
      <c r="AJ167">
        <f>SUMIF('库存（子SKU）'!$C:$C,$A167,'库存（子SKU）'!AL:AL)</f>
        <v>4</v>
      </c>
      <c r="AK167">
        <f>SUMIF('库存（子SKU）'!$C:$C,$A167,'库存（子SKU）'!AM:AM)</f>
        <v>0</v>
      </c>
      <c r="AL167" s="23">
        <f t="shared" si="41"/>
        <v>0</v>
      </c>
      <c r="AM167" s="23">
        <f t="shared" si="42"/>
        <v>0</v>
      </c>
      <c r="AN167" s="23">
        <f t="shared" si="43"/>
        <v>0</v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12</v>
      </c>
      <c r="AS167" t="str">
        <f t="shared" si="48"/>
        <v>库存为12</v>
      </c>
      <c r="AT167" s="25" t="str">
        <f>IFERROR(时间!$B$4+AS167,"上周无销量")</f>
        <v>上周无销量</v>
      </c>
    </row>
    <row r="168" spans="1:46">
      <c r="A168" t="s">
        <v>2363</v>
      </c>
      <c r="B168" s="6">
        <f>SUMIF('库存（子SKU）'!$C:$C,$A168,'库存（子SKU）'!D:D)</f>
        <v>5</v>
      </c>
      <c r="C168" s="6">
        <f>SUMIF('库存（子SKU）'!$C:$C,$A168,'库存（子SKU）'!E:E)</f>
        <v>4</v>
      </c>
      <c r="D168" s="6">
        <f>SUMIF('库存（子SKU）'!$C:$C,$A168,'库存（子SKU）'!F:F)</f>
        <v>3</v>
      </c>
      <c r="E168" s="6">
        <f>SUMIF('库存（子SKU）'!$C:$C,$A168,'库存（子SKU）'!G:G)</f>
        <v>5</v>
      </c>
      <c r="F168" s="7">
        <v>18.99</v>
      </c>
      <c r="G168">
        <f>SUMIF('库存（子SKU）'!$C:$C,$A168,'库存（子SKU）'!I:I)</f>
        <v>14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14</v>
      </c>
      <c r="L168">
        <f>SUMIF('库存（子SKU）'!$C:$C,$A168,'库存（子SKU）'!N:N)</f>
        <v>2</v>
      </c>
      <c r="M168">
        <f>SUMIF('库存（子SKU）'!$C:$C,$A168,'库存（子SKU）'!O:O)</f>
        <v>10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>
        <f t="shared" si="37"/>
        <v>0</v>
      </c>
      <c r="AE168" s="23">
        <f t="shared" si="38"/>
        <v>0</v>
      </c>
      <c r="AF168" s="23">
        <f t="shared" si="39"/>
        <v>0</v>
      </c>
      <c r="AG168" s="23">
        <f t="shared" si="40"/>
        <v>0</v>
      </c>
      <c r="AH168">
        <f>SUMIF('库存（子SKU）'!$C:$C,$A168,'库存（子SKU）'!AJ:AJ)</f>
        <v>10</v>
      </c>
      <c r="AI168">
        <f>SUMIF('库存（子SKU）'!$C:$C,$A168,'库存（子SKU）'!AK:AK)</f>
        <v>6</v>
      </c>
      <c r="AJ168">
        <f>SUMIF('库存（子SKU）'!$C:$C,$A168,'库存（子SKU）'!AL:AL)</f>
        <v>6</v>
      </c>
      <c r="AK168">
        <f>SUMIF('库存（子SKU）'!$C:$C,$A168,'库存（子SKU）'!AM:AM)</f>
        <v>12</v>
      </c>
      <c r="AL168" s="23">
        <f t="shared" si="41"/>
        <v>0.5</v>
      </c>
      <c r="AM168" s="23">
        <f t="shared" si="42"/>
        <v>0.666666666666667</v>
      </c>
      <c r="AN168" s="23">
        <f t="shared" si="43"/>
        <v>0.5</v>
      </c>
      <c r="AO168" s="23">
        <f t="shared" si="44"/>
        <v>0.416666666666667</v>
      </c>
      <c r="AP168" s="8">
        <f t="shared" si="45"/>
        <v>0.714285714285714</v>
      </c>
      <c r="AQ168" s="8">
        <f t="shared" si="46"/>
        <v>42.8571428571429</v>
      </c>
      <c r="AR168" s="8">
        <f t="shared" si="47"/>
        <v>-28.8571428571429</v>
      </c>
      <c r="AS168">
        <f t="shared" si="48"/>
        <v>19</v>
      </c>
      <c r="AT168" s="25">
        <f>IFERROR(时间!$B$4+AS168,"上周无销量")</f>
        <v>43309</v>
      </c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490" operator="lessThan">
      <formula>20</formula>
    </cfRule>
    <cfRule type="cellIs" dxfId="1" priority="2489" operator="greaterThan">
      <formula>120</formula>
    </cfRule>
    <cfRule type="containsText" dxfId="3" priority="2488" operator="between" text="库存">
      <formula>NOT(ISERROR(SEARCH("库存",AS2)))</formula>
    </cfRule>
  </conditionalFormatting>
  <conditionalFormatting sqref="AS6">
    <cfRule type="cellIs" dxfId="0" priority="489" operator="lessThan">
      <formula>20</formula>
    </cfRule>
    <cfRule type="cellIs" dxfId="1" priority="326" operator="greaterThan">
      <formula>120</formula>
    </cfRule>
    <cfRule type="containsText" dxfId="3" priority="163" operator="between" text="库存">
      <formula>NOT(ISERROR(SEARCH("库存",AS6)))</formula>
    </cfRule>
  </conditionalFormatting>
  <conditionalFormatting sqref="AS7">
    <cfRule type="cellIs" dxfId="0" priority="488" operator="lessThan">
      <formula>20</formula>
    </cfRule>
    <cfRule type="cellIs" dxfId="1" priority="325" operator="greaterThan">
      <formula>120</formula>
    </cfRule>
    <cfRule type="containsText" dxfId="3" priority="162" operator="between" text="库存">
      <formula>NOT(ISERROR(SEARCH("库存",AS7)))</formula>
    </cfRule>
  </conditionalFormatting>
  <conditionalFormatting sqref="AS8">
    <cfRule type="cellIs" dxfId="0" priority="487" operator="lessThan">
      <formula>20</formula>
    </cfRule>
    <cfRule type="cellIs" dxfId="1" priority="324" operator="greaterThan">
      <formula>120</formula>
    </cfRule>
    <cfRule type="containsText" dxfId="3" priority="161" operator="between" text="库存">
      <formula>NOT(ISERROR(SEARCH("库存",AS8)))</formula>
    </cfRule>
  </conditionalFormatting>
  <conditionalFormatting sqref="AS9">
    <cfRule type="cellIs" dxfId="0" priority="486" operator="lessThan">
      <formula>20</formula>
    </cfRule>
    <cfRule type="cellIs" dxfId="1" priority="323" operator="greaterThan">
      <formula>120</formula>
    </cfRule>
    <cfRule type="containsText" dxfId="3" priority="160" operator="between" text="库存">
      <formula>NOT(ISERROR(SEARCH("库存",AS9)))</formula>
    </cfRule>
  </conditionalFormatting>
  <conditionalFormatting sqref="AS10">
    <cfRule type="cellIs" dxfId="0" priority="485" operator="lessThan">
      <formula>20</formula>
    </cfRule>
    <cfRule type="cellIs" dxfId="1" priority="322" operator="greaterThan">
      <formula>120</formula>
    </cfRule>
    <cfRule type="containsText" dxfId="3" priority="159" operator="between" text="库存">
      <formula>NOT(ISERROR(SEARCH("库存",AS10)))</formula>
    </cfRule>
  </conditionalFormatting>
  <conditionalFormatting sqref="AS11">
    <cfRule type="cellIs" dxfId="0" priority="484" operator="lessThan">
      <formula>20</formula>
    </cfRule>
    <cfRule type="cellIs" dxfId="1" priority="321" operator="greaterThan">
      <formula>120</formula>
    </cfRule>
    <cfRule type="containsText" dxfId="3" priority="158" operator="between" text="库存">
      <formula>NOT(ISERROR(SEARCH("库存",AS11)))</formula>
    </cfRule>
  </conditionalFormatting>
  <conditionalFormatting sqref="AS12">
    <cfRule type="cellIs" dxfId="0" priority="483" operator="lessThan">
      <formula>20</formula>
    </cfRule>
    <cfRule type="cellIs" dxfId="1" priority="320" operator="greaterThan">
      <formula>120</formula>
    </cfRule>
    <cfRule type="containsText" dxfId="3" priority="157" operator="between" text="库存">
      <formula>NOT(ISERROR(SEARCH("库存",AS12)))</formula>
    </cfRule>
  </conditionalFormatting>
  <conditionalFormatting sqref="AS13">
    <cfRule type="cellIs" dxfId="0" priority="482" operator="lessThan">
      <formula>20</formula>
    </cfRule>
    <cfRule type="cellIs" dxfId="1" priority="319" operator="greaterThan">
      <formula>120</formula>
    </cfRule>
    <cfRule type="containsText" dxfId="3" priority="156" operator="between" text="库存">
      <formula>NOT(ISERROR(SEARCH("库存",AS13)))</formula>
    </cfRule>
  </conditionalFormatting>
  <conditionalFormatting sqref="AS14">
    <cfRule type="cellIs" dxfId="0" priority="481" operator="lessThan">
      <formula>20</formula>
    </cfRule>
    <cfRule type="cellIs" dxfId="1" priority="318" operator="greaterThan">
      <formula>120</formula>
    </cfRule>
    <cfRule type="containsText" dxfId="3" priority="155" operator="between" text="库存">
      <formula>NOT(ISERROR(SEARCH("库存",AS14)))</formula>
    </cfRule>
  </conditionalFormatting>
  <conditionalFormatting sqref="AS15">
    <cfRule type="cellIs" dxfId="0" priority="480" operator="lessThan">
      <formula>20</formula>
    </cfRule>
    <cfRule type="cellIs" dxfId="1" priority="317" operator="greaterThan">
      <formula>120</formula>
    </cfRule>
    <cfRule type="containsText" dxfId="3" priority="154" operator="between" text="库存">
      <formula>NOT(ISERROR(SEARCH("库存",AS15)))</formula>
    </cfRule>
  </conditionalFormatting>
  <conditionalFormatting sqref="AS16">
    <cfRule type="cellIs" dxfId="0" priority="479" operator="lessThan">
      <formula>20</formula>
    </cfRule>
    <cfRule type="cellIs" dxfId="1" priority="316" operator="greaterThan">
      <formula>120</formula>
    </cfRule>
    <cfRule type="containsText" dxfId="3" priority="153" operator="between" text="库存">
      <formula>NOT(ISERROR(SEARCH("库存",AS16)))</formula>
    </cfRule>
  </conditionalFormatting>
  <conditionalFormatting sqref="AS17">
    <cfRule type="cellIs" dxfId="0" priority="478" operator="lessThan">
      <formula>20</formula>
    </cfRule>
    <cfRule type="cellIs" dxfId="1" priority="315" operator="greaterThan">
      <formula>120</formula>
    </cfRule>
    <cfRule type="containsText" dxfId="3" priority="152" operator="between" text="库存">
      <formula>NOT(ISERROR(SEARCH("库存",AS17)))</formula>
    </cfRule>
  </conditionalFormatting>
  <conditionalFormatting sqref="AS18">
    <cfRule type="cellIs" dxfId="0" priority="477" operator="lessThan">
      <formula>20</formula>
    </cfRule>
    <cfRule type="cellIs" dxfId="1" priority="314" operator="greaterThan">
      <formula>120</formula>
    </cfRule>
    <cfRule type="containsText" dxfId="3" priority="151" operator="between" text="库存">
      <formula>NOT(ISERROR(SEARCH("库存",AS18)))</formula>
    </cfRule>
  </conditionalFormatting>
  <conditionalFormatting sqref="AS19">
    <cfRule type="cellIs" dxfId="0" priority="476" operator="lessThan">
      <formula>20</formula>
    </cfRule>
    <cfRule type="cellIs" dxfId="1" priority="313" operator="greaterThan">
      <formula>120</formula>
    </cfRule>
    <cfRule type="containsText" dxfId="3" priority="150" operator="between" text="库存">
      <formula>NOT(ISERROR(SEARCH("库存",AS19)))</formula>
    </cfRule>
  </conditionalFormatting>
  <conditionalFormatting sqref="AS20">
    <cfRule type="cellIs" dxfId="0" priority="475" operator="lessThan">
      <formula>20</formula>
    </cfRule>
    <cfRule type="cellIs" dxfId="1" priority="312" operator="greaterThan">
      <formula>120</formula>
    </cfRule>
    <cfRule type="containsText" dxfId="3" priority="149" operator="between" text="库存">
      <formula>NOT(ISERROR(SEARCH("库存",AS20)))</formula>
    </cfRule>
  </conditionalFormatting>
  <conditionalFormatting sqref="AS21">
    <cfRule type="cellIs" dxfId="0" priority="474" operator="lessThan">
      <formula>20</formula>
    </cfRule>
    <cfRule type="cellIs" dxfId="1" priority="311" operator="greaterThan">
      <formula>120</formula>
    </cfRule>
    <cfRule type="containsText" dxfId="3" priority="148" operator="between" text="库存">
      <formula>NOT(ISERROR(SEARCH("库存",AS21)))</formula>
    </cfRule>
  </conditionalFormatting>
  <conditionalFormatting sqref="AS22">
    <cfRule type="cellIs" dxfId="0" priority="473" operator="lessThan">
      <formula>20</formula>
    </cfRule>
    <cfRule type="cellIs" dxfId="1" priority="310" operator="greaterThan">
      <formula>120</formula>
    </cfRule>
    <cfRule type="containsText" dxfId="3" priority="147" operator="between" text="库存">
      <formula>NOT(ISERROR(SEARCH("库存",AS22)))</formula>
    </cfRule>
  </conditionalFormatting>
  <conditionalFormatting sqref="AS23">
    <cfRule type="cellIs" dxfId="0" priority="472" operator="lessThan">
      <formula>20</formula>
    </cfRule>
    <cfRule type="cellIs" dxfId="1" priority="309" operator="greaterThan">
      <formula>120</formula>
    </cfRule>
    <cfRule type="containsText" dxfId="3" priority="146" operator="between" text="库存">
      <formula>NOT(ISERROR(SEARCH("库存",AS23)))</formula>
    </cfRule>
  </conditionalFormatting>
  <conditionalFormatting sqref="AS24">
    <cfRule type="cellIs" dxfId="0" priority="471" operator="lessThan">
      <formula>20</formula>
    </cfRule>
    <cfRule type="cellIs" dxfId="1" priority="308" operator="greaterThan">
      <formula>120</formula>
    </cfRule>
    <cfRule type="containsText" dxfId="3" priority="145" operator="between" text="库存">
      <formula>NOT(ISERROR(SEARCH("库存",AS24)))</formula>
    </cfRule>
  </conditionalFormatting>
  <conditionalFormatting sqref="AS25">
    <cfRule type="cellIs" dxfId="0" priority="470" operator="lessThan">
      <formula>20</formula>
    </cfRule>
    <cfRule type="cellIs" dxfId="1" priority="307" operator="greaterThan">
      <formula>120</formula>
    </cfRule>
    <cfRule type="containsText" dxfId="3" priority="144" operator="between" text="库存">
      <formula>NOT(ISERROR(SEARCH("库存",AS25)))</formula>
    </cfRule>
  </conditionalFormatting>
  <conditionalFormatting sqref="AS26">
    <cfRule type="cellIs" dxfId="0" priority="469" operator="lessThan">
      <formula>20</formula>
    </cfRule>
    <cfRule type="cellIs" dxfId="1" priority="306" operator="greaterThan">
      <formula>120</formula>
    </cfRule>
    <cfRule type="containsText" dxfId="3" priority="143" operator="between" text="库存">
      <formula>NOT(ISERROR(SEARCH("库存",AS26)))</formula>
    </cfRule>
  </conditionalFormatting>
  <conditionalFormatting sqref="AS27">
    <cfRule type="cellIs" dxfId="0" priority="468" operator="lessThan">
      <formula>20</formula>
    </cfRule>
    <cfRule type="cellIs" dxfId="1" priority="305" operator="greaterThan">
      <formula>120</formula>
    </cfRule>
    <cfRule type="containsText" dxfId="3" priority="142" operator="between" text="库存">
      <formula>NOT(ISERROR(SEARCH("库存",AS27)))</formula>
    </cfRule>
  </conditionalFormatting>
  <conditionalFormatting sqref="AS28">
    <cfRule type="cellIs" dxfId="0" priority="467" operator="lessThan">
      <formula>20</formula>
    </cfRule>
    <cfRule type="cellIs" dxfId="1" priority="304" operator="greaterThan">
      <formula>120</formula>
    </cfRule>
    <cfRule type="containsText" dxfId="3" priority="141" operator="between" text="库存">
      <formula>NOT(ISERROR(SEARCH("库存",AS28)))</formula>
    </cfRule>
  </conditionalFormatting>
  <conditionalFormatting sqref="AS29">
    <cfRule type="cellIs" dxfId="0" priority="466" operator="lessThan">
      <formula>20</formula>
    </cfRule>
    <cfRule type="cellIs" dxfId="1" priority="303" operator="greaterThan">
      <formula>120</formula>
    </cfRule>
    <cfRule type="containsText" dxfId="3" priority="140" operator="between" text="库存">
      <formula>NOT(ISERROR(SEARCH("库存",AS29)))</formula>
    </cfRule>
  </conditionalFormatting>
  <conditionalFormatting sqref="AS30">
    <cfRule type="cellIs" dxfId="0" priority="465" operator="lessThan">
      <formula>20</formula>
    </cfRule>
    <cfRule type="cellIs" dxfId="1" priority="302" operator="greaterThan">
      <formula>120</formula>
    </cfRule>
    <cfRule type="containsText" dxfId="3" priority="139" operator="between" text="库存">
      <formula>NOT(ISERROR(SEARCH("库存",AS30)))</formula>
    </cfRule>
  </conditionalFormatting>
  <conditionalFormatting sqref="AS31">
    <cfRule type="cellIs" dxfId="0" priority="464" operator="lessThan">
      <formula>20</formula>
    </cfRule>
    <cfRule type="cellIs" dxfId="1" priority="301" operator="greaterThan">
      <formula>120</formula>
    </cfRule>
    <cfRule type="containsText" dxfId="3" priority="138" operator="between" text="库存">
      <formula>NOT(ISERROR(SEARCH("库存",AS31)))</formula>
    </cfRule>
  </conditionalFormatting>
  <conditionalFormatting sqref="AS32">
    <cfRule type="cellIs" dxfId="0" priority="463" operator="lessThan">
      <formula>20</formula>
    </cfRule>
    <cfRule type="cellIs" dxfId="1" priority="300" operator="greaterThan">
      <formula>120</formula>
    </cfRule>
    <cfRule type="containsText" dxfId="3" priority="137" operator="between" text="库存">
      <formula>NOT(ISERROR(SEARCH("库存",AS32)))</formula>
    </cfRule>
  </conditionalFormatting>
  <conditionalFormatting sqref="AS33">
    <cfRule type="cellIs" dxfId="0" priority="462" operator="lessThan">
      <formula>20</formula>
    </cfRule>
    <cfRule type="cellIs" dxfId="1" priority="299" operator="greaterThan">
      <formula>120</formula>
    </cfRule>
    <cfRule type="containsText" dxfId="3" priority="136" operator="between" text="库存">
      <formula>NOT(ISERROR(SEARCH("库存",AS33)))</formula>
    </cfRule>
  </conditionalFormatting>
  <conditionalFormatting sqref="AS34">
    <cfRule type="cellIs" dxfId="0" priority="461" operator="lessThan">
      <formula>20</formula>
    </cfRule>
    <cfRule type="cellIs" dxfId="1" priority="298" operator="greaterThan">
      <formula>120</formula>
    </cfRule>
    <cfRule type="containsText" dxfId="3" priority="135" operator="between" text="库存">
      <formula>NOT(ISERROR(SEARCH("库存",AS34)))</formula>
    </cfRule>
  </conditionalFormatting>
  <conditionalFormatting sqref="AS35">
    <cfRule type="cellIs" dxfId="0" priority="460" operator="lessThan">
      <formula>20</formula>
    </cfRule>
    <cfRule type="cellIs" dxfId="1" priority="297" operator="greaterThan">
      <formula>120</formula>
    </cfRule>
    <cfRule type="containsText" dxfId="3" priority="134" operator="between" text="库存">
      <formula>NOT(ISERROR(SEARCH("库存",AS35)))</formula>
    </cfRule>
  </conditionalFormatting>
  <conditionalFormatting sqref="AS36">
    <cfRule type="cellIs" dxfId="0" priority="459" operator="lessThan">
      <formula>20</formula>
    </cfRule>
    <cfRule type="cellIs" dxfId="1" priority="296" operator="greaterThan">
      <formula>120</formula>
    </cfRule>
    <cfRule type="containsText" dxfId="3" priority="133" operator="between" text="库存">
      <formula>NOT(ISERROR(SEARCH("库存",AS36)))</formula>
    </cfRule>
  </conditionalFormatting>
  <conditionalFormatting sqref="AS37">
    <cfRule type="cellIs" dxfId="0" priority="458" operator="lessThan">
      <formula>20</formula>
    </cfRule>
    <cfRule type="cellIs" dxfId="1" priority="295" operator="greaterThan">
      <formula>120</formula>
    </cfRule>
    <cfRule type="containsText" dxfId="3" priority="132" operator="between" text="库存">
      <formula>NOT(ISERROR(SEARCH("库存",AS37)))</formula>
    </cfRule>
  </conditionalFormatting>
  <conditionalFormatting sqref="AS38">
    <cfRule type="cellIs" dxfId="0" priority="457" operator="lessThan">
      <formula>20</formula>
    </cfRule>
    <cfRule type="cellIs" dxfId="1" priority="294" operator="greaterThan">
      <formula>120</formula>
    </cfRule>
    <cfRule type="containsText" dxfId="3" priority="131" operator="between" text="库存">
      <formula>NOT(ISERROR(SEARCH("库存",AS38)))</formula>
    </cfRule>
  </conditionalFormatting>
  <conditionalFormatting sqref="AS39">
    <cfRule type="cellIs" dxfId="0" priority="456" operator="lessThan">
      <formula>20</formula>
    </cfRule>
    <cfRule type="cellIs" dxfId="1" priority="293" operator="greaterThan">
      <formula>120</formula>
    </cfRule>
    <cfRule type="containsText" dxfId="3" priority="130" operator="between" text="库存">
      <formula>NOT(ISERROR(SEARCH("库存",AS39)))</formula>
    </cfRule>
  </conditionalFormatting>
  <conditionalFormatting sqref="AS40">
    <cfRule type="cellIs" dxfId="0" priority="455" operator="lessThan">
      <formula>20</formula>
    </cfRule>
    <cfRule type="cellIs" dxfId="1" priority="292" operator="greaterThan">
      <formula>120</formula>
    </cfRule>
    <cfRule type="containsText" dxfId="3" priority="129" operator="between" text="库存">
      <formula>NOT(ISERROR(SEARCH("库存",AS40)))</formula>
    </cfRule>
  </conditionalFormatting>
  <conditionalFormatting sqref="AS41">
    <cfRule type="cellIs" dxfId="0" priority="454" operator="lessThan">
      <formula>20</formula>
    </cfRule>
    <cfRule type="cellIs" dxfId="1" priority="291" operator="greaterThan">
      <formula>120</formula>
    </cfRule>
    <cfRule type="containsText" dxfId="3" priority="128" operator="between" text="库存">
      <formula>NOT(ISERROR(SEARCH("库存",AS41)))</formula>
    </cfRule>
  </conditionalFormatting>
  <conditionalFormatting sqref="AS42">
    <cfRule type="cellIs" dxfId="0" priority="453" operator="lessThan">
      <formula>20</formula>
    </cfRule>
    <cfRule type="cellIs" dxfId="1" priority="290" operator="greaterThan">
      <formula>120</formula>
    </cfRule>
    <cfRule type="containsText" dxfId="3" priority="127" operator="between" text="库存">
      <formula>NOT(ISERROR(SEARCH("库存",AS42)))</formula>
    </cfRule>
  </conditionalFormatting>
  <conditionalFormatting sqref="AS43">
    <cfRule type="cellIs" dxfId="0" priority="452" operator="lessThan">
      <formula>20</formula>
    </cfRule>
    <cfRule type="cellIs" dxfId="1" priority="289" operator="greaterThan">
      <formula>120</formula>
    </cfRule>
    <cfRule type="containsText" dxfId="3" priority="126" operator="between" text="库存">
      <formula>NOT(ISERROR(SEARCH("库存",AS43)))</formula>
    </cfRule>
  </conditionalFormatting>
  <conditionalFormatting sqref="AS44">
    <cfRule type="cellIs" dxfId="0" priority="451" operator="lessThan">
      <formula>20</formula>
    </cfRule>
    <cfRule type="cellIs" dxfId="1" priority="288" operator="greaterThan">
      <formula>120</formula>
    </cfRule>
    <cfRule type="containsText" dxfId="3" priority="125" operator="between" text="库存">
      <formula>NOT(ISERROR(SEARCH("库存",AS44)))</formula>
    </cfRule>
  </conditionalFormatting>
  <conditionalFormatting sqref="AS45">
    <cfRule type="cellIs" dxfId="0" priority="450" operator="lessThan">
      <formula>20</formula>
    </cfRule>
    <cfRule type="cellIs" dxfId="1" priority="287" operator="greaterThan">
      <formula>120</formula>
    </cfRule>
    <cfRule type="containsText" dxfId="3" priority="124" operator="between" text="库存">
      <formula>NOT(ISERROR(SEARCH("库存",AS45)))</formula>
    </cfRule>
  </conditionalFormatting>
  <conditionalFormatting sqref="AS46">
    <cfRule type="cellIs" dxfId="0" priority="449" operator="lessThan">
      <formula>20</formula>
    </cfRule>
    <cfRule type="cellIs" dxfId="1" priority="286" operator="greaterThan">
      <formula>120</formula>
    </cfRule>
    <cfRule type="containsText" dxfId="3" priority="123" operator="between" text="库存">
      <formula>NOT(ISERROR(SEARCH("库存",AS46)))</formula>
    </cfRule>
  </conditionalFormatting>
  <conditionalFormatting sqref="AS47">
    <cfRule type="cellIs" dxfId="0" priority="448" operator="lessThan">
      <formula>20</formula>
    </cfRule>
    <cfRule type="cellIs" dxfId="1" priority="285" operator="greaterThan">
      <formula>120</formula>
    </cfRule>
    <cfRule type="containsText" dxfId="3" priority="122" operator="between" text="库存">
      <formula>NOT(ISERROR(SEARCH("库存",AS47)))</formula>
    </cfRule>
  </conditionalFormatting>
  <conditionalFormatting sqref="AS48">
    <cfRule type="cellIs" dxfId="0" priority="447" operator="lessThan">
      <formula>20</formula>
    </cfRule>
    <cfRule type="cellIs" dxfId="1" priority="284" operator="greaterThan">
      <formula>120</formula>
    </cfRule>
    <cfRule type="containsText" dxfId="3" priority="121" operator="between" text="库存">
      <formula>NOT(ISERROR(SEARCH("库存",AS48)))</formula>
    </cfRule>
  </conditionalFormatting>
  <conditionalFormatting sqref="AS49">
    <cfRule type="cellIs" dxfId="0" priority="446" operator="lessThan">
      <formula>20</formula>
    </cfRule>
    <cfRule type="cellIs" dxfId="1" priority="283" operator="greaterThan">
      <formula>120</formula>
    </cfRule>
    <cfRule type="containsText" dxfId="3" priority="120" operator="between" text="库存">
      <formula>NOT(ISERROR(SEARCH("库存",AS49)))</formula>
    </cfRule>
  </conditionalFormatting>
  <conditionalFormatting sqref="AS50">
    <cfRule type="cellIs" dxfId="0" priority="445" operator="lessThan">
      <formula>20</formula>
    </cfRule>
    <cfRule type="cellIs" dxfId="1" priority="282" operator="greaterThan">
      <formula>120</formula>
    </cfRule>
    <cfRule type="containsText" dxfId="3" priority="119" operator="between" text="库存">
      <formula>NOT(ISERROR(SEARCH("库存",AS50)))</formula>
    </cfRule>
  </conditionalFormatting>
  <conditionalFormatting sqref="AS51">
    <cfRule type="cellIs" dxfId="0" priority="444" operator="lessThan">
      <formula>20</formula>
    </cfRule>
    <cfRule type="cellIs" dxfId="1" priority="281" operator="greaterThan">
      <formula>120</formula>
    </cfRule>
    <cfRule type="containsText" dxfId="3" priority="118" operator="between" text="库存">
      <formula>NOT(ISERROR(SEARCH("库存",AS51)))</formula>
    </cfRule>
  </conditionalFormatting>
  <conditionalFormatting sqref="AS52">
    <cfRule type="cellIs" dxfId="0" priority="443" operator="lessThan">
      <formula>20</formula>
    </cfRule>
    <cfRule type="cellIs" dxfId="1" priority="280" operator="greaterThan">
      <formula>120</formula>
    </cfRule>
    <cfRule type="containsText" dxfId="3" priority="117" operator="between" text="库存">
      <formula>NOT(ISERROR(SEARCH("库存",AS52)))</formula>
    </cfRule>
  </conditionalFormatting>
  <conditionalFormatting sqref="AS53">
    <cfRule type="cellIs" dxfId="0" priority="442" operator="lessThan">
      <formula>20</formula>
    </cfRule>
    <cfRule type="cellIs" dxfId="1" priority="279" operator="greaterThan">
      <formula>120</formula>
    </cfRule>
    <cfRule type="containsText" dxfId="3" priority="116" operator="between" text="库存">
      <formula>NOT(ISERROR(SEARCH("库存",AS53)))</formula>
    </cfRule>
  </conditionalFormatting>
  <conditionalFormatting sqref="AS54">
    <cfRule type="cellIs" dxfId="0" priority="441" operator="lessThan">
      <formula>20</formula>
    </cfRule>
    <cfRule type="cellIs" dxfId="1" priority="278" operator="greaterThan">
      <formula>120</formula>
    </cfRule>
    <cfRule type="containsText" dxfId="3" priority="115" operator="between" text="库存">
      <formula>NOT(ISERROR(SEARCH("库存",AS54)))</formula>
    </cfRule>
  </conditionalFormatting>
  <conditionalFormatting sqref="AS55">
    <cfRule type="cellIs" dxfId="0" priority="440" operator="lessThan">
      <formula>20</formula>
    </cfRule>
    <cfRule type="cellIs" dxfId="1" priority="277" operator="greaterThan">
      <formula>120</formula>
    </cfRule>
    <cfRule type="containsText" dxfId="3" priority="114" operator="between" text="库存">
      <formula>NOT(ISERROR(SEARCH("库存",AS55)))</formula>
    </cfRule>
  </conditionalFormatting>
  <conditionalFormatting sqref="AS56">
    <cfRule type="cellIs" dxfId="0" priority="439" operator="lessThan">
      <formula>20</formula>
    </cfRule>
    <cfRule type="cellIs" dxfId="1" priority="276" operator="greaterThan">
      <formula>120</formula>
    </cfRule>
    <cfRule type="containsText" dxfId="3" priority="113" operator="between" text="库存">
      <formula>NOT(ISERROR(SEARCH("库存",AS56)))</formula>
    </cfRule>
  </conditionalFormatting>
  <conditionalFormatting sqref="AS57">
    <cfRule type="cellIs" dxfId="0" priority="438" operator="lessThan">
      <formula>20</formula>
    </cfRule>
    <cfRule type="cellIs" dxfId="1" priority="275" operator="greaterThan">
      <formula>120</formula>
    </cfRule>
    <cfRule type="containsText" dxfId="3" priority="112" operator="between" text="库存">
      <formula>NOT(ISERROR(SEARCH("库存",AS57)))</formula>
    </cfRule>
  </conditionalFormatting>
  <conditionalFormatting sqref="AS58">
    <cfRule type="cellIs" dxfId="0" priority="437" operator="lessThan">
      <formula>20</formula>
    </cfRule>
    <cfRule type="cellIs" dxfId="1" priority="274" operator="greaterThan">
      <formula>120</formula>
    </cfRule>
    <cfRule type="containsText" dxfId="3" priority="111" operator="between" text="库存">
      <formula>NOT(ISERROR(SEARCH("库存",AS58)))</formula>
    </cfRule>
  </conditionalFormatting>
  <conditionalFormatting sqref="AS59">
    <cfRule type="cellIs" dxfId="0" priority="436" operator="lessThan">
      <formula>20</formula>
    </cfRule>
    <cfRule type="cellIs" dxfId="1" priority="273" operator="greaterThan">
      <formula>120</formula>
    </cfRule>
    <cfRule type="containsText" dxfId="3" priority="110" operator="between" text="库存">
      <formula>NOT(ISERROR(SEARCH("库存",AS59)))</formula>
    </cfRule>
  </conditionalFormatting>
  <conditionalFormatting sqref="AS60">
    <cfRule type="cellIs" dxfId="0" priority="435" operator="lessThan">
      <formula>20</formula>
    </cfRule>
    <cfRule type="cellIs" dxfId="1" priority="272" operator="greaterThan">
      <formula>120</formula>
    </cfRule>
    <cfRule type="containsText" dxfId="3" priority="109" operator="between" text="库存">
      <formula>NOT(ISERROR(SEARCH("库存",AS60)))</formula>
    </cfRule>
  </conditionalFormatting>
  <conditionalFormatting sqref="AS61">
    <cfRule type="cellIs" dxfId="0" priority="434" operator="lessThan">
      <formula>20</formula>
    </cfRule>
    <cfRule type="cellIs" dxfId="1" priority="271" operator="greaterThan">
      <formula>120</formula>
    </cfRule>
    <cfRule type="containsText" dxfId="3" priority="108" operator="between" text="库存">
      <formula>NOT(ISERROR(SEARCH("库存",AS61)))</formula>
    </cfRule>
  </conditionalFormatting>
  <conditionalFormatting sqref="AS62">
    <cfRule type="cellIs" dxfId="0" priority="433" operator="lessThan">
      <formula>20</formula>
    </cfRule>
    <cfRule type="cellIs" dxfId="1" priority="270" operator="greaterThan">
      <formula>120</formula>
    </cfRule>
    <cfRule type="containsText" dxfId="3" priority="107" operator="between" text="库存">
      <formula>NOT(ISERROR(SEARCH("库存",AS62)))</formula>
    </cfRule>
  </conditionalFormatting>
  <conditionalFormatting sqref="AS63">
    <cfRule type="cellIs" dxfId="0" priority="432" operator="lessThan">
      <formula>20</formula>
    </cfRule>
    <cfRule type="cellIs" dxfId="1" priority="269" operator="greaterThan">
      <formula>120</formula>
    </cfRule>
    <cfRule type="containsText" dxfId="3" priority="106" operator="between" text="库存">
      <formula>NOT(ISERROR(SEARCH("库存",AS63)))</formula>
    </cfRule>
  </conditionalFormatting>
  <conditionalFormatting sqref="AS64">
    <cfRule type="cellIs" dxfId="0" priority="431" operator="lessThan">
      <formula>20</formula>
    </cfRule>
    <cfRule type="cellIs" dxfId="1" priority="268" operator="greaterThan">
      <formula>120</formula>
    </cfRule>
    <cfRule type="containsText" dxfId="3" priority="105" operator="between" text="库存">
      <formula>NOT(ISERROR(SEARCH("库存",AS64)))</formula>
    </cfRule>
  </conditionalFormatting>
  <conditionalFormatting sqref="AS65">
    <cfRule type="cellIs" dxfId="0" priority="430" operator="lessThan">
      <formula>20</formula>
    </cfRule>
    <cfRule type="cellIs" dxfId="1" priority="267" operator="greaterThan">
      <formula>120</formula>
    </cfRule>
    <cfRule type="containsText" dxfId="3" priority="104" operator="between" text="库存">
      <formula>NOT(ISERROR(SEARCH("库存",AS65)))</formula>
    </cfRule>
  </conditionalFormatting>
  <conditionalFormatting sqref="AS66">
    <cfRule type="cellIs" dxfId="0" priority="429" operator="lessThan">
      <formula>20</formula>
    </cfRule>
    <cfRule type="cellIs" dxfId="1" priority="266" operator="greaterThan">
      <formula>120</formula>
    </cfRule>
    <cfRule type="containsText" dxfId="3" priority="103" operator="between" text="库存">
      <formula>NOT(ISERROR(SEARCH("库存",AS66)))</formula>
    </cfRule>
  </conditionalFormatting>
  <conditionalFormatting sqref="AS67">
    <cfRule type="cellIs" dxfId="0" priority="428" operator="lessThan">
      <formula>20</formula>
    </cfRule>
    <cfRule type="cellIs" dxfId="1" priority="265" operator="greaterThan">
      <formula>120</formula>
    </cfRule>
    <cfRule type="containsText" dxfId="3" priority="102" operator="between" text="库存">
      <formula>NOT(ISERROR(SEARCH("库存",AS67)))</formula>
    </cfRule>
  </conditionalFormatting>
  <conditionalFormatting sqref="AS68">
    <cfRule type="cellIs" dxfId="0" priority="427" operator="lessThan">
      <formula>20</formula>
    </cfRule>
    <cfRule type="cellIs" dxfId="1" priority="264" operator="greaterThan">
      <formula>120</formula>
    </cfRule>
    <cfRule type="containsText" dxfId="3" priority="101" operator="between" text="库存">
      <formula>NOT(ISERROR(SEARCH("库存",AS68)))</formula>
    </cfRule>
  </conditionalFormatting>
  <conditionalFormatting sqref="AS69">
    <cfRule type="cellIs" dxfId="0" priority="426" operator="lessThan">
      <formula>20</formula>
    </cfRule>
    <cfRule type="cellIs" dxfId="1" priority="263" operator="greaterThan">
      <formula>120</formula>
    </cfRule>
    <cfRule type="containsText" dxfId="3" priority="100" operator="between" text="库存">
      <formula>NOT(ISERROR(SEARCH("库存",AS69)))</formula>
    </cfRule>
  </conditionalFormatting>
  <conditionalFormatting sqref="AS70">
    <cfRule type="cellIs" dxfId="0" priority="425" operator="lessThan">
      <formula>20</formula>
    </cfRule>
    <cfRule type="cellIs" dxfId="1" priority="262" operator="greaterThan">
      <formula>120</formula>
    </cfRule>
    <cfRule type="containsText" dxfId="3" priority="99" operator="between" text="库存">
      <formula>NOT(ISERROR(SEARCH("库存",AS70)))</formula>
    </cfRule>
  </conditionalFormatting>
  <conditionalFormatting sqref="AS71">
    <cfRule type="cellIs" dxfId="0" priority="424" operator="lessThan">
      <formula>20</formula>
    </cfRule>
    <cfRule type="cellIs" dxfId="1" priority="261" operator="greaterThan">
      <formula>120</formula>
    </cfRule>
    <cfRule type="containsText" dxfId="3" priority="98" operator="between" text="库存">
      <formula>NOT(ISERROR(SEARCH("库存",AS71)))</formula>
    </cfRule>
  </conditionalFormatting>
  <conditionalFormatting sqref="AS72">
    <cfRule type="cellIs" dxfId="0" priority="423" operator="lessThan">
      <formula>20</formula>
    </cfRule>
    <cfRule type="cellIs" dxfId="1" priority="260" operator="greaterThan">
      <formula>120</formula>
    </cfRule>
    <cfRule type="containsText" dxfId="3" priority="97" operator="between" text="库存">
      <formula>NOT(ISERROR(SEARCH("库存",AS72)))</formula>
    </cfRule>
  </conditionalFormatting>
  <conditionalFormatting sqref="AS73">
    <cfRule type="cellIs" dxfId="0" priority="422" operator="lessThan">
      <formula>20</formula>
    </cfRule>
    <cfRule type="cellIs" dxfId="1" priority="259" operator="greaterThan">
      <formula>120</formula>
    </cfRule>
    <cfRule type="containsText" dxfId="3" priority="96" operator="between" text="库存">
      <formula>NOT(ISERROR(SEARCH("库存",AS73)))</formula>
    </cfRule>
  </conditionalFormatting>
  <conditionalFormatting sqref="AS74">
    <cfRule type="cellIs" dxfId="0" priority="421" operator="lessThan">
      <formula>20</formula>
    </cfRule>
    <cfRule type="cellIs" dxfId="1" priority="258" operator="greaterThan">
      <formula>120</formula>
    </cfRule>
    <cfRule type="containsText" dxfId="3" priority="95" operator="between" text="库存">
      <formula>NOT(ISERROR(SEARCH("库存",AS74)))</formula>
    </cfRule>
  </conditionalFormatting>
  <conditionalFormatting sqref="AS75">
    <cfRule type="cellIs" dxfId="0" priority="420" operator="lessThan">
      <formula>20</formula>
    </cfRule>
    <cfRule type="cellIs" dxfId="1" priority="257" operator="greaterThan">
      <formula>120</formula>
    </cfRule>
    <cfRule type="containsText" dxfId="3" priority="94" operator="between" text="库存">
      <formula>NOT(ISERROR(SEARCH("库存",AS75)))</formula>
    </cfRule>
  </conditionalFormatting>
  <conditionalFormatting sqref="AS76">
    <cfRule type="cellIs" dxfId="0" priority="419" operator="lessThan">
      <formula>20</formula>
    </cfRule>
    <cfRule type="cellIs" dxfId="1" priority="256" operator="greaterThan">
      <formula>120</formula>
    </cfRule>
    <cfRule type="containsText" dxfId="3" priority="93" operator="between" text="库存">
      <formula>NOT(ISERROR(SEARCH("库存",AS76)))</formula>
    </cfRule>
  </conditionalFormatting>
  <conditionalFormatting sqref="AS77">
    <cfRule type="cellIs" dxfId="0" priority="418" operator="lessThan">
      <formula>20</formula>
    </cfRule>
    <cfRule type="cellIs" dxfId="1" priority="255" operator="greaterThan">
      <formula>120</formula>
    </cfRule>
    <cfRule type="containsText" dxfId="3" priority="92" operator="between" text="库存">
      <formula>NOT(ISERROR(SEARCH("库存",AS77)))</formula>
    </cfRule>
  </conditionalFormatting>
  <conditionalFormatting sqref="AS78">
    <cfRule type="cellIs" dxfId="0" priority="417" operator="lessThan">
      <formula>20</formula>
    </cfRule>
    <cfRule type="cellIs" dxfId="1" priority="254" operator="greaterThan">
      <formula>120</formula>
    </cfRule>
    <cfRule type="containsText" dxfId="3" priority="91" operator="between" text="库存">
      <formula>NOT(ISERROR(SEARCH("库存",AS78)))</formula>
    </cfRule>
  </conditionalFormatting>
  <conditionalFormatting sqref="AS79">
    <cfRule type="cellIs" dxfId="0" priority="416" operator="lessThan">
      <formula>20</formula>
    </cfRule>
    <cfRule type="cellIs" dxfId="1" priority="253" operator="greaterThan">
      <formula>120</formula>
    </cfRule>
    <cfRule type="containsText" dxfId="3" priority="90" operator="between" text="库存">
      <formula>NOT(ISERROR(SEARCH("库存",AS79)))</formula>
    </cfRule>
  </conditionalFormatting>
  <conditionalFormatting sqref="AS80">
    <cfRule type="cellIs" dxfId="0" priority="415" operator="lessThan">
      <formula>20</formula>
    </cfRule>
    <cfRule type="cellIs" dxfId="1" priority="252" operator="greaterThan">
      <formula>120</formula>
    </cfRule>
    <cfRule type="containsText" dxfId="3" priority="89" operator="between" text="库存">
      <formula>NOT(ISERROR(SEARCH("库存",AS80)))</formula>
    </cfRule>
  </conditionalFormatting>
  <conditionalFormatting sqref="AS81">
    <cfRule type="cellIs" dxfId="0" priority="414" operator="lessThan">
      <formula>20</formula>
    </cfRule>
    <cfRule type="cellIs" dxfId="1" priority="251" operator="greaterThan">
      <formula>120</formula>
    </cfRule>
    <cfRule type="containsText" dxfId="3" priority="88" operator="between" text="库存">
      <formula>NOT(ISERROR(SEARCH("库存",AS81)))</formula>
    </cfRule>
  </conditionalFormatting>
  <conditionalFormatting sqref="AS82">
    <cfRule type="cellIs" dxfId="0" priority="413" operator="lessThan">
      <formula>20</formula>
    </cfRule>
    <cfRule type="cellIs" dxfId="1" priority="250" operator="greaterThan">
      <formula>120</formula>
    </cfRule>
    <cfRule type="containsText" dxfId="3" priority="87" operator="between" text="库存">
      <formula>NOT(ISERROR(SEARCH("库存",AS82)))</formula>
    </cfRule>
  </conditionalFormatting>
  <conditionalFormatting sqref="AS83">
    <cfRule type="cellIs" dxfId="0" priority="412" operator="lessThan">
      <formula>20</formula>
    </cfRule>
    <cfRule type="cellIs" dxfId="1" priority="249" operator="greaterThan">
      <formula>120</formula>
    </cfRule>
    <cfRule type="containsText" dxfId="3" priority="86" operator="between" text="库存">
      <formula>NOT(ISERROR(SEARCH("库存",AS83)))</formula>
    </cfRule>
  </conditionalFormatting>
  <conditionalFormatting sqref="AS84">
    <cfRule type="cellIs" dxfId="0" priority="411" operator="lessThan">
      <formula>20</formula>
    </cfRule>
    <cfRule type="cellIs" dxfId="1" priority="248" operator="greaterThan">
      <formula>120</formula>
    </cfRule>
    <cfRule type="containsText" dxfId="3" priority="85" operator="between" text="库存">
      <formula>NOT(ISERROR(SEARCH("库存",AS84)))</formula>
    </cfRule>
  </conditionalFormatting>
  <conditionalFormatting sqref="AS85">
    <cfRule type="cellIs" dxfId="0" priority="410" operator="lessThan">
      <formula>20</formula>
    </cfRule>
    <cfRule type="cellIs" dxfId="1" priority="247" operator="greaterThan">
      <formula>120</formula>
    </cfRule>
    <cfRule type="containsText" dxfId="3" priority="84" operator="between" text="库存">
      <formula>NOT(ISERROR(SEARCH("库存",AS85)))</formula>
    </cfRule>
  </conditionalFormatting>
  <conditionalFormatting sqref="AS86">
    <cfRule type="cellIs" dxfId="0" priority="409" operator="lessThan">
      <formula>20</formula>
    </cfRule>
    <cfRule type="cellIs" dxfId="1" priority="246" operator="greaterThan">
      <formula>120</formula>
    </cfRule>
    <cfRule type="containsText" dxfId="3" priority="83" operator="between" text="库存">
      <formula>NOT(ISERROR(SEARCH("库存",AS86)))</formula>
    </cfRule>
  </conditionalFormatting>
  <conditionalFormatting sqref="AS87">
    <cfRule type="cellIs" dxfId="0" priority="408" operator="lessThan">
      <formula>20</formula>
    </cfRule>
    <cfRule type="cellIs" dxfId="1" priority="245" operator="greaterThan">
      <formula>120</formula>
    </cfRule>
    <cfRule type="containsText" dxfId="3" priority="82" operator="between" text="库存">
      <formula>NOT(ISERROR(SEARCH("库存",AS87)))</formula>
    </cfRule>
  </conditionalFormatting>
  <conditionalFormatting sqref="AS88">
    <cfRule type="cellIs" dxfId="0" priority="407" operator="lessThan">
      <formula>20</formula>
    </cfRule>
    <cfRule type="cellIs" dxfId="1" priority="244" operator="greaterThan">
      <formula>120</formula>
    </cfRule>
    <cfRule type="containsText" dxfId="3" priority="81" operator="between" text="库存">
      <formula>NOT(ISERROR(SEARCH("库存",AS88)))</formula>
    </cfRule>
  </conditionalFormatting>
  <conditionalFormatting sqref="AS89">
    <cfRule type="cellIs" dxfId="0" priority="406" operator="lessThan">
      <formula>20</formula>
    </cfRule>
    <cfRule type="cellIs" dxfId="1" priority="243" operator="greaterThan">
      <formula>120</formula>
    </cfRule>
    <cfRule type="containsText" dxfId="3" priority="80" operator="between" text="库存">
      <formula>NOT(ISERROR(SEARCH("库存",AS89)))</formula>
    </cfRule>
  </conditionalFormatting>
  <conditionalFormatting sqref="AS90">
    <cfRule type="cellIs" dxfId="0" priority="405" operator="lessThan">
      <formula>20</formula>
    </cfRule>
    <cfRule type="cellIs" dxfId="1" priority="242" operator="greaterThan">
      <formula>120</formula>
    </cfRule>
    <cfRule type="containsText" dxfId="3" priority="79" operator="between" text="库存">
      <formula>NOT(ISERROR(SEARCH("库存",AS90)))</formula>
    </cfRule>
  </conditionalFormatting>
  <conditionalFormatting sqref="AS91">
    <cfRule type="cellIs" dxfId="0" priority="404" operator="lessThan">
      <formula>20</formula>
    </cfRule>
    <cfRule type="cellIs" dxfId="1" priority="241" operator="greaterThan">
      <formula>120</formula>
    </cfRule>
    <cfRule type="containsText" dxfId="3" priority="78" operator="between" text="库存">
      <formula>NOT(ISERROR(SEARCH("库存",AS91)))</formula>
    </cfRule>
  </conditionalFormatting>
  <conditionalFormatting sqref="AS92">
    <cfRule type="cellIs" dxfId="0" priority="403" operator="lessThan">
      <formula>20</formula>
    </cfRule>
    <cfRule type="cellIs" dxfId="1" priority="240" operator="greaterThan">
      <formula>120</formula>
    </cfRule>
    <cfRule type="containsText" dxfId="3" priority="77" operator="between" text="库存">
      <formula>NOT(ISERROR(SEARCH("库存",AS92)))</formula>
    </cfRule>
  </conditionalFormatting>
  <conditionalFormatting sqref="AS93">
    <cfRule type="cellIs" dxfId="0" priority="402" operator="lessThan">
      <formula>20</formula>
    </cfRule>
    <cfRule type="cellIs" dxfId="1" priority="239" operator="greaterThan">
      <formula>120</formula>
    </cfRule>
    <cfRule type="containsText" dxfId="3" priority="76" operator="between" text="库存">
      <formula>NOT(ISERROR(SEARCH("库存",AS93)))</formula>
    </cfRule>
  </conditionalFormatting>
  <conditionalFormatting sqref="AS94">
    <cfRule type="cellIs" dxfId="0" priority="401" operator="lessThan">
      <formula>20</formula>
    </cfRule>
    <cfRule type="cellIs" dxfId="1" priority="238" operator="greaterThan">
      <formula>120</formula>
    </cfRule>
    <cfRule type="containsText" dxfId="3" priority="75" operator="between" text="库存">
      <formula>NOT(ISERROR(SEARCH("库存",AS94)))</formula>
    </cfRule>
  </conditionalFormatting>
  <conditionalFormatting sqref="AS95">
    <cfRule type="cellIs" dxfId="0" priority="400" operator="lessThan">
      <formula>20</formula>
    </cfRule>
    <cfRule type="cellIs" dxfId="1" priority="237" operator="greaterThan">
      <formula>120</formula>
    </cfRule>
    <cfRule type="containsText" dxfId="3" priority="74" operator="between" text="库存">
      <formula>NOT(ISERROR(SEARCH("库存",AS95)))</formula>
    </cfRule>
  </conditionalFormatting>
  <conditionalFormatting sqref="AS96">
    <cfRule type="cellIs" dxfId="0" priority="399" operator="lessThan">
      <formula>20</formula>
    </cfRule>
    <cfRule type="cellIs" dxfId="1" priority="236" operator="greaterThan">
      <formula>120</formula>
    </cfRule>
    <cfRule type="containsText" dxfId="3" priority="73" operator="between" text="库存">
      <formula>NOT(ISERROR(SEARCH("库存",AS96)))</formula>
    </cfRule>
  </conditionalFormatting>
  <conditionalFormatting sqref="AS97">
    <cfRule type="cellIs" dxfId="0" priority="398" operator="lessThan">
      <formula>20</formula>
    </cfRule>
    <cfRule type="cellIs" dxfId="1" priority="235" operator="greaterThan">
      <formula>120</formula>
    </cfRule>
    <cfRule type="containsText" dxfId="3" priority="72" operator="between" text="库存">
      <formula>NOT(ISERROR(SEARCH("库存",AS97)))</formula>
    </cfRule>
  </conditionalFormatting>
  <conditionalFormatting sqref="AS98">
    <cfRule type="cellIs" dxfId="0" priority="397" operator="lessThan">
      <formula>20</formula>
    </cfRule>
    <cfRule type="cellIs" dxfId="1" priority="234" operator="greaterThan">
      <formula>120</formula>
    </cfRule>
    <cfRule type="containsText" dxfId="3" priority="71" operator="between" text="库存">
      <formula>NOT(ISERROR(SEARCH("库存",AS98)))</formula>
    </cfRule>
  </conditionalFormatting>
  <conditionalFormatting sqref="AS99">
    <cfRule type="cellIs" dxfId="0" priority="396" operator="lessThan">
      <formula>20</formula>
    </cfRule>
    <cfRule type="cellIs" dxfId="1" priority="233" operator="greaterThan">
      <formula>120</formula>
    </cfRule>
    <cfRule type="containsText" dxfId="3" priority="70" operator="between" text="库存">
      <formula>NOT(ISERROR(SEARCH("库存",AS99)))</formula>
    </cfRule>
  </conditionalFormatting>
  <conditionalFormatting sqref="AS100">
    <cfRule type="cellIs" dxfId="0" priority="395" operator="lessThan">
      <formula>20</formula>
    </cfRule>
    <cfRule type="cellIs" dxfId="1" priority="232" operator="greaterThan">
      <formula>120</formula>
    </cfRule>
    <cfRule type="containsText" dxfId="3" priority="69" operator="between" text="库存">
      <formula>NOT(ISERROR(SEARCH("库存",AS100)))</formula>
    </cfRule>
  </conditionalFormatting>
  <conditionalFormatting sqref="AS101">
    <cfRule type="cellIs" dxfId="0" priority="394" operator="lessThan">
      <formula>20</formula>
    </cfRule>
    <cfRule type="cellIs" dxfId="1" priority="231" operator="greaterThan">
      <formula>120</formula>
    </cfRule>
    <cfRule type="containsText" dxfId="3" priority="68" operator="between" text="库存">
      <formula>NOT(ISERROR(SEARCH("库存",AS101)))</formula>
    </cfRule>
  </conditionalFormatting>
  <conditionalFormatting sqref="AS102">
    <cfRule type="cellIs" dxfId="0" priority="393" operator="lessThan">
      <formula>20</formula>
    </cfRule>
    <cfRule type="cellIs" dxfId="1" priority="230" operator="greaterThan">
      <formula>120</formula>
    </cfRule>
    <cfRule type="containsText" dxfId="3" priority="67" operator="between" text="库存">
      <formula>NOT(ISERROR(SEARCH("库存",AS102)))</formula>
    </cfRule>
  </conditionalFormatting>
  <conditionalFormatting sqref="AS103">
    <cfRule type="cellIs" dxfId="0" priority="392" operator="lessThan">
      <formula>20</formula>
    </cfRule>
    <cfRule type="cellIs" dxfId="1" priority="229" operator="greaterThan">
      <formula>120</formula>
    </cfRule>
    <cfRule type="containsText" dxfId="3" priority="66" operator="between" text="库存">
      <formula>NOT(ISERROR(SEARCH("库存",AS103)))</formula>
    </cfRule>
  </conditionalFormatting>
  <conditionalFormatting sqref="AS104">
    <cfRule type="cellIs" dxfId="0" priority="391" operator="lessThan">
      <formula>20</formula>
    </cfRule>
    <cfRule type="cellIs" dxfId="1" priority="228" operator="greaterThan">
      <formula>120</formula>
    </cfRule>
    <cfRule type="containsText" dxfId="3" priority="65" operator="between" text="库存">
      <formula>NOT(ISERROR(SEARCH("库存",AS104)))</formula>
    </cfRule>
  </conditionalFormatting>
  <conditionalFormatting sqref="AS105">
    <cfRule type="cellIs" dxfId="0" priority="390" operator="lessThan">
      <formula>20</formula>
    </cfRule>
    <cfRule type="cellIs" dxfId="1" priority="227" operator="greaterThan">
      <formula>120</formula>
    </cfRule>
    <cfRule type="containsText" dxfId="3" priority="64" operator="between" text="库存">
      <formula>NOT(ISERROR(SEARCH("库存",AS105)))</formula>
    </cfRule>
  </conditionalFormatting>
  <conditionalFormatting sqref="AS106">
    <cfRule type="cellIs" dxfId="0" priority="389" operator="lessThan">
      <formula>20</formula>
    </cfRule>
    <cfRule type="cellIs" dxfId="1" priority="226" operator="greaterThan">
      <formula>120</formula>
    </cfRule>
    <cfRule type="containsText" dxfId="3" priority="63" operator="between" text="库存">
      <formula>NOT(ISERROR(SEARCH("库存",AS106)))</formula>
    </cfRule>
  </conditionalFormatting>
  <conditionalFormatting sqref="AS107">
    <cfRule type="cellIs" dxfId="0" priority="388" operator="lessThan">
      <formula>20</formula>
    </cfRule>
    <cfRule type="cellIs" dxfId="1" priority="225" operator="greaterThan">
      <formula>120</formula>
    </cfRule>
    <cfRule type="containsText" dxfId="3" priority="62" operator="between" text="库存">
      <formula>NOT(ISERROR(SEARCH("库存",AS107)))</formula>
    </cfRule>
  </conditionalFormatting>
  <conditionalFormatting sqref="AS108">
    <cfRule type="cellIs" dxfId="0" priority="387" operator="lessThan">
      <formula>20</formula>
    </cfRule>
    <cfRule type="cellIs" dxfId="1" priority="224" operator="greaterThan">
      <formula>120</formula>
    </cfRule>
    <cfRule type="containsText" dxfId="3" priority="61" operator="between" text="库存">
      <formula>NOT(ISERROR(SEARCH("库存",AS108)))</formula>
    </cfRule>
  </conditionalFormatting>
  <conditionalFormatting sqref="AS109">
    <cfRule type="cellIs" dxfId="0" priority="386" operator="lessThan">
      <formula>20</formula>
    </cfRule>
    <cfRule type="cellIs" dxfId="1" priority="223" operator="greaterThan">
      <formula>120</formula>
    </cfRule>
    <cfRule type="containsText" dxfId="3" priority="60" operator="between" text="库存">
      <formula>NOT(ISERROR(SEARCH("库存",AS109)))</formula>
    </cfRule>
  </conditionalFormatting>
  <conditionalFormatting sqref="AS110">
    <cfRule type="cellIs" dxfId="0" priority="385" operator="lessThan">
      <formula>20</formula>
    </cfRule>
    <cfRule type="cellIs" dxfId="1" priority="222" operator="greaterThan">
      <formula>120</formula>
    </cfRule>
    <cfRule type="containsText" dxfId="3" priority="59" operator="between" text="库存">
      <formula>NOT(ISERROR(SEARCH("库存",AS110)))</formula>
    </cfRule>
  </conditionalFormatting>
  <conditionalFormatting sqref="AS111">
    <cfRule type="cellIs" dxfId="0" priority="384" operator="lessThan">
      <formula>20</formula>
    </cfRule>
    <cfRule type="cellIs" dxfId="1" priority="221" operator="greaterThan">
      <formula>120</formula>
    </cfRule>
    <cfRule type="containsText" dxfId="3" priority="58" operator="between" text="库存">
      <formula>NOT(ISERROR(SEARCH("库存",AS111)))</formula>
    </cfRule>
  </conditionalFormatting>
  <conditionalFormatting sqref="AS112">
    <cfRule type="cellIs" dxfId="0" priority="383" operator="lessThan">
      <formula>20</formula>
    </cfRule>
    <cfRule type="cellIs" dxfId="1" priority="220" operator="greaterThan">
      <formula>120</formula>
    </cfRule>
    <cfRule type="containsText" dxfId="3" priority="57" operator="between" text="库存">
      <formula>NOT(ISERROR(SEARCH("库存",AS112)))</formula>
    </cfRule>
  </conditionalFormatting>
  <conditionalFormatting sqref="AS113">
    <cfRule type="cellIs" dxfId="0" priority="382" operator="lessThan">
      <formula>20</formula>
    </cfRule>
    <cfRule type="cellIs" dxfId="1" priority="219" operator="greaterThan">
      <formula>120</formula>
    </cfRule>
    <cfRule type="containsText" dxfId="3" priority="56" operator="between" text="库存">
      <formula>NOT(ISERROR(SEARCH("库存",AS113)))</formula>
    </cfRule>
  </conditionalFormatting>
  <conditionalFormatting sqref="AS114">
    <cfRule type="cellIs" dxfId="0" priority="381" operator="lessThan">
      <formula>20</formula>
    </cfRule>
    <cfRule type="cellIs" dxfId="1" priority="218" operator="greaterThan">
      <formula>120</formula>
    </cfRule>
    <cfRule type="containsText" dxfId="3" priority="55" operator="between" text="库存">
      <formula>NOT(ISERROR(SEARCH("库存",AS114)))</formula>
    </cfRule>
  </conditionalFormatting>
  <conditionalFormatting sqref="AS115">
    <cfRule type="cellIs" dxfId="0" priority="380" operator="lessThan">
      <formula>20</formula>
    </cfRule>
    <cfRule type="cellIs" dxfId="1" priority="217" operator="greaterThan">
      <formula>120</formula>
    </cfRule>
    <cfRule type="containsText" dxfId="3" priority="54" operator="between" text="库存">
      <formula>NOT(ISERROR(SEARCH("库存",AS115)))</formula>
    </cfRule>
  </conditionalFormatting>
  <conditionalFormatting sqref="AS116">
    <cfRule type="cellIs" dxfId="0" priority="379" operator="lessThan">
      <formula>20</formula>
    </cfRule>
    <cfRule type="cellIs" dxfId="1" priority="216" operator="greaterThan">
      <formula>120</formula>
    </cfRule>
    <cfRule type="containsText" dxfId="3" priority="53" operator="between" text="库存">
      <formula>NOT(ISERROR(SEARCH("库存",AS116)))</formula>
    </cfRule>
  </conditionalFormatting>
  <conditionalFormatting sqref="AS117">
    <cfRule type="cellIs" dxfId="0" priority="378" operator="lessThan">
      <formula>20</formula>
    </cfRule>
    <cfRule type="cellIs" dxfId="1" priority="215" operator="greaterThan">
      <formula>120</formula>
    </cfRule>
    <cfRule type="containsText" dxfId="3" priority="52" operator="between" text="库存">
      <formula>NOT(ISERROR(SEARCH("库存",AS117)))</formula>
    </cfRule>
  </conditionalFormatting>
  <conditionalFormatting sqref="AS118">
    <cfRule type="cellIs" dxfId="0" priority="377" operator="lessThan">
      <formula>20</formula>
    </cfRule>
    <cfRule type="cellIs" dxfId="1" priority="214" operator="greaterThan">
      <formula>120</formula>
    </cfRule>
    <cfRule type="containsText" dxfId="3" priority="51" operator="between" text="库存">
      <formula>NOT(ISERROR(SEARCH("库存",AS118)))</formula>
    </cfRule>
  </conditionalFormatting>
  <conditionalFormatting sqref="AS119">
    <cfRule type="cellIs" dxfId="0" priority="376" operator="lessThan">
      <formula>20</formula>
    </cfRule>
    <cfRule type="cellIs" dxfId="1" priority="213" operator="greaterThan">
      <formula>120</formula>
    </cfRule>
    <cfRule type="containsText" dxfId="3" priority="50" operator="between" text="库存">
      <formula>NOT(ISERROR(SEARCH("库存",AS119)))</formula>
    </cfRule>
  </conditionalFormatting>
  <conditionalFormatting sqref="AS120">
    <cfRule type="cellIs" dxfId="0" priority="375" operator="lessThan">
      <formula>20</formula>
    </cfRule>
    <cfRule type="cellIs" dxfId="1" priority="212" operator="greaterThan">
      <formula>120</formula>
    </cfRule>
    <cfRule type="containsText" dxfId="3" priority="49" operator="between" text="库存">
      <formula>NOT(ISERROR(SEARCH("库存",AS120)))</formula>
    </cfRule>
  </conditionalFormatting>
  <conditionalFormatting sqref="AS121">
    <cfRule type="cellIs" dxfId="0" priority="374" operator="lessThan">
      <formula>20</formula>
    </cfRule>
    <cfRule type="cellIs" dxfId="1" priority="211" operator="greaterThan">
      <formula>120</formula>
    </cfRule>
    <cfRule type="containsText" dxfId="3" priority="48" operator="between" text="库存">
      <formula>NOT(ISERROR(SEARCH("库存",AS121)))</formula>
    </cfRule>
  </conditionalFormatting>
  <conditionalFormatting sqref="AS122">
    <cfRule type="cellIs" dxfId="0" priority="373" operator="lessThan">
      <formula>20</formula>
    </cfRule>
    <cfRule type="cellIs" dxfId="1" priority="210" operator="greaterThan">
      <formula>120</formula>
    </cfRule>
    <cfRule type="containsText" dxfId="3" priority="47" operator="between" text="库存">
      <formula>NOT(ISERROR(SEARCH("库存",AS122)))</formula>
    </cfRule>
  </conditionalFormatting>
  <conditionalFormatting sqref="AS123">
    <cfRule type="cellIs" dxfId="0" priority="372" operator="lessThan">
      <formula>20</formula>
    </cfRule>
    <cfRule type="cellIs" dxfId="1" priority="209" operator="greaterThan">
      <formula>120</formula>
    </cfRule>
    <cfRule type="containsText" dxfId="3" priority="46" operator="between" text="库存">
      <formula>NOT(ISERROR(SEARCH("库存",AS123)))</formula>
    </cfRule>
  </conditionalFormatting>
  <conditionalFormatting sqref="AS124">
    <cfRule type="cellIs" dxfId="0" priority="371" operator="lessThan">
      <formula>20</formula>
    </cfRule>
    <cfRule type="cellIs" dxfId="1" priority="208" operator="greaterThan">
      <formula>120</formula>
    </cfRule>
    <cfRule type="containsText" dxfId="3" priority="45" operator="between" text="库存">
      <formula>NOT(ISERROR(SEARCH("库存",AS124)))</formula>
    </cfRule>
  </conditionalFormatting>
  <conditionalFormatting sqref="AS125">
    <cfRule type="cellIs" dxfId="0" priority="370" operator="lessThan">
      <formula>20</formula>
    </cfRule>
    <cfRule type="cellIs" dxfId="1" priority="207" operator="greaterThan">
      <formula>120</formula>
    </cfRule>
    <cfRule type="containsText" dxfId="3" priority="44" operator="between" text="库存">
      <formula>NOT(ISERROR(SEARCH("库存",AS125)))</formula>
    </cfRule>
  </conditionalFormatting>
  <conditionalFormatting sqref="AS126">
    <cfRule type="cellIs" dxfId="0" priority="369" operator="lessThan">
      <formula>20</formula>
    </cfRule>
    <cfRule type="cellIs" dxfId="1" priority="206" operator="greaterThan">
      <formula>120</formula>
    </cfRule>
    <cfRule type="containsText" dxfId="3" priority="43" operator="between" text="库存">
      <formula>NOT(ISERROR(SEARCH("库存",AS126)))</formula>
    </cfRule>
  </conditionalFormatting>
  <conditionalFormatting sqref="AS127">
    <cfRule type="cellIs" dxfId="0" priority="368" operator="lessThan">
      <formula>20</formula>
    </cfRule>
    <cfRule type="cellIs" dxfId="1" priority="205" operator="greaterThan">
      <formula>120</formula>
    </cfRule>
    <cfRule type="containsText" dxfId="3" priority="42" operator="between" text="库存">
      <formula>NOT(ISERROR(SEARCH("库存",AS127)))</formula>
    </cfRule>
  </conditionalFormatting>
  <conditionalFormatting sqref="AS128">
    <cfRule type="cellIs" dxfId="0" priority="367" operator="lessThan">
      <formula>20</formula>
    </cfRule>
    <cfRule type="cellIs" dxfId="1" priority="204" operator="greaterThan">
      <formula>120</formula>
    </cfRule>
    <cfRule type="containsText" dxfId="3" priority="41" operator="between" text="库存">
      <formula>NOT(ISERROR(SEARCH("库存",AS128)))</formula>
    </cfRule>
  </conditionalFormatting>
  <conditionalFormatting sqref="AS129">
    <cfRule type="cellIs" dxfId="0" priority="366" operator="lessThan">
      <formula>20</formula>
    </cfRule>
    <cfRule type="cellIs" dxfId="1" priority="203" operator="greaterThan">
      <formula>120</formula>
    </cfRule>
    <cfRule type="containsText" dxfId="3" priority="40" operator="between" text="库存">
      <formula>NOT(ISERROR(SEARCH("库存",AS129)))</formula>
    </cfRule>
  </conditionalFormatting>
  <conditionalFormatting sqref="AS130">
    <cfRule type="cellIs" dxfId="0" priority="365" operator="lessThan">
      <formula>20</formula>
    </cfRule>
    <cfRule type="cellIs" dxfId="1" priority="202" operator="greaterThan">
      <formula>120</formula>
    </cfRule>
    <cfRule type="containsText" dxfId="3" priority="39" operator="between" text="库存">
      <formula>NOT(ISERROR(SEARCH("库存",AS130)))</formula>
    </cfRule>
  </conditionalFormatting>
  <conditionalFormatting sqref="AS131">
    <cfRule type="cellIs" dxfId="0" priority="364" operator="lessThan">
      <formula>20</formula>
    </cfRule>
    <cfRule type="cellIs" dxfId="1" priority="201" operator="greaterThan">
      <formula>120</formula>
    </cfRule>
    <cfRule type="containsText" dxfId="3" priority="38" operator="between" text="库存">
      <formula>NOT(ISERROR(SEARCH("库存",AS131)))</formula>
    </cfRule>
  </conditionalFormatting>
  <conditionalFormatting sqref="AS132">
    <cfRule type="cellIs" dxfId="0" priority="363" operator="lessThan">
      <formula>20</formula>
    </cfRule>
    <cfRule type="cellIs" dxfId="1" priority="200" operator="greaterThan">
      <formula>120</formula>
    </cfRule>
    <cfRule type="containsText" dxfId="3" priority="37" operator="between" text="库存">
      <formula>NOT(ISERROR(SEARCH("库存",AS132)))</formula>
    </cfRule>
  </conditionalFormatting>
  <conditionalFormatting sqref="AS133">
    <cfRule type="cellIs" dxfId="0" priority="362" operator="lessThan">
      <formula>20</formula>
    </cfRule>
    <cfRule type="cellIs" dxfId="1" priority="199" operator="greaterThan">
      <formula>120</formula>
    </cfRule>
    <cfRule type="containsText" dxfId="3" priority="36" operator="between" text="库存">
      <formula>NOT(ISERROR(SEARCH("库存",AS133)))</formula>
    </cfRule>
  </conditionalFormatting>
  <conditionalFormatting sqref="AS134">
    <cfRule type="cellIs" dxfId="0" priority="361" operator="lessThan">
      <formula>20</formula>
    </cfRule>
    <cfRule type="cellIs" dxfId="1" priority="198" operator="greaterThan">
      <formula>120</formula>
    </cfRule>
    <cfRule type="containsText" dxfId="3" priority="35" operator="between" text="库存">
      <formula>NOT(ISERROR(SEARCH("库存",AS134)))</formula>
    </cfRule>
  </conditionalFormatting>
  <conditionalFormatting sqref="AS135">
    <cfRule type="cellIs" dxfId="0" priority="360" operator="lessThan">
      <formula>20</formula>
    </cfRule>
    <cfRule type="cellIs" dxfId="1" priority="197" operator="greaterThan">
      <formula>120</formula>
    </cfRule>
    <cfRule type="containsText" dxfId="3" priority="34" operator="between" text="库存">
      <formula>NOT(ISERROR(SEARCH("库存",AS135)))</formula>
    </cfRule>
  </conditionalFormatting>
  <conditionalFormatting sqref="AS136">
    <cfRule type="cellIs" dxfId="0" priority="359" operator="lessThan">
      <formula>20</formula>
    </cfRule>
    <cfRule type="cellIs" dxfId="1" priority="196" operator="greaterThan">
      <formula>120</formula>
    </cfRule>
    <cfRule type="containsText" dxfId="3" priority="33" operator="between" text="库存">
      <formula>NOT(ISERROR(SEARCH("库存",AS136)))</formula>
    </cfRule>
  </conditionalFormatting>
  <conditionalFormatting sqref="AS137">
    <cfRule type="cellIs" dxfId="0" priority="358" operator="lessThan">
      <formula>20</formula>
    </cfRule>
    <cfRule type="cellIs" dxfId="1" priority="195" operator="greaterThan">
      <formula>120</formula>
    </cfRule>
    <cfRule type="containsText" dxfId="3" priority="32" operator="between" text="库存">
      <formula>NOT(ISERROR(SEARCH("库存",AS137)))</formula>
    </cfRule>
  </conditionalFormatting>
  <conditionalFormatting sqref="AS138">
    <cfRule type="cellIs" dxfId="0" priority="357" operator="lessThan">
      <formula>20</formula>
    </cfRule>
    <cfRule type="cellIs" dxfId="1" priority="194" operator="greaterThan">
      <formula>120</formula>
    </cfRule>
    <cfRule type="containsText" dxfId="3" priority="31" operator="between" text="库存">
      <formula>NOT(ISERROR(SEARCH("库存",AS138)))</formula>
    </cfRule>
  </conditionalFormatting>
  <conditionalFormatting sqref="AS139">
    <cfRule type="cellIs" dxfId="0" priority="356" operator="lessThan">
      <formula>20</formula>
    </cfRule>
    <cfRule type="cellIs" dxfId="1" priority="193" operator="greaterThan">
      <formula>120</formula>
    </cfRule>
    <cfRule type="containsText" dxfId="3" priority="30" operator="between" text="库存">
      <formula>NOT(ISERROR(SEARCH("库存",AS139)))</formula>
    </cfRule>
  </conditionalFormatting>
  <conditionalFormatting sqref="AS140">
    <cfRule type="cellIs" dxfId="0" priority="355" operator="lessThan">
      <formula>20</formula>
    </cfRule>
    <cfRule type="cellIs" dxfId="1" priority="192" operator="greaterThan">
      <formula>120</formula>
    </cfRule>
    <cfRule type="containsText" dxfId="3" priority="29" operator="between" text="库存">
      <formula>NOT(ISERROR(SEARCH("库存",AS140)))</formula>
    </cfRule>
  </conditionalFormatting>
  <conditionalFormatting sqref="AS141">
    <cfRule type="cellIs" dxfId="0" priority="354" operator="lessThan">
      <formula>20</formula>
    </cfRule>
    <cfRule type="cellIs" dxfId="1" priority="191" operator="greaterThan">
      <formula>120</formula>
    </cfRule>
    <cfRule type="containsText" dxfId="3" priority="28" operator="between" text="库存">
      <formula>NOT(ISERROR(SEARCH("库存",AS141)))</formula>
    </cfRule>
  </conditionalFormatting>
  <conditionalFormatting sqref="AS142">
    <cfRule type="cellIs" dxfId="0" priority="353" operator="lessThan">
      <formula>20</formula>
    </cfRule>
    <cfRule type="cellIs" dxfId="1" priority="190" operator="greaterThan">
      <formula>120</formula>
    </cfRule>
    <cfRule type="containsText" dxfId="3" priority="27" operator="between" text="库存">
      <formula>NOT(ISERROR(SEARCH("库存",AS142)))</formula>
    </cfRule>
  </conditionalFormatting>
  <conditionalFormatting sqref="AS143">
    <cfRule type="cellIs" dxfId="0" priority="352" operator="lessThan">
      <formula>20</formula>
    </cfRule>
    <cfRule type="cellIs" dxfId="1" priority="189" operator="greaterThan">
      <formula>120</formula>
    </cfRule>
    <cfRule type="containsText" dxfId="3" priority="26" operator="between" text="库存">
      <formula>NOT(ISERROR(SEARCH("库存",AS143)))</formula>
    </cfRule>
  </conditionalFormatting>
  <conditionalFormatting sqref="AS144">
    <cfRule type="cellIs" dxfId="0" priority="351" operator="lessThan">
      <formula>20</formula>
    </cfRule>
    <cfRule type="cellIs" dxfId="1" priority="188" operator="greaterThan">
      <formula>120</formula>
    </cfRule>
    <cfRule type="containsText" dxfId="3" priority="25" operator="between" text="库存">
      <formula>NOT(ISERROR(SEARCH("库存",AS144)))</formula>
    </cfRule>
  </conditionalFormatting>
  <conditionalFormatting sqref="AS145">
    <cfRule type="cellIs" dxfId="0" priority="350" operator="lessThan">
      <formula>20</formula>
    </cfRule>
    <cfRule type="cellIs" dxfId="1" priority="187" operator="greaterThan">
      <formula>120</formula>
    </cfRule>
    <cfRule type="containsText" dxfId="3" priority="24" operator="between" text="库存">
      <formula>NOT(ISERROR(SEARCH("库存",AS145)))</formula>
    </cfRule>
  </conditionalFormatting>
  <conditionalFormatting sqref="AS146">
    <cfRule type="cellIs" dxfId="0" priority="349" operator="lessThan">
      <formula>20</formula>
    </cfRule>
    <cfRule type="cellIs" dxfId="1" priority="186" operator="greaterThan">
      <formula>120</formula>
    </cfRule>
    <cfRule type="containsText" dxfId="3" priority="23" operator="between" text="库存">
      <formula>NOT(ISERROR(SEARCH("库存",AS146)))</formula>
    </cfRule>
  </conditionalFormatting>
  <conditionalFormatting sqref="AS147">
    <cfRule type="cellIs" dxfId="0" priority="348" operator="lessThan">
      <formula>20</formula>
    </cfRule>
    <cfRule type="cellIs" dxfId="1" priority="185" operator="greaterThan">
      <formula>120</formula>
    </cfRule>
    <cfRule type="containsText" dxfId="3" priority="22" operator="between" text="库存">
      <formula>NOT(ISERROR(SEARCH("库存",AS147)))</formula>
    </cfRule>
  </conditionalFormatting>
  <conditionalFormatting sqref="AS148">
    <cfRule type="cellIs" dxfId="0" priority="347" operator="lessThan">
      <formula>20</formula>
    </cfRule>
    <cfRule type="cellIs" dxfId="1" priority="184" operator="greaterThan">
      <formula>120</formula>
    </cfRule>
    <cfRule type="containsText" dxfId="3" priority="21" operator="between" text="库存">
      <formula>NOT(ISERROR(SEARCH("库存",AS148)))</formula>
    </cfRule>
  </conditionalFormatting>
  <conditionalFormatting sqref="AS149">
    <cfRule type="cellIs" dxfId="0" priority="346" operator="lessThan">
      <formula>20</formula>
    </cfRule>
    <cfRule type="cellIs" dxfId="1" priority="183" operator="greaterThan">
      <formula>120</formula>
    </cfRule>
    <cfRule type="containsText" dxfId="3" priority="20" operator="between" text="库存">
      <formula>NOT(ISERROR(SEARCH("库存",AS149)))</formula>
    </cfRule>
  </conditionalFormatting>
  <conditionalFormatting sqref="AS150">
    <cfRule type="cellIs" dxfId="0" priority="345" operator="lessThan">
      <formula>20</formula>
    </cfRule>
    <cfRule type="cellIs" dxfId="1" priority="182" operator="greaterThan">
      <formula>120</formula>
    </cfRule>
    <cfRule type="containsText" dxfId="3" priority="19" operator="between" text="库存">
      <formula>NOT(ISERROR(SEARCH("库存",AS150)))</formula>
    </cfRule>
  </conditionalFormatting>
  <conditionalFormatting sqref="AS151">
    <cfRule type="cellIs" dxfId="0" priority="344" operator="lessThan">
      <formula>20</formula>
    </cfRule>
    <cfRule type="cellIs" dxfId="1" priority="181" operator="greaterThan">
      <formula>120</formula>
    </cfRule>
    <cfRule type="containsText" dxfId="3" priority="18" operator="between" text="库存">
      <formula>NOT(ISERROR(SEARCH("库存",AS151)))</formula>
    </cfRule>
  </conditionalFormatting>
  <conditionalFormatting sqref="AS152">
    <cfRule type="cellIs" dxfId="0" priority="343" operator="lessThan">
      <formula>20</formula>
    </cfRule>
    <cfRule type="cellIs" dxfId="1" priority="180" operator="greaterThan">
      <formula>120</formula>
    </cfRule>
    <cfRule type="containsText" dxfId="3" priority="17" operator="between" text="库存">
      <formula>NOT(ISERROR(SEARCH("库存",AS152)))</formula>
    </cfRule>
  </conditionalFormatting>
  <conditionalFormatting sqref="AS153">
    <cfRule type="cellIs" dxfId="0" priority="342" operator="lessThan">
      <formula>20</formula>
    </cfRule>
    <cfRule type="cellIs" dxfId="1" priority="179" operator="greaterThan">
      <formula>120</formula>
    </cfRule>
    <cfRule type="containsText" dxfId="3" priority="16" operator="between" text="库存">
      <formula>NOT(ISERROR(SEARCH("库存",AS153)))</formula>
    </cfRule>
  </conditionalFormatting>
  <conditionalFormatting sqref="AS154">
    <cfRule type="cellIs" dxfId="0" priority="341" operator="lessThan">
      <formula>20</formula>
    </cfRule>
    <cfRule type="cellIs" dxfId="1" priority="178" operator="greaterThan">
      <formula>120</formula>
    </cfRule>
    <cfRule type="containsText" dxfId="3" priority="15" operator="between" text="库存">
      <formula>NOT(ISERROR(SEARCH("库存",AS154)))</formula>
    </cfRule>
  </conditionalFormatting>
  <conditionalFormatting sqref="AS155">
    <cfRule type="cellIs" dxfId="0" priority="340" operator="lessThan">
      <formula>20</formula>
    </cfRule>
    <cfRule type="cellIs" dxfId="1" priority="177" operator="greaterThan">
      <formula>120</formula>
    </cfRule>
    <cfRule type="containsText" dxfId="3" priority="14" operator="between" text="库存">
      <formula>NOT(ISERROR(SEARCH("库存",AS155)))</formula>
    </cfRule>
  </conditionalFormatting>
  <conditionalFormatting sqref="AS156">
    <cfRule type="cellIs" dxfId="0" priority="339" operator="lessThan">
      <formula>20</formula>
    </cfRule>
    <cfRule type="cellIs" dxfId="1" priority="176" operator="greaterThan">
      <formula>120</formula>
    </cfRule>
    <cfRule type="containsText" dxfId="3" priority="13" operator="between" text="库存">
      <formula>NOT(ISERROR(SEARCH("库存",AS156)))</formula>
    </cfRule>
  </conditionalFormatting>
  <conditionalFormatting sqref="AS157">
    <cfRule type="cellIs" dxfId="0" priority="338" operator="lessThan">
      <formula>20</formula>
    </cfRule>
    <cfRule type="cellIs" dxfId="1" priority="175" operator="greaterThan">
      <formula>120</formula>
    </cfRule>
    <cfRule type="containsText" dxfId="3" priority="12" operator="between" text="库存">
      <formula>NOT(ISERROR(SEARCH("库存",AS157)))</formula>
    </cfRule>
  </conditionalFormatting>
  <conditionalFormatting sqref="AS158">
    <cfRule type="cellIs" dxfId="0" priority="337" operator="lessThan">
      <formula>20</formula>
    </cfRule>
    <cfRule type="cellIs" dxfId="1" priority="174" operator="greaterThan">
      <formula>120</formula>
    </cfRule>
    <cfRule type="containsText" dxfId="3" priority="11" operator="between" text="库存">
      <formula>NOT(ISERROR(SEARCH("库存",AS158)))</formula>
    </cfRule>
  </conditionalFormatting>
  <conditionalFormatting sqref="AS159">
    <cfRule type="cellIs" dxfId="0" priority="336" operator="lessThan">
      <formula>20</formula>
    </cfRule>
    <cfRule type="cellIs" dxfId="1" priority="173" operator="greaterThan">
      <formula>120</formula>
    </cfRule>
    <cfRule type="containsText" dxfId="3" priority="10" operator="between" text="库存">
      <formula>NOT(ISERROR(SEARCH("库存",AS159)))</formula>
    </cfRule>
  </conditionalFormatting>
  <conditionalFormatting sqref="AS160">
    <cfRule type="cellIs" dxfId="0" priority="335" operator="lessThan">
      <formula>20</formula>
    </cfRule>
    <cfRule type="cellIs" dxfId="1" priority="172" operator="greaterThan">
      <formula>120</formula>
    </cfRule>
    <cfRule type="containsText" dxfId="3" priority="9" operator="between" text="库存">
      <formula>NOT(ISERROR(SEARCH("库存",AS160)))</formula>
    </cfRule>
  </conditionalFormatting>
  <conditionalFormatting sqref="AS161">
    <cfRule type="cellIs" dxfId="0" priority="334" operator="lessThan">
      <formula>20</formula>
    </cfRule>
    <cfRule type="cellIs" dxfId="1" priority="171" operator="greaterThan">
      <formula>120</formula>
    </cfRule>
    <cfRule type="containsText" dxfId="3" priority="8" operator="between" text="库存">
      <formula>NOT(ISERROR(SEARCH("库存",AS161)))</formula>
    </cfRule>
  </conditionalFormatting>
  <conditionalFormatting sqref="AS162">
    <cfRule type="cellIs" dxfId="0" priority="333" operator="lessThan">
      <formula>20</formula>
    </cfRule>
    <cfRule type="cellIs" dxfId="1" priority="170" operator="greaterThan">
      <formula>120</formula>
    </cfRule>
    <cfRule type="containsText" dxfId="3" priority="7" operator="between" text="库存">
      <formula>NOT(ISERROR(SEARCH("库存",AS162)))</formula>
    </cfRule>
  </conditionalFormatting>
  <conditionalFormatting sqref="AS163">
    <cfRule type="cellIs" dxfId="0" priority="332" operator="lessThan">
      <formula>20</formula>
    </cfRule>
    <cfRule type="cellIs" dxfId="1" priority="169" operator="greaterThan">
      <formula>120</formula>
    </cfRule>
    <cfRule type="containsText" dxfId="3" priority="6" operator="between" text="库存">
      <formula>NOT(ISERROR(SEARCH("库存",AS163)))</formula>
    </cfRule>
  </conditionalFormatting>
  <conditionalFormatting sqref="AS164">
    <cfRule type="cellIs" dxfId="0" priority="331" operator="lessThan">
      <formula>20</formula>
    </cfRule>
    <cfRule type="cellIs" dxfId="1" priority="168" operator="greaterThan">
      <formula>120</formula>
    </cfRule>
    <cfRule type="containsText" dxfId="3" priority="5" operator="between" text="库存">
      <formula>NOT(ISERROR(SEARCH("库存",AS164)))</formula>
    </cfRule>
  </conditionalFormatting>
  <conditionalFormatting sqref="AS165">
    <cfRule type="cellIs" dxfId="0" priority="330" operator="lessThan">
      <formula>20</formula>
    </cfRule>
    <cfRule type="cellIs" dxfId="1" priority="167" operator="greaterThan">
      <formula>120</formula>
    </cfRule>
    <cfRule type="containsText" dxfId="3" priority="4" operator="between" text="库存">
      <formula>NOT(ISERROR(SEARCH("库存",AS165)))</formula>
    </cfRule>
  </conditionalFormatting>
  <conditionalFormatting sqref="AS166">
    <cfRule type="cellIs" dxfId="0" priority="329" operator="lessThan">
      <formula>20</formula>
    </cfRule>
    <cfRule type="cellIs" dxfId="1" priority="166" operator="greaterThan">
      <formula>120</formula>
    </cfRule>
    <cfRule type="containsText" dxfId="3" priority="3" operator="between" text="库存">
      <formula>NOT(ISERROR(SEARCH("库存",AS166)))</formula>
    </cfRule>
  </conditionalFormatting>
  <conditionalFormatting sqref="AS167">
    <cfRule type="cellIs" dxfId="0" priority="328" operator="lessThan">
      <formula>20</formula>
    </cfRule>
    <cfRule type="cellIs" dxfId="1" priority="165" operator="greaterThan">
      <formula>120</formula>
    </cfRule>
    <cfRule type="containsText" dxfId="3" priority="2" operator="between" text="库存">
      <formula>NOT(ISERROR(SEARCH("库存",AS167)))</formula>
    </cfRule>
  </conditionalFormatting>
  <conditionalFormatting sqref="AS168">
    <cfRule type="cellIs" dxfId="0" priority="327" operator="lessThan">
      <formula>20</formula>
    </cfRule>
    <cfRule type="cellIs" dxfId="1" priority="164" operator="greaterThan">
      <formula>120</formula>
    </cfRule>
    <cfRule type="containsText" dxfId="3" priority="1" operator="between" text="库存">
      <formula>NOT(ISERROR(SEARCH("库存",AS168)))</formula>
    </cfRule>
  </conditionalFormatting>
  <conditionalFormatting sqref="AS169">
    <cfRule type="cellIs" dxfId="0" priority="1316" operator="lessThan">
      <formula>20</formula>
    </cfRule>
    <cfRule type="cellIs" dxfId="1" priority="1149" operator="greaterThan">
      <formula>120</formula>
    </cfRule>
    <cfRule type="containsText" dxfId="3" priority="982" operator="between" text="库存">
      <formula>NOT(ISERROR(SEARCH("库存",AS169)))</formula>
    </cfRule>
  </conditionalFormatting>
  <conditionalFormatting sqref="AS170">
    <cfRule type="cellIs" dxfId="0" priority="1315" operator="lessThan">
      <formula>20</formula>
    </cfRule>
    <cfRule type="cellIs" dxfId="1" priority="1148" operator="greaterThan">
      <formula>120</formula>
    </cfRule>
    <cfRule type="containsText" dxfId="3" priority="981" operator="between" text="库存">
      <formula>NOT(ISERROR(SEARCH("库存",AS170)))</formula>
    </cfRule>
  </conditionalFormatting>
  <conditionalFormatting sqref="AS171">
    <cfRule type="cellIs" dxfId="0" priority="1314" operator="lessThan">
      <formula>20</formula>
    </cfRule>
    <cfRule type="cellIs" dxfId="1" priority="1147" operator="greaterThan">
      <formula>120</formula>
    </cfRule>
    <cfRule type="containsText" dxfId="3" priority="980" operator="between" text="库存">
      <formula>NOT(ISERROR(SEARCH("库存",AS171)))</formula>
    </cfRule>
  </conditionalFormatting>
  <conditionalFormatting sqref="AS172">
    <cfRule type="cellIs" dxfId="0" priority="1313" operator="lessThan">
      <formula>20</formula>
    </cfRule>
    <cfRule type="cellIs" dxfId="1" priority="1146" operator="greaterThan">
      <formula>120</formula>
    </cfRule>
    <cfRule type="containsText" dxfId="3" priority="979" operator="between" text="库存">
      <formula>NOT(ISERROR(SEARCH("库存",AS172)))</formula>
    </cfRule>
  </conditionalFormatting>
  <conditionalFormatting sqref="AS173">
    <cfRule type="cellIs" dxfId="0" priority="2320" operator="lessThan">
      <formula>20</formula>
    </cfRule>
    <cfRule type="cellIs" dxfId="1" priority="2151" operator="greaterThan">
      <formula>120</formula>
    </cfRule>
    <cfRule type="containsText" dxfId="3" priority="1982" operator="between" text="库存">
      <formula>NOT(ISERROR(SEARCH("库存",AS173)))</formula>
    </cfRule>
  </conditionalFormatting>
  <conditionalFormatting sqref="AS174">
    <cfRule type="cellIs" dxfId="0" priority="2319" operator="lessThan">
      <formula>20</formula>
    </cfRule>
    <cfRule type="cellIs" dxfId="1" priority="2150" operator="greaterThan">
      <formula>120</formula>
    </cfRule>
    <cfRule type="containsText" dxfId="3" priority="1981" operator="between" text="库存">
      <formula>NOT(ISERROR(SEARCH("库存",AS174)))</formula>
    </cfRule>
  </conditionalFormatting>
  <conditionalFormatting sqref="AS1 AS3:AS5 AS175:AS1048576">
    <cfRule type="cellIs" dxfId="0" priority="2493" operator="lessThan">
      <formula>20</formula>
    </cfRule>
    <cfRule type="cellIs" dxfId="1" priority="2492" operator="greaterThan">
      <formula>120</formula>
    </cfRule>
    <cfRule type="containsText" dxfId="3" priority="2491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2" sqref="D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2380</v>
      </c>
      <c r="B1" s="2">
        <f>B12</f>
        <v>43262</v>
      </c>
    </row>
    <row r="2" spans="1:2">
      <c r="A2" s="1" t="s">
        <v>2381</v>
      </c>
      <c r="B2" s="2">
        <v>43289</v>
      </c>
    </row>
    <row r="3" spans="1:2">
      <c r="A3" s="1"/>
      <c r="B3" s="1"/>
    </row>
    <row r="4" spans="1:2">
      <c r="A4" s="1" t="s">
        <v>2382</v>
      </c>
      <c r="B4" s="3">
        <f>B2+1</f>
        <v>43290</v>
      </c>
    </row>
    <row r="5" spans="1:2">
      <c r="A5" s="1" t="s">
        <v>2383</v>
      </c>
      <c r="B5" s="4">
        <f>B2</f>
        <v>43289</v>
      </c>
    </row>
    <row r="6" spans="1:2">
      <c r="A6" s="1" t="s">
        <v>2384</v>
      </c>
      <c r="B6" s="3">
        <f>B5-6</f>
        <v>43283</v>
      </c>
    </row>
    <row r="7" spans="1:2">
      <c r="A7" s="1" t="s">
        <v>2385</v>
      </c>
      <c r="B7" s="3">
        <f>B5-7</f>
        <v>43282</v>
      </c>
    </row>
    <row r="8" spans="1:2">
      <c r="A8" s="1" t="s">
        <v>2386</v>
      </c>
      <c r="B8" s="3">
        <f>B5-13</f>
        <v>43276</v>
      </c>
    </row>
    <row r="9" spans="1:2">
      <c r="A9" s="1" t="s">
        <v>2387</v>
      </c>
      <c r="B9" s="3">
        <f>B5-14</f>
        <v>43275</v>
      </c>
    </row>
    <row r="10" spans="1:2">
      <c r="A10" s="1" t="s">
        <v>2388</v>
      </c>
      <c r="B10" s="3">
        <f>B5-20</f>
        <v>43269</v>
      </c>
    </row>
    <row r="11" spans="1:2">
      <c r="A11" s="1" t="s">
        <v>2389</v>
      </c>
      <c r="B11" s="3">
        <f>B5-21</f>
        <v>43268</v>
      </c>
    </row>
    <row r="12" spans="1:2">
      <c r="A12" s="1" t="s">
        <v>2390</v>
      </c>
      <c r="B12" s="3">
        <f>B5-27</f>
        <v>43262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2018-07-10T03:26:57Z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